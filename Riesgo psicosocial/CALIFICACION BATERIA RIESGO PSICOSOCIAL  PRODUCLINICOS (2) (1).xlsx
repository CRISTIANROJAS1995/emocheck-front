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2d7p8a7\Desktop\Propuestas EMOcheck SLB\MODULOS\RIESGO PSICOSOCIAL\"/>
    </mc:Choice>
  </mc:AlternateContent>
  <bookViews>
    <workbookView xWindow="0" yWindow="0" windowWidth="19200" windowHeight="7050" tabRatio="755"/>
  </bookViews>
  <sheets>
    <sheet name="INTRA LABORAL A" sheetId="1" r:id="rId1"/>
    <sheet name="EXTRALABORAL A " sheetId="7" r:id="rId2"/>
    <sheet name="ESTRES JEFES Y PROF" sheetId="5" r:id="rId3"/>
    <sheet name="INTRA LABORAL B" sheetId="6" r:id="rId4"/>
    <sheet name="EXTRALABORAL B " sheetId="9" r:id="rId5"/>
    <sheet name="ESTRES AUX Y OPERARIOS" sheetId="10" r:id="rId6"/>
    <sheet name="CONVENCIONES" sheetId="8" r:id="rId7"/>
  </sheets>
  <definedNames>
    <definedName name="_xlnm._FilterDatabase" localSheetId="5" hidden="1">'ESTRES AUX Y OPERARIOS'!$A$2:$BF$233</definedName>
    <definedName name="_xlnm._FilterDatabase" localSheetId="2" hidden="1">'ESTRES JEFES Y PROF'!$A$2:$BF$83</definedName>
    <definedName name="_xlnm._FilterDatabase" localSheetId="0" hidden="1">'INTRA LABORAL A'!$A$4:$GN$30</definedName>
    <definedName name="_xlnm._FilterDatabase" localSheetId="3" hidden="1">'INTRA LABORAL B'!$A$3:$FN$211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233" i="10" l="1"/>
  <c r="FN212" i="6"/>
  <c r="FK212" i="6"/>
  <c r="GM85" i="1"/>
  <c r="DO19" i="6"/>
  <c r="DP19" i="6"/>
  <c r="DQ19" i="6"/>
  <c r="DO20" i="6"/>
  <c r="DP20" i="6"/>
  <c r="DQ20" i="6"/>
  <c r="DO21" i="6"/>
  <c r="DP21" i="6"/>
  <c r="DQ21" i="6"/>
  <c r="DO22" i="6"/>
  <c r="DP22" i="6"/>
  <c r="DQ22" i="6"/>
  <c r="EO7" i="1"/>
  <c r="EP7" i="1"/>
  <c r="EQ7" i="1"/>
  <c r="EO8" i="1"/>
  <c r="EP8" i="1"/>
  <c r="EQ8" i="1"/>
  <c r="EO9" i="1"/>
  <c r="EP9" i="1"/>
  <c r="EQ9" i="1"/>
  <c r="EO10" i="1"/>
  <c r="EP10" i="1"/>
  <c r="EQ10" i="1"/>
  <c r="EO11" i="1"/>
  <c r="EP11" i="1"/>
  <c r="EQ11" i="1"/>
  <c r="EO12" i="1"/>
  <c r="EP12" i="1"/>
  <c r="EQ12" i="1"/>
  <c r="EO13" i="1"/>
  <c r="EP13" i="1"/>
  <c r="EQ13" i="1"/>
  <c r="EO14" i="1"/>
  <c r="EP14" i="1"/>
  <c r="EQ14" i="1"/>
  <c r="EO15" i="1"/>
  <c r="EP15" i="1"/>
  <c r="EQ15" i="1"/>
  <c r="EO16" i="1"/>
  <c r="EP16" i="1"/>
  <c r="EQ16" i="1"/>
  <c r="BB194" i="10" l="1"/>
  <c r="BB193" i="10"/>
  <c r="BB192" i="10"/>
  <c r="BB191" i="10"/>
  <c r="BB190" i="10"/>
  <c r="BD189" i="10"/>
  <c r="BC189" i="10"/>
  <c r="BB189" i="10"/>
  <c r="BD188" i="10"/>
  <c r="BC188" i="10"/>
  <c r="BB188" i="10"/>
  <c r="BD187" i="10"/>
  <c r="BC187" i="10"/>
  <c r="BB187" i="10"/>
  <c r="BD186" i="10"/>
  <c r="BC186" i="10"/>
  <c r="BB186" i="10"/>
  <c r="BA186" i="10"/>
  <c r="BD185" i="10"/>
  <c r="BC185" i="10"/>
  <c r="BB185" i="10"/>
  <c r="BA185" i="10"/>
  <c r="BA146" i="10"/>
  <c r="BB146" i="10"/>
  <c r="BC146" i="10"/>
  <c r="BD146" i="10"/>
  <c r="BA147" i="10"/>
  <c r="BB147" i="10"/>
  <c r="BC147" i="10"/>
  <c r="BD147" i="10"/>
  <c r="BA148" i="10"/>
  <c r="BB148" i="10"/>
  <c r="BC148" i="10"/>
  <c r="BD148" i="10"/>
  <c r="BA149" i="10"/>
  <c r="BB149" i="10"/>
  <c r="BC149" i="10"/>
  <c r="BD149" i="10"/>
  <c r="BA150" i="10"/>
  <c r="BB150" i="10"/>
  <c r="BC150" i="10"/>
  <c r="BD150" i="10"/>
  <c r="BA151" i="10"/>
  <c r="BB151" i="10"/>
  <c r="BC151" i="10"/>
  <c r="BD151" i="10"/>
  <c r="BA152" i="10"/>
  <c r="BB152" i="10"/>
  <c r="BC152" i="10"/>
  <c r="BD152" i="10"/>
  <c r="BA153" i="10"/>
  <c r="BB153" i="10"/>
  <c r="BC153" i="10"/>
  <c r="BD153" i="10"/>
  <c r="BA154" i="10"/>
  <c r="BB154" i="10"/>
  <c r="BC154" i="10"/>
  <c r="BD154" i="10"/>
  <c r="BA155" i="10"/>
  <c r="BB155" i="10"/>
  <c r="BC155" i="10"/>
  <c r="BD155" i="10"/>
  <c r="BA156" i="10"/>
  <c r="BB156" i="10"/>
  <c r="BC156" i="10"/>
  <c r="BD156" i="10"/>
  <c r="BA157" i="10"/>
  <c r="BB157" i="10"/>
  <c r="BC157" i="10"/>
  <c r="BD157" i="10"/>
  <c r="BA158" i="10"/>
  <c r="BB158" i="10"/>
  <c r="BC158" i="10"/>
  <c r="BD158" i="10"/>
  <c r="BA159" i="10"/>
  <c r="BB159" i="10"/>
  <c r="BC159" i="10"/>
  <c r="BD159" i="10"/>
  <c r="BA160" i="10"/>
  <c r="BB160" i="10"/>
  <c r="BC160" i="10"/>
  <c r="BD160" i="10"/>
  <c r="BA161" i="10"/>
  <c r="BB161" i="10"/>
  <c r="BC161" i="10"/>
  <c r="BD161" i="10"/>
  <c r="BA162" i="10"/>
  <c r="BB162" i="10"/>
  <c r="BC162" i="10"/>
  <c r="BD162" i="10"/>
  <c r="BA163" i="10"/>
  <c r="BB163" i="10"/>
  <c r="BC163" i="10"/>
  <c r="BD163" i="10"/>
  <c r="BA164" i="10"/>
  <c r="BB164" i="10"/>
  <c r="BC164" i="10"/>
  <c r="BD164" i="10"/>
  <c r="BA165" i="10"/>
  <c r="BB165" i="10"/>
  <c r="BC165" i="10"/>
  <c r="BD165" i="10"/>
  <c r="BA166" i="10"/>
  <c r="BB166" i="10"/>
  <c r="BC166" i="10"/>
  <c r="BD166" i="10"/>
  <c r="BA167" i="10"/>
  <c r="BB167" i="10"/>
  <c r="BC167" i="10"/>
  <c r="BD167" i="10"/>
  <c r="BA168" i="10"/>
  <c r="BB168" i="10"/>
  <c r="BC168" i="10"/>
  <c r="BD168" i="10"/>
  <c r="BA169" i="10"/>
  <c r="BB169" i="10"/>
  <c r="BC169" i="10"/>
  <c r="BD169" i="10"/>
  <c r="BA170" i="10"/>
  <c r="BB170" i="10"/>
  <c r="BC170" i="10"/>
  <c r="BD170" i="10"/>
  <c r="BA171" i="10"/>
  <c r="BB171" i="10"/>
  <c r="BC171" i="10"/>
  <c r="BD171" i="10"/>
  <c r="BA172" i="10"/>
  <c r="BB172" i="10"/>
  <c r="BC172" i="10"/>
  <c r="BD172" i="10"/>
  <c r="BA173" i="10"/>
  <c r="BB173" i="10"/>
  <c r="BC173" i="10"/>
  <c r="BD173" i="10"/>
  <c r="BA174" i="10"/>
  <c r="BB174" i="10"/>
  <c r="BC174" i="10"/>
  <c r="BD174" i="10"/>
  <c r="BA175" i="10"/>
  <c r="BB175" i="10"/>
  <c r="BC175" i="10"/>
  <c r="BD175" i="10"/>
  <c r="BA176" i="10"/>
  <c r="BB176" i="10"/>
  <c r="BC176" i="10"/>
  <c r="BD176" i="10"/>
  <c r="BA177" i="10"/>
  <c r="BB177" i="10"/>
  <c r="BC177" i="10"/>
  <c r="BD177" i="10"/>
  <c r="BA178" i="10"/>
  <c r="BB178" i="10"/>
  <c r="BC178" i="10"/>
  <c r="BD178" i="10"/>
  <c r="BA179" i="10"/>
  <c r="BB179" i="10"/>
  <c r="BC179" i="10"/>
  <c r="BD179" i="10"/>
  <c r="BA180" i="10"/>
  <c r="BB180" i="10"/>
  <c r="BC180" i="10"/>
  <c r="BD180" i="10"/>
  <c r="BA181" i="10"/>
  <c r="BB181" i="10"/>
  <c r="BC181" i="10"/>
  <c r="BD181" i="10"/>
  <c r="BA182" i="10"/>
  <c r="BB182" i="10"/>
  <c r="BC182" i="10"/>
  <c r="BD182" i="10"/>
  <c r="BA183" i="10"/>
  <c r="BB183" i="10"/>
  <c r="BC183" i="10"/>
  <c r="BD183" i="10"/>
  <c r="BA184" i="10"/>
  <c r="BB184" i="10"/>
  <c r="BC184" i="10"/>
  <c r="BD184" i="10"/>
  <c r="BE180" i="10" l="1"/>
  <c r="BF180" i="10" s="1"/>
  <c r="BE178" i="10"/>
  <c r="BF178" i="10" s="1"/>
  <c r="BE176" i="10"/>
  <c r="BF176" i="10" s="1"/>
  <c r="BE174" i="10"/>
  <c r="BF174" i="10" s="1"/>
  <c r="BE186" i="10"/>
  <c r="BF186" i="10" s="1"/>
  <c r="BE173" i="10"/>
  <c r="BF173" i="10" s="1"/>
  <c r="BE179" i="10"/>
  <c r="BF179" i="10" s="1"/>
  <c r="BE177" i="10"/>
  <c r="BF177" i="10" s="1"/>
  <c r="BE175" i="10"/>
  <c r="BF175" i="10" s="1"/>
  <c r="BE185" i="10"/>
  <c r="BF185" i="10" s="1"/>
  <c r="BE172" i="10"/>
  <c r="BF172" i="10" s="1"/>
  <c r="BE171" i="10"/>
  <c r="BF171" i="10" s="1"/>
  <c r="BE170" i="10"/>
  <c r="BF170" i="10" s="1"/>
  <c r="BE169" i="10"/>
  <c r="BF169" i="10" s="1"/>
  <c r="BE168" i="10"/>
  <c r="BF168" i="10" s="1"/>
  <c r="BE167" i="10"/>
  <c r="BF167" i="10" s="1"/>
  <c r="BE166" i="10"/>
  <c r="BF166" i="10" s="1"/>
  <c r="BE165" i="10"/>
  <c r="BF165" i="10" s="1"/>
  <c r="BE164" i="10"/>
  <c r="BF164" i="10" s="1"/>
  <c r="BE163" i="10"/>
  <c r="BF163" i="10" s="1"/>
  <c r="BE162" i="10"/>
  <c r="BF162" i="10" s="1"/>
  <c r="BE161" i="10"/>
  <c r="BF161" i="10" s="1"/>
  <c r="BE160" i="10"/>
  <c r="BF160" i="10" s="1"/>
  <c r="BE159" i="10"/>
  <c r="BF159" i="10" s="1"/>
  <c r="BE158" i="10"/>
  <c r="BF158" i="10" s="1"/>
  <c r="BE157" i="10"/>
  <c r="BF157" i="10" s="1"/>
  <c r="BE156" i="10"/>
  <c r="BF156" i="10" s="1"/>
  <c r="BE155" i="10"/>
  <c r="BF155" i="10" s="1"/>
  <c r="BE154" i="10"/>
  <c r="BF154" i="10" s="1"/>
  <c r="BE153" i="10"/>
  <c r="BF153" i="10" s="1"/>
  <c r="BE152" i="10"/>
  <c r="BF152" i="10" s="1"/>
  <c r="BE151" i="10"/>
  <c r="BF151" i="10" s="1"/>
  <c r="BE150" i="10"/>
  <c r="BF150" i="10" s="1"/>
  <c r="BE149" i="10"/>
  <c r="BF149" i="10" s="1"/>
  <c r="BE147" i="10"/>
  <c r="BF147" i="10" s="1"/>
  <c r="BE146" i="10"/>
  <c r="BF146" i="10" s="1"/>
  <c r="BE184" i="10"/>
  <c r="BF184" i="10" s="1"/>
  <c r="BE183" i="10"/>
  <c r="BF183" i="10" s="1"/>
  <c r="BE182" i="10"/>
  <c r="BF182" i="10" s="1"/>
  <c r="BE181" i="10"/>
  <c r="BF181" i="10" s="1"/>
  <c r="BE148" i="10"/>
  <c r="BF148" i="10" s="1"/>
  <c r="BA163" i="9"/>
  <c r="BD57" i="7" l="1"/>
  <c r="BF57" i="7"/>
  <c r="BO57" i="7" s="1"/>
  <c r="BB57" i="7"/>
  <c r="BK57" i="7" s="1"/>
  <c r="BC57" i="7"/>
  <c r="BL57" i="7" s="1"/>
  <c r="BA57" i="7"/>
  <c r="BJ57" i="7" s="1"/>
  <c r="BE57" i="7"/>
  <c r="BN57" i="7" s="1"/>
  <c r="BG57" i="7"/>
  <c r="BP57" i="7" s="1"/>
  <c r="FF58" i="1"/>
  <c r="GE58" i="1" s="1"/>
  <c r="EQ58" i="1"/>
  <c r="FP58" i="1" s="1"/>
  <c r="EO58" i="1"/>
  <c r="FN58" i="1" s="1"/>
  <c r="ES58" i="1"/>
  <c r="FR58" i="1" s="1"/>
  <c r="FC58" i="1"/>
  <c r="GB58" i="1" s="1"/>
  <c r="BD56" i="7"/>
  <c r="BF56" i="7"/>
  <c r="BO56" i="7" s="1"/>
  <c r="BB56" i="7"/>
  <c r="BK56" i="7" s="1"/>
  <c r="BC56" i="7"/>
  <c r="BL56" i="7" s="1"/>
  <c r="BA56" i="7"/>
  <c r="BJ56" i="7" s="1"/>
  <c r="BE56" i="7"/>
  <c r="BN56" i="7" s="1"/>
  <c r="BG56" i="7"/>
  <c r="BP56" i="7"/>
  <c r="FF57" i="1"/>
  <c r="GE57" i="1" s="1"/>
  <c r="EQ57" i="1"/>
  <c r="FP57" i="1" s="1"/>
  <c r="EO57" i="1"/>
  <c r="FN57" i="1" s="1"/>
  <c r="ES57" i="1"/>
  <c r="FR57" i="1" s="1"/>
  <c r="FC57" i="1"/>
  <c r="GB57" i="1" s="1"/>
  <c r="BD55" i="7"/>
  <c r="BM55" i="7" s="1"/>
  <c r="BF55" i="7"/>
  <c r="BO55" i="7" s="1"/>
  <c r="BB55" i="7"/>
  <c r="BK55" i="7" s="1"/>
  <c r="BC55" i="7"/>
  <c r="BL55" i="7" s="1"/>
  <c r="BA55" i="7"/>
  <c r="BJ55" i="7" s="1"/>
  <c r="BE55" i="7"/>
  <c r="BN55" i="7" s="1"/>
  <c r="BG55" i="7"/>
  <c r="BP55" i="7" s="1"/>
  <c r="FF56" i="1"/>
  <c r="GE56" i="1" s="1"/>
  <c r="EQ56" i="1"/>
  <c r="FP56" i="1" s="1"/>
  <c r="EO56" i="1"/>
  <c r="FN56" i="1" s="1"/>
  <c r="ES56" i="1"/>
  <c r="FR56" i="1" s="1"/>
  <c r="FC56" i="1"/>
  <c r="GB56" i="1" s="1"/>
  <c r="BD54" i="7"/>
  <c r="BM54" i="7" s="1"/>
  <c r="BF54" i="7"/>
  <c r="BO54" i="7" s="1"/>
  <c r="BB54" i="7"/>
  <c r="BK54" i="7" s="1"/>
  <c r="BC54" i="7"/>
  <c r="BL54" i="7" s="1"/>
  <c r="BA54" i="7"/>
  <c r="BJ54" i="7" s="1"/>
  <c r="BE54" i="7"/>
  <c r="BN54" i="7" s="1"/>
  <c r="BG54" i="7"/>
  <c r="BP54" i="7" s="1"/>
  <c r="FF55" i="1"/>
  <c r="GE55" i="1" s="1"/>
  <c r="EQ55" i="1"/>
  <c r="FP55" i="1" s="1"/>
  <c r="EO55" i="1"/>
  <c r="FN55" i="1" s="1"/>
  <c r="ES55" i="1"/>
  <c r="FR55" i="1" s="1"/>
  <c r="FC55" i="1"/>
  <c r="GB55" i="1" s="1"/>
  <c r="BD53" i="7"/>
  <c r="BM53" i="7" s="1"/>
  <c r="BF53" i="7"/>
  <c r="BO53" i="7"/>
  <c r="BB53" i="7"/>
  <c r="BK53" i="7" s="1"/>
  <c r="BC53" i="7"/>
  <c r="BL53" i="7" s="1"/>
  <c r="BA53" i="7"/>
  <c r="BJ53" i="7" s="1"/>
  <c r="BE53" i="7"/>
  <c r="BN53" i="7" s="1"/>
  <c r="BG53" i="7"/>
  <c r="BP53" i="7" s="1"/>
  <c r="FF54" i="1"/>
  <c r="GE54" i="1" s="1"/>
  <c r="EQ54" i="1"/>
  <c r="FP54" i="1" s="1"/>
  <c r="EO54" i="1"/>
  <c r="FN54" i="1" s="1"/>
  <c r="ES54" i="1"/>
  <c r="FR54" i="1" s="1"/>
  <c r="FC54" i="1"/>
  <c r="GB54" i="1" s="1"/>
  <c r="BD52" i="7"/>
  <c r="BM52" i="7" s="1"/>
  <c r="BF52" i="7"/>
  <c r="BO52" i="7" s="1"/>
  <c r="BB52" i="7"/>
  <c r="BK52" i="7" s="1"/>
  <c r="BC52" i="7"/>
  <c r="BL52" i="7" s="1"/>
  <c r="BA52" i="7"/>
  <c r="BJ52" i="7" s="1"/>
  <c r="BE52" i="7"/>
  <c r="BN52" i="7" s="1"/>
  <c r="BG52" i="7"/>
  <c r="BP52" i="7" s="1"/>
  <c r="FF53" i="1"/>
  <c r="GE53" i="1" s="1"/>
  <c r="EQ53" i="1"/>
  <c r="FP53" i="1" s="1"/>
  <c r="EO53" i="1"/>
  <c r="FN53" i="1" s="1"/>
  <c r="ES53" i="1"/>
  <c r="FR53" i="1" s="1"/>
  <c r="FC53" i="1"/>
  <c r="GB53" i="1" s="1"/>
  <c r="BD51" i="7"/>
  <c r="BF51" i="7"/>
  <c r="BO51" i="7" s="1"/>
  <c r="BB51" i="7"/>
  <c r="BK51" i="7" s="1"/>
  <c r="BC51" i="7"/>
  <c r="BL51" i="7" s="1"/>
  <c r="BA51" i="7"/>
  <c r="BJ51" i="7" s="1"/>
  <c r="BE51" i="7"/>
  <c r="BN51" i="7" s="1"/>
  <c r="BG51" i="7"/>
  <c r="BP51" i="7" s="1"/>
  <c r="FF52" i="1"/>
  <c r="GE52" i="1" s="1"/>
  <c r="EQ52" i="1"/>
  <c r="FP52" i="1" s="1"/>
  <c r="EO52" i="1"/>
  <c r="FN52" i="1" s="1"/>
  <c r="ES52" i="1"/>
  <c r="FR52" i="1" s="1"/>
  <c r="FC52" i="1"/>
  <c r="GB52" i="1"/>
  <c r="BD50" i="7"/>
  <c r="BF50" i="7"/>
  <c r="BO50" i="7" s="1"/>
  <c r="BB50" i="7"/>
  <c r="BK50" i="7"/>
  <c r="BC50" i="7"/>
  <c r="BL50" i="7" s="1"/>
  <c r="BA50" i="7"/>
  <c r="BJ50" i="7" s="1"/>
  <c r="BE50" i="7"/>
  <c r="BN50" i="7" s="1"/>
  <c r="BG50" i="7"/>
  <c r="BP50" i="7" s="1"/>
  <c r="FF51" i="1"/>
  <c r="GE51" i="1" s="1"/>
  <c r="EQ51" i="1"/>
  <c r="FP51" i="1" s="1"/>
  <c r="EO51" i="1"/>
  <c r="FN51" i="1" s="1"/>
  <c r="ES51" i="1"/>
  <c r="FR51" i="1" s="1"/>
  <c r="FC51" i="1"/>
  <c r="GB51" i="1" s="1"/>
  <c r="BD49" i="7"/>
  <c r="BF49" i="7"/>
  <c r="BO49" i="7" s="1"/>
  <c r="BB49" i="7"/>
  <c r="BK49" i="7" s="1"/>
  <c r="BC49" i="7"/>
  <c r="BL49" i="7" s="1"/>
  <c r="BA49" i="7"/>
  <c r="BJ49" i="7" s="1"/>
  <c r="BE49" i="7"/>
  <c r="BN49" i="7" s="1"/>
  <c r="BG49" i="7"/>
  <c r="BP49" i="7" s="1"/>
  <c r="FF50" i="1"/>
  <c r="GE50" i="1" s="1"/>
  <c r="EQ50" i="1"/>
  <c r="FP50" i="1" s="1"/>
  <c r="EO50" i="1"/>
  <c r="FN50" i="1" s="1"/>
  <c r="ES50" i="1"/>
  <c r="FR50" i="1" s="1"/>
  <c r="FC50" i="1"/>
  <c r="GB50" i="1" s="1"/>
  <c r="BD48" i="7"/>
  <c r="BF48" i="7"/>
  <c r="BO48" i="7" s="1"/>
  <c r="BB48" i="7"/>
  <c r="BK48" i="7" s="1"/>
  <c r="BC48" i="7"/>
  <c r="BL48" i="7" s="1"/>
  <c r="BA48" i="7"/>
  <c r="BJ48" i="7" s="1"/>
  <c r="BE48" i="7"/>
  <c r="BN48" i="7" s="1"/>
  <c r="BG48" i="7"/>
  <c r="BP48" i="7" s="1"/>
  <c r="FF49" i="1"/>
  <c r="GE49" i="1" s="1"/>
  <c r="EQ49" i="1"/>
  <c r="FP49" i="1" s="1"/>
  <c r="EO49" i="1"/>
  <c r="FN49" i="1" s="1"/>
  <c r="ES49" i="1"/>
  <c r="FR49" i="1" s="1"/>
  <c r="FC49" i="1"/>
  <c r="GB49" i="1" s="1"/>
  <c r="BD47" i="7"/>
  <c r="BM47" i="7" s="1"/>
  <c r="BF47" i="7"/>
  <c r="BO47" i="7"/>
  <c r="BB47" i="7"/>
  <c r="BK47" i="7" s="1"/>
  <c r="BC47" i="7"/>
  <c r="BL47" i="7" s="1"/>
  <c r="BA47" i="7"/>
  <c r="BJ47" i="7" s="1"/>
  <c r="BE47" i="7"/>
  <c r="BN47" i="7" s="1"/>
  <c r="BG47" i="7"/>
  <c r="BP47" i="7" s="1"/>
  <c r="FF48" i="1"/>
  <c r="GE48" i="1" s="1"/>
  <c r="EQ48" i="1"/>
  <c r="FP48" i="1" s="1"/>
  <c r="EP48" i="1"/>
  <c r="FO48" i="1" s="1"/>
  <c r="EO48" i="1"/>
  <c r="FN48" i="1" s="1"/>
  <c r="ES48" i="1"/>
  <c r="FR48" i="1" s="1"/>
  <c r="FC48" i="1"/>
  <c r="GB48" i="1" s="1"/>
  <c r="BD46" i="7"/>
  <c r="BF46" i="7"/>
  <c r="BO46" i="7" s="1"/>
  <c r="BB46" i="7"/>
  <c r="BK46" i="7" s="1"/>
  <c r="BC46" i="7"/>
  <c r="BL46" i="7" s="1"/>
  <c r="BA46" i="7"/>
  <c r="BJ46" i="7" s="1"/>
  <c r="BE46" i="7"/>
  <c r="BN46" i="7" s="1"/>
  <c r="BG46" i="7"/>
  <c r="BP46" i="7" s="1"/>
  <c r="FF47" i="1"/>
  <c r="GE47" i="1" s="1"/>
  <c r="EQ47" i="1"/>
  <c r="FP47" i="1" s="1"/>
  <c r="EP47" i="1"/>
  <c r="FO47" i="1" s="1"/>
  <c r="EO47" i="1"/>
  <c r="FN47" i="1" s="1"/>
  <c r="ES47" i="1"/>
  <c r="FR47" i="1" s="1"/>
  <c r="FC47" i="1"/>
  <c r="GB47" i="1"/>
  <c r="BD45" i="7"/>
  <c r="BM45" i="7" s="1"/>
  <c r="BF45" i="7"/>
  <c r="BO45" i="7" s="1"/>
  <c r="BB45" i="7"/>
  <c r="BK45" i="7" s="1"/>
  <c r="BC45" i="7"/>
  <c r="BL45" i="7" s="1"/>
  <c r="BA45" i="7"/>
  <c r="BJ45" i="7" s="1"/>
  <c r="BE45" i="7"/>
  <c r="BG45" i="7"/>
  <c r="BP45" i="7" s="1"/>
  <c r="FF46" i="1"/>
  <c r="GE46" i="1" s="1"/>
  <c r="EQ46" i="1"/>
  <c r="FP46" i="1" s="1"/>
  <c r="EP46" i="1"/>
  <c r="FO46" i="1" s="1"/>
  <c r="EO46" i="1"/>
  <c r="FN46" i="1" s="1"/>
  <c r="ES46" i="1"/>
  <c r="FR46" i="1" s="1"/>
  <c r="FC46" i="1"/>
  <c r="GB46" i="1" s="1"/>
  <c r="BD44" i="7"/>
  <c r="BM44" i="7" s="1"/>
  <c r="BF44" i="7"/>
  <c r="BO44" i="7" s="1"/>
  <c r="BB44" i="7"/>
  <c r="BK44" i="7" s="1"/>
  <c r="BC44" i="7"/>
  <c r="BL44" i="7" s="1"/>
  <c r="BA44" i="7"/>
  <c r="BJ44" i="7" s="1"/>
  <c r="BE44" i="7"/>
  <c r="BN44" i="7" s="1"/>
  <c r="BG44" i="7"/>
  <c r="BP44" i="7"/>
  <c r="FF45" i="1"/>
  <c r="GE45" i="1" s="1"/>
  <c r="EQ45" i="1"/>
  <c r="FP45" i="1" s="1"/>
  <c r="EP45" i="1"/>
  <c r="FO45" i="1"/>
  <c r="EO45" i="1"/>
  <c r="FN45" i="1" s="1"/>
  <c r="ES45" i="1"/>
  <c r="FR45" i="1" s="1"/>
  <c r="FC45" i="1"/>
  <c r="GB45" i="1" s="1"/>
  <c r="BD43" i="7"/>
  <c r="BF43" i="7"/>
  <c r="BO43" i="7" s="1"/>
  <c r="BB43" i="7"/>
  <c r="BK43" i="7" s="1"/>
  <c r="BC43" i="7"/>
  <c r="BL43" i="7" s="1"/>
  <c r="BA43" i="7"/>
  <c r="BJ43" i="7" s="1"/>
  <c r="BE43" i="7"/>
  <c r="BN43" i="7" s="1"/>
  <c r="BG43" i="7"/>
  <c r="BP43" i="7" s="1"/>
  <c r="FF44" i="1"/>
  <c r="GE44" i="1" s="1"/>
  <c r="EQ44" i="1"/>
  <c r="FP44" i="1" s="1"/>
  <c r="EP44" i="1"/>
  <c r="FO44" i="1" s="1"/>
  <c r="EO44" i="1"/>
  <c r="FN44" i="1" s="1"/>
  <c r="ES44" i="1"/>
  <c r="FR44" i="1" s="1"/>
  <c r="FC44" i="1"/>
  <c r="GB44" i="1" s="1"/>
  <c r="BD42" i="7"/>
  <c r="BM42" i="7" s="1"/>
  <c r="BF42" i="7"/>
  <c r="BO42" i="7" s="1"/>
  <c r="BB42" i="7"/>
  <c r="BK42" i="7" s="1"/>
  <c r="BC42" i="7"/>
  <c r="BL42" i="7" s="1"/>
  <c r="BA42" i="7"/>
  <c r="BJ42" i="7" s="1"/>
  <c r="BE42" i="7"/>
  <c r="BN42" i="7" s="1"/>
  <c r="BG42" i="7"/>
  <c r="BP42" i="7" s="1"/>
  <c r="FF43" i="1"/>
  <c r="GE43" i="1" s="1"/>
  <c r="EQ43" i="1"/>
  <c r="FP43" i="1" s="1"/>
  <c r="EP43" i="1"/>
  <c r="FO43" i="1" s="1"/>
  <c r="EO43" i="1"/>
  <c r="FN43" i="1" s="1"/>
  <c r="ES43" i="1"/>
  <c r="FR43" i="1" s="1"/>
  <c r="FC43" i="1"/>
  <c r="GB43" i="1" s="1"/>
  <c r="BD41" i="7"/>
  <c r="BM41" i="7" s="1"/>
  <c r="BF41" i="7"/>
  <c r="BO41" i="7" s="1"/>
  <c r="BB41" i="7"/>
  <c r="BK41" i="7" s="1"/>
  <c r="BC41" i="7"/>
  <c r="BL41" i="7" s="1"/>
  <c r="BA41" i="7"/>
  <c r="BJ41" i="7" s="1"/>
  <c r="BE41" i="7"/>
  <c r="BN41" i="7" s="1"/>
  <c r="BG41" i="7"/>
  <c r="BP41" i="7" s="1"/>
  <c r="FF42" i="1"/>
  <c r="GE42" i="1"/>
  <c r="EQ42" i="1"/>
  <c r="FP42" i="1" s="1"/>
  <c r="EP42" i="1"/>
  <c r="FO42" i="1" s="1"/>
  <c r="EO42" i="1"/>
  <c r="FN42" i="1"/>
  <c r="ES42" i="1"/>
  <c r="FR42" i="1"/>
  <c r="FC42" i="1"/>
  <c r="GB42" i="1" s="1"/>
  <c r="BD40" i="7"/>
  <c r="BM40" i="7" s="1"/>
  <c r="BF40" i="7"/>
  <c r="BO40" i="7" s="1"/>
  <c r="BB40" i="7"/>
  <c r="BK40" i="7" s="1"/>
  <c r="BC40" i="7"/>
  <c r="BL40" i="7" s="1"/>
  <c r="BA40" i="7"/>
  <c r="BJ40" i="7" s="1"/>
  <c r="BE40" i="7"/>
  <c r="BN40" i="7" s="1"/>
  <c r="BG40" i="7"/>
  <c r="BP40" i="7" s="1"/>
  <c r="FF41" i="1"/>
  <c r="GE41" i="1" s="1"/>
  <c r="EQ41" i="1"/>
  <c r="FP41" i="1" s="1"/>
  <c r="EP41" i="1"/>
  <c r="FO41" i="1" s="1"/>
  <c r="EO41" i="1"/>
  <c r="FN41" i="1" s="1"/>
  <c r="ES41" i="1"/>
  <c r="FR41" i="1" s="1"/>
  <c r="FC41" i="1"/>
  <c r="GB41" i="1" s="1"/>
  <c r="BD39" i="7"/>
  <c r="BM39" i="7" s="1"/>
  <c r="BF39" i="7"/>
  <c r="BO39" i="7" s="1"/>
  <c r="BB39" i="7"/>
  <c r="BK39" i="7" s="1"/>
  <c r="BC39" i="7"/>
  <c r="BL39" i="7" s="1"/>
  <c r="BA39" i="7"/>
  <c r="BE39" i="7"/>
  <c r="BN39" i="7" s="1"/>
  <c r="BG39" i="7"/>
  <c r="BP39" i="7" s="1"/>
  <c r="FF40" i="1"/>
  <c r="GE40" i="1" s="1"/>
  <c r="FG40" i="1"/>
  <c r="GF40" i="1" s="1"/>
  <c r="EQ40" i="1"/>
  <c r="FP40" i="1" s="1"/>
  <c r="EP40" i="1"/>
  <c r="FO40" i="1" s="1"/>
  <c r="EO40" i="1"/>
  <c r="FN40" i="1" s="1"/>
  <c r="ET40" i="1"/>
  <c r="ES40" i="1"/>
  <c r="FR40" i="1" s="1"/>
  <c r="FD40" i="1"/>
  <c r="GC40" i="1" s="1"/>
  <c r="EU40" i="1"/>
  <c r="FT40" i="1"/>
  <c r="EW40" i="1"/>
  <c r="FV40" i="1" s="1"/>
  <c r="EV40" i="1"/>
  <c r="FU40" i="1" s="1"/>
  <c r="FA40" i="1"/>
  <c r="FZ40" i="1" s="1"/>
  <c r="FE40" i="1"/>
  <c r="GD40" i="1" s="1"/>
  <c r="FB40" i="1"/>
  <c r="GA40" i="1"/>
  <c r="FC40" i="1"/>
  <c r="GB40" i="1"/>
  <c r="BF37" i="5"/>
  <c r="BD38" i="7"/>
  <c r="BM38" i="7" s="1"/>
  <c r="BF38" i="7"/>
  <c r="BO38" i="7" s="1"/>
  <c r="BB38" i="7"/>
  <c r="BK38" i="7" s="1"/>
  <c r="BC38" i="7"/>
  <c r="BL38" i="7" s="1"/>
  <c r="BA38" i="7"/>
  <c r="BJ38" i="7" s="1"/>
  <c r="BE38" i="7"/>
  <c r="BN38" i="7" s="1"/>
  <c r="BG38" i="7"/>
  <c r="BP38" i="7" s="1"/>
  <c r="FF39" i="1"/>
  <c r="FG39" i="1"/>
  <c r="GF39" i="1" s="1"/>
  <c r="EQ39" i="1"/>
  <c r="FP39" i="1" s="1"/>
  <c r="EP39" i="1"/>
  <c r="FO39" i="1" s="1"/>
  <c r="EO39" i="1"/>
  <c r="FN39" i="1" s="1"/>
  <c r="ET39" i="1"/>
  <c r="FS39" i="1" s="1"/>
  <c r="ES39" i="1"/>
  <c r="FR39" i="1" s="1"/>
  <c r="FD39" i="1"/>
  <c r="GC39" i="1" s="1"/>
  <c r="EU39" i="1"/>
  <c r="FT39" i="1" s="1"/>
  <c r="EW39" i="1"/>
  <c r="FV39" i="1" s="1"/>
  <c r="EV39" i="1"/>
  <c r="FU39" i="1" s="1"/>
  <c r="FA39" i="1"/>
  <c r="FZ39" i="1" s="1"/>
  <c r="FE39" i="1"/>
  <c r="GD39" i="1" s="1"/>
  <c r="FB39" i="1"/>
  <c r="GA39" i="1" s="1"/>
  <c r="FC39" i="1"/>
  <c r="GB39" i="1" s="1"/>
  <c r="EX39" i="1"/>
  <c r="FW39" i="1" s="1"/>
  <c r="BD37" i="7"/>
  <c r="BM37" i="7" s="1"/>
  <c r="BF37" i="7"/>
  <c r="BO37" i="7" s="1"/>
  <c r="BB37" i="7"/>
  <c r="BK37" i="7" s="1"/>
  <c r="BC37" i="7"/>
  <c r="BL37" i="7" s="1"/>
  <c r="BA37" i="7"/>
  <c r="BJ37" i="7" s="1"/>
  <c r="BE37" i="7"/>
  <c r="BN37" i="7" s="1"/>
  <c r="BG37" i="7"/>
  <c r="BP37" i="7" s="1"/>
  <c r="BF36" i="5"/>
  <c r="FF38" i="1"/>
  <c r="FG38" i="1"/>
  <c r="GF38" i="1" s="1"/>
  <c r="EQ38" i="1"/>
  <c r="FP38" i="1" s="1"/>
  <c r="EP38" i="1"/>
  <c r="FO38" i="1" s="1"/>
  <c r="EO38" i="1"/>
  <c r="FN38" i="1" s="1"/>
  <c r="ET38" i="1"/>
  <c r="FS38" i="1" s="1"/>
  <c r="ES38" i="1"/>
  <c r="FD38" i="1"/>
  <c r="GC38" i="1" s="1"/>
  <c r="EU38" i="1"/>
  <c r="FT38" i="1" s="1"/>
  <c r="EW38" i="1"/>
  <c r="FV38" i="1" s="1"/>
  <c r="EV38" i="1"/>
  <c r="FU38" i="1"/>
  <c r="FA38" i="1"/>
  <c r="FZ38" i="1"/>
  <c r="FE38" i="1"/>
  <c r="GD38" i="1" s="1"/>
  <c r="FB38" i="1"/>
  <c r="GA38" i="1" s="1"/>
  <c r="FC38" i="1"/>
  <c r="GB38" i="1" s="1"/>
  <c r="EX38" i="1"/>
  <c r="FW38" i="1" s="1"/>
  <c r="BF35" i="5"/>
  <c r="BD36" i="7"/>
  <c r="BM36" i="7" s="1"/>
  <c r="BF36" i="7"/>
  <c r="BO36" i="7" s="1"/>
  <c r="BB36" i="7"/>
  <c r="BK36" i="7" s="1"/>
  <c r="BC36" i="7"/>
  <c r="BL36" i="7" s="1"/>
  <c r="BA36" i="7"/>
  <c r="BJ36" i="7" s="1"/>
  <c r="BE36" i="7"/>
  <c r="BN36" i="7" s="1"/>
  <c r="BG36" i="7"/>
  <c r="BP36" i="7" s="1"/>
  <c r="FF37" i="1"/>
  <c r="FG37" i="1"/>
  <c r="GF37" i="1" s="1"/>
  <c r="EQ37" i="1"/>
  <c r="FP37" i="1" s="1"/>
  <c r="EP37" i="1"/>
  <c r="FO37" i="1" s="1"/>
  <c r="EO37" i="1"/>
  <c r="FN37" i="1" s="1"/>
  <c r="ET37" i="1"/>
  <c r="FS37" i="1" s="1"/>
  <c r="ES37" i="1"/>
  <c r="FR37" i="1" s="1"/>
  <c r="FD37" i="1"/>
  <c r="GC37" i="1" s="1"/>
  <c r="EU37" i="1"/>
  <c r="FT37" i="1" s="1"/>
  <c r="EW37" i="1"/>
  <c r="FV37" i="1" s="1"/>
  <c r="EV37" i="1"/>
  <c r="FU37" i="1" s="1"/>
  <c r="FA37" i="1"/>
  <c r="FZ37" i="1" s="1"/>
  <c r="FE37" i="1"/>
  <c r="GD37" i="1" s="1"/>
  <c r="FB37" i="1"/>
  <c r="GA37" i="1" s="1"/>
  <c r="FC37" i="1"/>
  <c r="GB37" i="1" s="1"/>
  <c r="EX37" i="1"/>
  <c r="FW37" i="1" s="1"/>
  <c r="BF34" i="5"/>
  <c r="BD35" i="7"/>
  <c r="BF35" i="7"/>
  <c r="BO35" i="7" s="1"/>
  <c r="BB35" i="7"/>
  <c r="BK35" i="7" s="1"/>
  <c r="BC35" i="7"/>
  <c r="BL35" i="7" s="1"/>
  <c r="BA35" i="7"/>
  <c r="BJ35" i="7" s="1"/>
  <c r="BE35" i="7"/>
  <c r="BN35" i="7" s="1"/>
  <c r="BG35" i="7"/>
  <c r="BP35" i="7" s="1"/>
  <c r="FF36" i="1"/>
  <c r="FG36" i="1"/>
  <c r="GF36" i="1" s="1"/>
  <c r="EQ36" i="1"/>
  <c r="FP36" i="1" s="1"/>
  <c r="EP36" i="1"/>
  <c r="FO36" i="1" s="1"/>
  <c r="EO36" i="1"/>
  <c r="FN36" i="1" s="1"/>
  <c r="ET36" i="1"/>
  <c r="FS36" i="1" s="1"/>
  <c r="ES36" i="1"/>
  <c r="FD36" i="1"/>
  <c r="GC36" i="1" s="1"/>
  <c r="EU36" i="1"/>
  <c r="FT36" i="1" s="1"/>
  <c r="EW36" i="1"/>
  <c r="FV36" i="1" s="1"/>
  <c r="EV36" i="1"/>
  <c r="FU36" i="1" s="1"/>
  <c r="FA36" i="1"/>
  <c r="FZ36" i="1" s="1"/>
  <c r="FE36" i="1"/>
  <c r="GD36" i="1" s="1"/>
  <c r="FB36" i="1"/>
  <c r="GA36" i="1" s="1"/>
  <c r="FC36" i="1"/>
  <c r="GB36" i="1" s="1"/>
  <c r="EX36" i="1"/>
  <c r="FW36" i="1" s="1"/>
  <c r="BF33" i="5"/>
  <c r="BD34" i="7"/>
  <c r="BF34" i="7"/>
  <c r="BO34" i="7" s="1"/>
  <c r="BB34" i="7"/>
  <c r="BK34" i="7" s="1"/>
  <c r="BC34" i="7"/>
  <c r="BL34" i="7" s="1"/>
  <c r="BA34" i="7"/>
  <c r="BJ34" i="7" s="1"/>
  <c r="BE34" i="7"/>
  <c r="BN34" i="7" s="1"/>
  <c r="BG34" i="7"/>
  <c r="BP34" i="7" s="1"/>
  <c r="FF35" i="1"/>
  <c r="GE35" i="1"/>
  <c r="FG35" i="1"/>
  <c r="GF35" i="1" s="1"/>
  <c r="EQ35" i="1"/>
  <c r="FP35" i="1" s="1"/>
  <c r="EP35" i="1"/>
  <c r="FO35" i="1" s="1"/>
  <c r="EO35" i="1"/>
  <c r="FN35" i="1" s="1"/>
  <c r="ET35" i="1"/>
  <c r="FS35" i="1" s="1"/>
  <c r="ES35" i="1"/>
  <c r="FD35" i="1"/>
  <c r="GC35" i="1" s="1"/>
  <c r="EU35" i="1"/>
  <c r="FT35" i="1" s="1"/>
  <c r="EW35" i="1"/>
  <c r="FV35" i="1" s="1"/>
  <c r="EV35" i="1"/>
  <c r="FU35" i="1" s="1"/>
  <c r="FA35" i="1"/>
  <c r="FZ35" i="1" s="1"/>
  <c r="FE35" i="1"/>
  <c r="GD35" i="1" s="1"/>
  <c r="FB35" i="1"/>
  <c r="GA35" i="1"/>
  <c r="FC35" i="1"/>
  <c r="GB35" i="1" s="1"/>
  <c r="EX35" i="1"/>
  <c r="FW35" i="1" s="1"/>
  <c r="BF32" i="5"/>
  <c r="BD33" i="7"/>
  <c r="BM33" i="7" s="1"/>
  <c r="BF33" i="7"/>
  <c r="BO33" i="7" s="1"/>
  <c r="BB33" i="7"/>
  <c r="BK33" i="7" s="1"/>
  <c r="BC33" i="7"/>
  <c r="BL33" i="7" s="1"/>
  <c r="BA33" i="7"/>
  <c r="BJ33" i="7" s="1"/>
  <c r="BE33" i="7"/>
  <c r="BN33" i="7" s="1"/>
  <c r="BG33" i="7"/>
  <c r="BP33" i="7" s="1"/>
  <c r="FF34" i="1"/>
  <c r="FG34" i="1"/>
  <c r="GF34" i="1" s="1"/>
  <c r="EQ34" i="1"/>
  <c r="FP34" i="1" s="1"/>
  <c r="EP34" i="1"/>
  <c r="FO34" i="1" s="1"/>
  <c r="EO34" i="1"/>
  <c r="FN34" i="1" s="1"/>
  <c r="ET34" i="1"/>
  <c r="FS34" i="1" s="1"/>
  <c r="ES34" i="1"/>
  <c r="FR34" i="1" s="1"/>
  <c r="FD34" i="1"/>
  <c r="GC34" i="1" s="1"/>
  <c r="EU34" i="1"/>
  <c r="FT34" i="1" s="1"/>
  <c r="EZ34" i="1"/>
  <c r="FY34" i="1" s="1"/>
  <c r="EW34" i="1"/>
  <c r="FV34" i="1" s="1"/>
  <c r="EV34" i="1"/>
  <c r="FU34" i="1" s="1"/>
  <c r="FA34" i="1"/>
  <c r="FZ34" i="1" s="1"/>
  <c r="FE34" i="1"/>
  <c r="GD34" i="1" s="1"/>
  <c r="FB34" i="1"/>
  <c r="GA34" i="1" s="1"/>
  <c r="FC34" i="1"/>
  <c r="GB34" i="1" s="1"/>
  <c r="EX34" i="1"/>
  <c r="FW34" i="1"/>
  <c r="BF31" i="5"/>
  <c r="BD32" i="7"/>
  <c r="BM32" i="7" s="1"/>
  <c r="BF32" i="7"/>
  <c r="BO32" i="7" s="1"/>
  <c r="BB32" i="7"/>
  <c r="BK32" i="7" s="1"/>
  <c r="BC32" i="7"/>
  <c r="BL32" i="7" s="1"/>
  <c r="BA32" i="7"/>
  <c r="BJ32" i="7" s="1"/>
  <c r="BE32" i="7"/>
  <c r="BN32" i="7" s="1"/>
  <c r="BG32" i="7"/>
  <c r="BP32" i="7" s="1"/>
  <c r="FF33" i="1"/>
  <c r="FG33" i="1"/>
  <c r="GF33" i="1" s="1"/>
  <c r="EQ33" i="1"/>
  <c r="FP33" i="1" s="1"/>
  <c r="EP33" i="1"/>
  <c r="FO33" i="1" s="1"/>
  <c r="EO33" i="1"/>
  <c r="FN33" i="1" s="1"/>
  <c r="ET33" i="1"/>
  <c r="ES33" i="1"/>
  <c r="FR33" i="1" s="1"/>
  <c r="FD33" i="1"/>
  <c r="GC33" i="1" s="1"/>
  <c r="EU33" i="1"/>
  <c r="FT33" i="1" s="1"/>
  <c r="EZ33" i="1"/>
  <c r="FY33" i="1" s="1"/>
  <c r="EW33" i="1"/>
  <c r="FV33" i="1" s="1"/>
  <c r="EV33" i="1"/>
  <c r="FU33" i="1" s="1"/>
  <c r="FA33" i="1"/>
  <c r="FZ33" i="1" s="1"/>
  <c r="FE33" i="1"/>
  <c r="GD33" i="1" s="1"/>
  <c r="FB33" i="1"/>
  <c r="GA33" i="1"/>
  <c r="FC33" i="1"/>
  <c r="GB33" i="1" s="1"/>
  <c r="EX33" i="1"/>
  <c r="FW33" i="1" s="1"/>
  <c r="GK32" i="1"/>
  <c r="BD145" i="10"/>
  <c r="BC145" i="10"/>
  <c r="BB145" i="10"/>
  <c r="BA145" i="10"/>
  <c r="BD144" i="10"/>
  <c r="BC144" i="10"/>
  <c r="BB144" i="10"/>
  <c r="BA144" i="10"/>
  <c r="BD143" i="10"/>
  <c r="BC143" i="10"/>
  <c r="BB143" i="10"/>
  <c r="BA143" i="10"/>
  <c r="BD142" i="10"/>
  <c r="BC142" i="10"/>
  <c r="BB142" i="10"/>
  <c r="BA142" i="10"/>
  <c r="BD141" i="10"/>
  <c r="BC141" i="10"/>
  <c r="BB141" i="10"/>
  <c r="BA141" i="10"/>
  <c r="BD140" i="10"/>
  <c r="BC140" i="10"/>
  <c r="BB140" i="10"/>
  <c r="BA140" i="10"/>
  <c r="BD139" i="10"/>
  <c r="BC139" i="10"/>
  <c r="BB139" i="10"/>
  <c r="BA139" i="10"/>
  <c r="BD138" i="10"/>
  <c r="BC138" i="10"/>
  <c r="BB138" i="10"/>
  <c r="BA138" i="10"/>
  <c r="BD137" i="10"/>
  <c r="BC137" i="10"/>
  <c r="BB137" i="10"/>
  <c r="BA137" i="10"/>
  <c r="BD136" i="10"/>
  <c r="BC136" i="10"/>
  <c r="BB136" i="10"/>
  <c r="BA136" i="10"/>
  <c r="BA123" i="10"/>
  <c r="BB123" i="10"/>
  <c r="BC123" i="10"/>
  <c r="BD123" i="10"/>
  <c r="BA124" i="10"/>
  <c r="BB124" i="10"/>
  <c r="BC124" i="10"/>
  <c r="BD124" i="10"/>
  <c r="BA125" i="10"/>
  <c r="BB125" i="10"/>
  <c r="BC125" i="10"/>
  <c r="BD125" i="10"/>
  <c r="BA126" i="10"/>
  <c r="BB126" i="10"/>
  <c r="BC126" i="10"/>
  <c r="BD126" i="10"/>
  <c r="BA127" i="10"/>
  <c r="BB127" i="10"/>
  <c r="BC127" i="10"/>
  <c r="BD127" i="10"/>
  <c r="BA128" i="10"/>
  <c r="BB128" i="10"/>
  <c r="BC128" i="10"/>
  <c r="BD128" i="10"/>
  <c r="BA129" i="10"/>
  <c r="BB129" i="10"/>
  <c r="BC129" i="10"/>
  <c r="BD129" i="10"/>
  <c r="BA130" i="10"/>
  <c r="BB130" i="10"/>
  <c r="BC130" i="10"/>
  <c r="BD130" i="10"/>
  <c r="BA131" i="10"/>
  <c r="BB131" i="10"/>
  <c r="BC131" i="10"/>
  <c r="BD131" i="10"/>
  <c r="BA132" i="10"/>
  <c r="BB132" i="10"/>
  <c r="BC132" i="10"/>
  <c r="BD132" i="10"/>
  <c r="BA133" i="10"/>
  <c r="BB133" i="10"/>
  <c r="BC133" i="10"/>
  <c r="BD133" i="10"/>
  <c r="BA134" i="10"/>
  <c r="BB134" i="10"/>
  <c r="BC134" i="10"/>
  <c r="BD134" i="10"/>
  <c r="BA135" i="10"/>
  <c r="BB135" i="10"/>
  <c r="BC135" i="10"/>
  <c r="BD135" i="10"/>
  <c r="BA115" i="10"/>
  <c r="BB115" i="10"/>
  <c r="BC115" i="10"/>
  <c r="BD115" i="10"/>
  <c r="BA116" i="10"/>
  <c r="BB116" i="10"/>
  <c r="BC116" i="10"/>
  <c r="BD116" i="10"/>
  <c r="BA117" i="10"/>
  <c r="BB117" i="10"/>
  <c r="BC117" i="10"/>
  <c r="BD117" i="10"/>
  <c r="BA118" i="10"/>
  <c r="BB118" i="10"/>
  <c r="BC118" i="10"/>
  <c r="BD118" i="10"/>
  <c r="BA119" i="10"/>
  <c r="BB119" i="10"/>
  <c r="BC119" i="10"/>
  <c r="BD119" i="10"/>
  <c r="BA120" i="10"/>
  <c r="BB120" i="10"/>
  <c r="BC120" i="10"/>
  <c r="BD120" i="10"/>
  <c r="BA121" i="10"/>
  <c r="BB121" i="10"/>
  <c r="BC121" i="10"/>
  <c r="BD121" i="10"/>
  <c r="BA122" i="10"/>
  <c r="BB122" i="10"/>
  <c r="BC122" i="10"/>
  <c r="BD122" i="10"/>
  <c r="BD114" i="10"/>
  <c r="BC114" i="10"/>
  <c r="BB114" i="10"/>
  <c r="BA114" i="10"/>
  <c r="BD113" i="10"/>
  <c r="BC113" i="10"/>
  <c r="BB113" i="10"/>
  <c r="BA113" i="10"/>
  <c r="BD112" i="10"/>
  <c r="BC112" i="10"/>
  <c r="BB112" i="10"/>
  <c r="BA112" i="10"/>
  <c r="BA118" i="9"/>
  <c r="BJ118" i="9" s="1"/>
  <c r="BB118" i="9"/>
  <c r="BK118" i="9" s="1"/>
  <c r="BC118" i="9"/>
  <c r="BL118" i="9" s="1"/>
  <c r="BD118" i="9"/>
  <c r="BM118" i="9" s="1"/>
  <c r="BE118" i="9"/>
  <c r="BN118" i="9" s="1"/>
  <c r="BF118" i="9"/>
  <c r="BO118" i="9" s="1"/>
  <c r="BG118" i="9"/>
  <c r="BP118" i="9"/>
  <c r="BA119" i="9"/>
  <c r="BJ119" i="9" s="1"/>
  <c r="BB119" i="9"/>
  <c r="BK119" i="9" s="1"/>
  <c r="BC119" i="9"/>
  <c r="BL119" i="9" s="1"/>
  <c r="BD119" i="9"/>
  <c r="BM119" i="9" s="1"/>
  <c r="BE119" i="9"/>
  <c r="BN119" i="9" s="1"/>
  <c r="BF119" i="9"/>
  <c r="BO119" i="9" s="1"/>
  <c r="BG119" i="9"/>
  <c r="BP119" i="9" s="1"/>
  <c r="BA120" i="9"/>
  <c r="BJ120" i="9" s="1"/>
  <c r="BB120" i="9"/>
  <c r="BK120" i="9" s="1"/>
  <c r="BC120" i="9"/>
  <c r="BL120" i="9" s="1"/>
  <c r="BD120" i="9"/>
  <c r="BM120" i="9" s="1"/>
  <c r="BE120" i="9"/>
  <c r="BN120" i="9" s="1"/>
  <c r="BF120" i="9"/>
  <c r="BO120" i="9" s="1"/>
  <c r="BG120" i="9"/>
  <c r="BA121" i="9"/>
  <c r="BJ121" i="9" s="1"/>
  <c r="BB121" i="9"/>
  <c r="BK121" i="9" s="1"/>
  <c r="BC121" i="9"/>
  <c r="BL121" i="9" s="1"/>
  <c r="BD121" i="9"/>
  <c r="BM121" i="9" s="1"/>
  <c r="BE121" i="9"/>
  <c r="BN121" i="9" s="1"/>
  <c r="BF121" i="9"/>
  <c r="BO121" i="9" s="1"/>
  <c r="BG121" i="9"/>
  <c r="BA122" i="9"/>
  <c r="BJ122" i="9" s="1"/>
  <c r="BB122" i="9"/>
  <c r="BK122" i="9" s="1"/>
  <c r="BC122" i="9"/>
  <c r="BL122" i="9" s="1"/>
  <c r="BD122" i="9"/>
  <c r="BM122" i="9" s="1"/>
  <c r="BE122" i="9"/>
  <c r="BN122" i="9" s="1"/>
  <c r="BF122" i="9"/>
  <c r="BO122" i="9" s="1"/>
  <c r="BG122" i="9"/>
  <c r="BA123" i="9"/>
  <c r="BJ123" i="9" s="1"/>
  <c r="BB123" i="9"/>
  <c r="BK123" i="9" s="1"/>
  <c r="BC123" i="9"/>
  <c r="BL123" i="9" s="1"/>
  <c r="BD123" i="9"/>
  <c r="BM123" i="9" s="1"/>
  <c r="BE123" i="9"/>
  <c r="BN123" i="9" s="1"/>
  <c r="BF123" i="9"/>
  <c r="BG123" i="9"/>
  <c r="BO123" i="9"/>
  <c r="BA124" i="9"/>
  <c r="BJ124" i="9" s="1"/>
  <c r="BB124" i="9"/>
  <c r="BK124" i="9" s="1"/>
  <c r="BC124" i="9"/>
  <c r="BL124" i="9" s="1"/>
  <c r="BD124" i="9"/>
  <c r="BM124" i="9" s="1"/>
  <c r="BE124" i="9"/>
  <c r="BN124" i="9" s="1"/>
  <c r="BF124" i="9"/>
  <c r="BO124" i="9" s="1"/>
  <c r="BG124" i="9"/>
  <c r="BP124" i="9"/>
  <c r="BA125" i="9"/>
  <c r="BJ125" i="9" s="1"/>
  <c r="BB125" i="9"/>
  <c r="BK125" i="9" s="1"/>
  <c r="BC125" i="9"/>
  <c r="BL125" i="9" s="1"/>
  <c r="BD125" i="9"/>
  <c r="BM125" i="9" s="1"/>
  <c r="BE125" i="9"/>
  <c r="BN125" i="9" s="1"/>
  <c r="BF125" i="9"/>
  <c r="BO125" i="9" s="1"/>
  <c r="BG125" i="9"/>
  <c r="BA126" i="9"/>
  <c r="BJ126" i="9" s="1"/>
  <c r="BB126" i="9"/>
  <c r="BK126" i="9" s="1"/>
  <c r="BC126" i="9"/>
  <c r="BL126" i="9" s="1"/>
  <c r="BD126" i="9"/>
  <c r="BM126" i="9" s="1"/>
  <c r="BE126" i="9"/>
  <c r="BN126" i="9" s="1"/>
  <c r="BF126" i="9"/>
  <c r="BO126" i="9" s="1"/>
  <c r="BG126" i="9"/>
  <c r="BA127" i="9"/>
  <c r="BB127" i="9"/>
  <c r="BK127" i="9" s="1"/>
  <c r="BC127" i="9"/>
  <c r="BL127" i="9" s="1"/>
  <c r="BD127" i="9"/>
  <c r="BM127" i="9" s="1"/>
  <c r="BE127" i="9"/>
  <c r="BN127" i="9" s="1"/>
  <c r="BF127" i="9"/>
  <c r="BO127" i="9" s="1"/>
  <c r="BG127" i="9"/>
  <c r="BJ127" i="9"/>
  <c r="BA128" i="9"/>
  <c r="BB128" i="9"/>
  <c r="BK128" i="9" s="1"/>
  <c r="BC128" i="9"/>
  <c r="BL128" i="9" s="1"/>
  <c r="BD128" i="9"/>
  <c r="BM128" i="9" s="1"/>
  <c r="BE128" i="9"/>
  <c r="BN128" i="9" s="1"/>
  <c r="BF128" i="9"/>
  <c r="BO128" i="9" s="1"/>
  <c r="BG128" i="9"/>
  <c r="BJ128" i="9"/>
  <c r="BA129" i="9"/>
  <c r="BJ129" i="9" s="1"/>
  <c r="BB129" i="9"/>
  <c r="BK129" i="9" s="1"/>
  <c r="BC129" i="9"/>
  <c r="BL129" i="9" s="1"/>
  <c r="BD129" i="9"/>
  <c r="BM129" i="9" s="1"/>
  <c r="BE129" i="9"/>
  <c r="BN129" i="9" s="1"/>
  <c r="BF129" i="9"/>
  <c r="BO129" i="9" s="1"/>
  <c r="BG129" i="9"/>
  <c r="BA130" i="9"/>
  <c r="BJ130" i="9" s="1"/>
  <c r="BB130" i="9"/>
  <c r="BC130" i="9"/>
  <c r="BL130" i="9" s="1"/>
  <c r="BD130" i="9"/>
  <c r="BM130" i="9" s="1"/>
  <c r="BE130" i="9"/>
  <c r="BN130" i="9" s="1"/>
  <c r="BF130" i="9"/>
  <c r="BO130" i="9" s="1"/>
  <c r="BG130" i="9"/>
  <c r="BK130" i="9"/>
  <c r="BP130" i="9"/>
  <c r="BA131" i="9"/>
  <c r="BJ131" i="9" s="1"/>
  <c r="BB131" i="9"/>
  <c r="BK131" i="9" s="1"/>
  <c r="BC131" i="9"/>
  <c r="BL131" i="9" s="1"/>
  <c r="BD131" i="9"/>
  <c r="BM131" i="9" s="1"/>
  <c r="BE131" i="9"/>
  <c r="BN131" i="9" s="1"/>
  <c r="BF131" i="9"/>
  <c r="BO131" i="9" s="1"/>
  <c r="BG131" i="9"/>
  <c r="BA132" i="9"/>
  <c r="BJ132" i="9" s="1"/>
  <c r="BB132" i="9"/>
  <c r="BC132" i="9"/>
  <c r="BD132" i="9"/>
  <c r="BM132" i="9" s="1"/>
  <c r="BE132" i="9"/>
  <c r="BN132" i="9" s="1"/>
  <c r="BF132" i="9"/>
  <c r="BO132" i="9" s="1"/>
  <c r="BG132" i="9"/>
  <c r="BP132" i="9" s="1"/>
  <c r="BK132" i="9"/>
  <c r="BL132" i="9"/>
  <c r="BA133" i="9"/>
  <c r="BJ133" i="9" s="1"/>
  <c r="BB133" i="9"/>
  <c r="BK133" i="9" s="1"/>
  <c r="BC133" i="9"/>
  <c r="BL133" i="9" s="1"/>
  <c r="BD133" i="9"/>
  <c r="BM133" i="9" s="1"/>
  <c r="BE133" i="9"/>
  <c r="BN133" i="9" s="1"/>
  <c r="BF133" i="9"/>
  <c r="BO133" i="9" s="1"/>
  <c r="BG133" i="9"/>
  <c r="BA134" i="9"/>
  <c r="BB134" i="9"/>
  <c r="BK134" i="9" s="1"/>
  <c r="BC134" i="9"/>
  <c r="BL134" i="9" s="1"/>
  <c r="BD134" i="9"/>
  <c r="BM134" i="9" s="1"/>
  <c r="BE134" i="9"/>
  <c r="BN134" i="9" s="1"/>
  <c r="BF134" i="9"/>
  <c r="BO134" i="9" s="1"/>
  <c r="BG134" i="9"/>
  <c r="BJ134" i="9"/>
  <c r="BA135" i="9"/>
  <c r="BJ135" i="9" s="1"/>
  <c r="BB135" i="9"/>
  <c r="BK135" i="9" s="1"/>
  <c r="BC135" i="9"/>
  <c r="BL135" i="9" s="1"/>
  <c r="BD135" i="9"/>
  <c r="BM135" i="9" s="1"/>
  <c r="BE135" i="9"/>
  <c r="BN135" i="9" s="1"/>
  <c r="BF135" i="9"/>
  <c r="BO135" i="9" s="1"/>
  <c r="BG135" i="9"/>
  <c r="BA136" i="9"/>
  <c r="BJ136" i="9" s="1"/>
  <c r="BB136" i="9"/>
  <c r="BC136" i="9"/>
  <c r="BL136" i="9" s="1"/>
  <c r="BD136" i="9"/>
  <c r="BM136" i="9" s="1"/>
  <c r="BE136" i="9"/>
  <c r="BN136" i="9" s="1"/>
  <c r="BF136" i="9"/>
  <c r="BO136" i="9" s="1"/>
  <c r="BG136" i="9"/>
  <c r="BK136" i="9"/>
  <c r="BP136" i="9"/>
  <c r="BA137" i="9"/>
  <c r="BJ137" i="9" s="1"/>
  <c r="BB137" i="9"/>
  <c r="BK137" i="9" s="1"/>
  <c r="BC137" i="9"/>
  <c r="BL137" i="9" s="1"/>
  <c r="BD137" i="9"/>
  <c r="BM137" i="9" s="1"/>
  <c r="BE137" i="9"/>
  <c r="BN137" i="9" s="1"/>
  <c r="BF137" i="9"/>
  <c r="BO137" i="9" s="1"/>
  <c r="BG137" i="9"/>
  <c r="BA138" i="9"/>
  <c r="BJ138" i="9" s="1"/>
  <c r="BB138" i="9"/>
  <c r="BK138" i="9" s="1"/>
  <c r="BC138" i="9"/>
  <c r="BL138" i="9" s="1"/>
  <c r="BD138" i="9"/>
  <c r="BM138" i="9" s="1"/>
  <c r="BE138" i="9"/>
  <c r="BN138" i="9" s="1"/>
  <c r="BF138" i="9"/>
  <c r="BO138" i="9" s="1"/>
  <c r="BG138" i="9"/>
  <c r="BA139" i="9"/>
  <c r="BJ139" i="9" s="1"/>
  <c r="BB139" i="9"/>
  <c r="BK139" i="9" s="1"/>
  <c r="BC139" i="9"/>
  <c r="BL139" i="9" s="1"/>
  <c r="BD139" i="9"/>
  <c r="BM139" i="9" s="1"/>
  <c r="BE139" i="9"/>
  <c r="BN139" i="9" s="1"/>
  <c r="BF139" i="9"/>
  <c r="BO139" i="9" s="1"/>
  <c r="BG139" i="9"/>
  <c r="BP139" i="9"/>
  <c r="BA140" i="9"/>
  <c r="BJ140" i="9" s="1"/>
  <c r="BB140" i="9"/>
  <c r="BK140" i="9" s="1"/>
  <c r="BC140" i="9"/>
  <c r="BL140" i="9" s="1"/>
  <c r="BD140" i="9"/>
  <c r="BM140" i="9" s="1"/>
  <c r="BE140" i="9"/>
  <c r="BN140" i="9" s="1"/>
  <c r="BF140" i="9"/>
  <c r="BO140" i="9" s="1"/>
  <c r="BG140" i="9"/>
  <c r="BA141" i="9"/>
  <c r="BJ141" i="9" s="1"/>
  <c r="BB141" i="9"/>
  <c r="BK141" i="9" s="1"/>
  <c r="BC141" i="9"/>
  <c r="BL141" i="9" s="1"/>
  <c r="BD141" i="9"/>
  <c r="BM141" i="9" s="1"/>
  <c r="BE141" i="9"/>
  <c r="BN141" i="9" s="1"/>
  <c r="BF141" i="9"/>
  <c r="BO141" i="9" s="1"/>
  <c r="BG141" i="9"/>
  <c r="BA142" i="9"/>
  <c r="BJ142" i="9" s="1"/>
  <c r="BB142" i="9"/>
  <c r="BK142" i="9" s="1"/>
  <c r="BC142" i="9"/>
  <c r="BL142" i="9" s="1"/>
  <c r="BD142" i="9"/>
  <c r="BM142" i="9" s="1"/>
  <c r="BE142" i="9"/>
  <c r="BN142" i="9" s="1"/>
  <c r="BF142" i="9"/>
  <c r="BO142" i="9" s="1"/>
  <c r="BG142" i="9"/>
  <c r="BP142" i="9"/>
  <c r="BA143" i="9"/>
  <c r="BJ143" i="9" s="1"/>
  <c r="BB143" i="9"/>
  <c r="BK143" i="9" s="1"/>
  <c r="BC143" i="9"/>
  <c r="BL143" i="9" s="1"/>
  <c r="BD143" i="9"/>
  <c r="BM143" i="9" s="1"/>
  <c r="BE143" i="9"/>
  <c r="BN143" i="9" s="1"/>
  <c r="BF143" i="9"/>
  <c r="BO143" i="9" s="1"/>
  <c r="BG143" i="9"/>
  <c r="BA144" i="9"/>
  <c r="BJ144" i="9" s="1"/>
  <c r="BB144" i="9"/>
  <c r="BK144" i="9" s="1"/>
  <c r="BC144" i="9"/>
  <c r="BL144" i="9" s="1"/>
  <c r="BD144" i="9"/>
  <c r="BM144" i="9" s="1"/>
  <c r="BE144" i="9"/>
  <c r="BN144" i="9" s="1"/>
  <c r="BF144" i="9"/>
  <c r="BO144" i="9" s="1"/>
  <c r="BG144" i="9"/>
  <c r="BP144" i="9" s="1"/>
  <c r="BA145" i="9"/>
  <c r="BJ145" i="9" s="1"/>
  <c r="BB145" i="9"/>
  <c r="BK145" i="9" s="1"/>
  <c r="BC145" i="9"/>
  <c r="BL145" i="9" s="1"/>
  <c r="BD145" i="9"/>
  <c r="BM145" i="9" s="1"/>
  <c r="BE145" i="9"/>
  <c r="BN145" i="9" s="1"/>
  <c r="BF145" i="9"/>
  <c r="BO145" i="9" s="1"/>
  <c r="BG145" i="9"/>
  <c r="BA146" i="9"/>
  <c r="BJ146" i="9" s="1"/>
  <c r="BB146" i="9"/>
  <c r="BK146" i="9" s="1"/>
  <c r="BC146" i="9"/>
  <c r="BL146" i="9" s="1"/>
  <c r="BD146" i="9"/>
  <c r="BM146" i="9" s="1"/>
  <c r="BE146" i="9"/>
  <c r="BN146" i="9" s="1"/>
  <c r="BF146" i="9"/>
  <c r="BO146" i="9" s="1"/>
  <c r="BG146" i="9"/>
  <c r="BP146" i="9" s="1"/>
  <c r="BA147" i="9"/>
  <c r="BJ147" i="9" s="1"/>
  <c r="BB147" i="9"/>
  <c r="BK147" i="9" s="1"/>
  <c r="BC147" i="9"/>
  <c r="BL147" i="9" s="1"/>
  <c r="BD147" i="9"/>
  <c r="BM147" i="9" s="1"/>
  <c r="BE147" i="9"/>
  <c r="BN147" i="9" s="1"/>
  <c r="BF147" i="9"/>
  <c r="BG147" i="9"/>
  <c r="BO147" i="9"/>
  <c r="BA148" i="9"/>
  <c r="BJ148" i="9" s="1"/>
  <c r="BB148" i="9"/>
  <c r="BK148" i="9" s="1"/>
  <c r="BC148" i="9"/>
  <c r="BL148" i="9" s="1"/>
  <c r="BD148" i="9"/>
  <c r="BM148" i="9" s="1"/>
  <c r="BE148" i="9"/>
  <c r="BN148" i="9" s="1"/>
  <c r="BF148" i="9"/>
  <c r="BO148" i="9" s="1"/>
  <c r="BG148" i="9"/>
  <c r="BP148" i="9" s="1"/>
  <c r="BA149" i="9"/>
  <c r="BJ149" i="9" s="1"/>
  <c r="BB149" i="9"/>
  <c r="BK149" i="9" s="1"/>
  <c r="BC149" i="9"/>
  <c r="BL149" i="9" s="1"/>
  <c r="BD149" i="9"/>
  <c r="BM149" i="9" s="1"/>
  <c r="BE149" i="9"/>
  <c r="BN149" i="9" s="1"/>
  <c r="BF149" i="9"/>
  <c r="BO149" i="9" s="1"/>
  <c r="BG149" i="9"/>
  <c r="BA150" i="9"/>
  <c r="BJ150" i="9" s="1"/>
  <c r="BB150" i="9"/>
  <c r="BK150" i="9" s="1"/>
  <c r="BC150" i="9"/>
  <c r="BL150" i="9" s="1"/>
  <c r="BD150" i="9"/>
  <c r="BM150" i="9" s="1"/>
  <c r="BE150" i="9"/>
  <c r="BN150" i="9" s="1"/>
  <c r="BF150" i="9"/>
  <c r="BO150" i="9" s="1"/>
  <c r="BG150" i="9"/>
  <c r="BA151" i="9"/>
  <c r="BJ151" i="9" s="1"/>
  <c r="BB151" i="9"/>
  <c r="BK151" i="9" s="1"/>
  <c r="BC151" i="9"/>
  <c r="BL151" i="9" s="1"/>
  <c r="BD151" i="9"/>
  <c r="BM151" i="9" s="1"/>
  <c r="BE151" i="9"/>
  <c r="BN151" i="9" s="1"/>
  <c r="BF151" i="9"/>
  <c r="BO151" i="9" s="1"/>
  <c r="BG151" i="9"/>
  <c r="BA152" i="9"/>
  <c r="BJ152" i="9" s="1"/>
  <c r="BB152" i="9"/>
  <c r="BC152" i="9"/>
  <c r="BL152" i="9" s="1"/>
  <c r="BD152" i="9"/>
  <c r="BM152" i="9" s="1"/>
  <c r="BE152" i="9"/>
  <c r="BN152" i="9" s="1"/>
  <c r="BF152" i="9"/>
  <c r="BO152" i="9" s="1"/>
  <c r="BG152" i="9"/>
  <c r="BK152" i="9"/>
  <c r="BA153" i="9"/>
  <c r="BB153" i="9"/>
  <c r="BK153" i="9" s="1"/>
  <c r="BC153" i="9"/>
  <c r="BL153" i="9" s="1"/>
  <c r="BD153" i="9"/>
  <c r="BM153" i="9" s="1"/>
  <c r="BE153" i="9"/>
  <c r="BN153" i="9" s="1"/>
  <c r="BF153" i="9"/>
  <c r="BO153" i="9" s="1"/>
  <c r="BG153" i="9"/>
  <c r="BP153" i="9" s="1"/>
  <c r="BA154" i="9"/>
  <c r="BJ154" i="9" s="1"/>
  <c r="BB154" i="9"/>
  <c r="BK154" i="9" s="1"/>
  <c r="BC154" i="9"/>
  <c r="BL154" i="9" s="1"/>
  <c r="BD154" i="9"/>
  <c r="BM154" i="9" s="1"/>
  <c r="BE154" i="9"/>
  <c r="BN154" i="9" s="1"/>
  <c r="BF154" i="9"/>
  <c r="BO154" i="9" s="1"/>
  <c r="BG154" i="9"/>
  <c r="BA155" i="9"/>
  <c r="BJ155" i="9" s="1"/>
  <c r="BB155" i="9"/>
  <c r="BC155" i="9"/>
  <c r="BL155" i="9" s="1"/>
  <c r="BD155" i="9"/>
  <c r="BM155" i="9" s="1"/>
  <c r="BE155" i="9"/>
  <c r="BN155" i="9" s="1"/>
  <c r="BF155" i="9"/>
  <c r="BO155" i="9" s="1"/>
  <c r="BG155" i="9"/>
  <c r="BP155" i="9" s="1"/>
  <c r="BK155" i="9"/>
  <c r="BA156" i="9"/>
  <c r="BJ156" i="9" s="1"/>
  <c r="BB156" i="9"/>
  <c r="BK156" i="9" s="1"/>
  <c r="BC156" i="9"/>
  <c r="BL156" i="9" s="1"/>
  <c r="BD156" i="9"/>
  <c r="BM156" i="9" s="1"/>
  <c r="BE156" i="9"/>
  <c r="BN156" i="9" s="1"/>
  <c r="BF156" i="9"/>
  <c r="BO156" i="9" s="1"/>
  <c r="BG156" i="9"/>
  <c r="BA157" i="9"/>
  <c r="BJ157" i="9" s="1"/>
  <c r="BB157" i="9"/>
  <c r="BK157" i="9" s="1"/>
  <c r="BC157" i="9"/>
  <c r="BL157" i="9" s="1"/>
  <c r="BD157" i="9"/>
  <c r="BM157" i="9" s="1"/>
  <c r="BE157" i="9"/>
  <c r="BN157" i="9" s="1"/>
  <c r="BF157" i="9"/>
  <c r="BO157" i="9" s="1"/>
  <c r="BG157" i="9"/>
  <c r="BA158" i="9"/>
  <c r="BJ158" i="9" s="1"/>
  <c r="BB158" i="9"/>
  <c r="BK158" i="9" s="1"/>
  <c r="BC158" i="9"/>
  <c r="BL158" i="9" s="1"/>
  <c r="BD158" i="9"/>
  <c r="BM158" i="9" s="1"/>
  <c r="BE158" i="9"/>
  <c r="BN158" i="9" s="1"/>
  <c r="BF158" i="9"/>
  <c r="BO158" i="9" s="1"/>
  <c r="BG158" i="9"/>
  <c r="BA159" i="9"/>
  <c r="BJ159" i="9" s="1"/>
  <c r="BB159" i="9"/>
  <c r="BK159" i="9" s="1"/>
  <c r="BC159" i="9"/>
  <c r="BL159" i="9" s="1"/>
  <c r="BD159" i="9"/>
  <c r="BM159" i="9" s="1"/>
  <c r="BE159" i="9"/>
  <c r="BN159" i="9" s="1"/>
  <c r="BF159" i="9"/>
  <c r="BO159" i="9" s="1"/>
  <c r="BG159" i="9"/>
  <c r="BP159" i="9" s="1"/>
  <c r="BA160" i="9"/>
  <c r="BJ160" i="9" s="1"/>
  <c r="BB160" i="9"/>
  <c r="BK160" i="9" s="1"/>
  <c r="BC160" i="9"/>
  <c r="BL160" i="9" s="1"/>
  <c r="BD160" i="9"/>
  <c r="BE160" i="9"/>
  <c r="BN160" i="9" s="1"/>
  <c r="BF160" i="9"/>
  <c r="BO160" i="9" s="1"/>
  <c r="BG160" i="9"/>
  <c r="BP160" i="9" s="1"/>
  <c r="BM160" i="9"/>
  <c r="BA161" i="9"/>
  <c r="BJ161" i="9" s="1"/>
  <c r="BB161" i="9"/>
  <c r="BK161" i="9" s="1"/>
  <c r="BC161" i="9"/>
  <c r="BL161" i="9" s="1"/>
  <c r="BD161" i="9"/>
  <c r="BM161" i="9" s="1"/>
  <c r="BE161" i="9"/>
  <c r="BN161" i="9" s="1"/>
  <c r="BF161" i="9"/>
  <c r="BG161" i="9"/>
  <c r="BO161" i="9"/>
  <c r="BA162" i="9"/>
  <c r="BJ162" i="9" s="1"/>
  <c r="BB162" i="9"/>
  <c r="BC162" i="9"/>
  <c r="BL162" i="9" s="1"/>
  <c r="BD162" i="9"/>
  <c r="BE162" i="9"/>
  <c r="BN162" i="9" s="1"/>
  <c r="BF162" i="9"/>
  <c r="BO162" i="9" s="1"/>
  <c r="BG162" i="9"/>
  <c r="BP162" i="9" s="1"/>
  <c r="BK162" i="9"/>
  <c r="BJ163" i="9"/>
  <c r="BB163" i="9"/>
  <c r="BK163" i="9" s="1"/>
  <c r="BC163" i="9"/>
  <c r="BL163" i="9" s="1"/>
  <c r="BD163" i="9"/>
  <c r="BM163" i="9" s="1"/>
  <c r="BE163" i="9"/>
  <c r="BN163" i="9" s="1"/>
  <c r="BF163" i="9"/>
  <c r="BG163" i="9"/>
  <c r="BO163" i="9"/>
  <c r="BA164" i="9"/>
  <c r="BJ164" i="9" s="1"/>
  <c r="BB164" i="9"/>
  <c r="BK164" i="9" s="1"/>
  <c r="BC164" i="9"/>
  <c r="BL164" i="9" s="1"/>
  <c r="BD164" i="9"/>
  <c r="BE164" i="9"/>
  <c r="BF164" i="9"/>
  <c r="BG164" i="9"/>
  <c r="BP164" i="9" s="1"/>
  <c r="BM164" i="9"/>
  <c r="BO164" i="9"/>
  <c r="BA165" i="9"/>
  <c r="BJ165" i="9" s="1"/>
  <c r="BB165" i="9"/>
  <c r="BK165" i="9" s="1"/>
  <c r="BC165" i="9"/>
  <c r="BL165" i="9" s="1"/>
  <c r="BD165" i="9"/>
  <c r="BE165" i="9"/>
  <c r="BN165" i="9" s="1"/>
  <c r="BF165" i="9"/>
  <c r="BO165" i="9" s="1"/>
  <c r="BG165" i="9"/>
  <c r="BP165" i="9" s="1"/>
  <c r="BM165" i="9"/>
  <c r="BA166" i="9"/>
  <c r="BJ166" i="9" s="1"/>
  <c r="BB166" i="9"/>
  <c r="BC166" i="9"/>
  <c r="BD166" i="9"/>
  <c r="BM166" i="9" s="1"/>
  <c r="BE166" i="9"/>
  <c r="BF166" i="9"/>
  <c r="BO166" i="9" s="1"/>
  <c r="BG166" i="9"/>
  <c r="BP166" i="9" s="1"/>
  <c r="BK166" i="9"/>
  <c r="BL166" i="9"/>
  <c r="BA167" i="9"/>
  <c r="BJ167" i="9" s="1"/>
  <c r="BB167" i="9"/>
  <c r="BK167" i="9" s="1"/>
  <c r="BC167" i="9"/>
  <c r="BL167" i="9" s="1"/>
  <c r="BD167" i="9"/>
  <c r="BM167" i="9" s="1"/>
  <c r="BE167" i="9"/>
  <c r="BN167" i="9" s="1"/>
  <c r="BF167" i="9"/>
  <c r="BO167" i="9" s="1"/>
  <c r="BG167" i="9"/>
  <c r="BA168" i="9"/>
  <c r="BJ168" i="9" s="1"/>
  <c r="BB168" i="9"/>
  <c r="BK168" i="9" s="1"/>
  <c r="BC168" i="9"/>
  <c r="BL168" i="9" s="1"/>
  <c r="BD168" i="9"/>
  <c r="BM168" i="9" s="1"/>
  <c r="BE168" i="9"/>
  <c r="BN168" i="9" s="1"/>
  <c r="BF168" i="9"/>
  <c r="BO168" i="9" s="1"/>
  <c r="BG168" i="9"/>
  <c r="BA169" i="9"/>
  <c r="BJ169" i="9" s="1"/>
  <c r="BB169" i="9"/>
  <c r="BK169" i="9" s="1"/>
  <c r="BC169" i="9"/>
  <c r="BL169" i="9" s="1"/>
  <c r="BD169" i="9"/>
  <c r="BM169" i="9" s="1"/>
  <c r="BE169" i="9"/>
  <c r="BN169" i="9" s="1"/>
  <c r="BF169" i="9"/>
  <c r="BO169" i="9" s="1"/>
  <c r="BG169" i="9"/>
  <c r="BA170" i="9"/>
  <c r="BJ170" i="9" s="1"/>
  <c r="BB170" i="9"/>
  <c r="BK170" i="9" s="1"/>
  <c r="BC170" i="9"/>
  <c r="BL170" i="9" s="1"/>
  <c r="BD170" i="9"/>
  <c r="BM170" i="9" s="1"/>
  <c r="BE170" i="9"/>
  <c r="BN170" i="9" s="1"/>
  <c r="BF170" i="9"/>
  <c r="BO170" i="9" s="1"/>
  <c r="BG170" i="9"/>
  <c r="BA171" i="9"/>
  <c r="BJ171" i="9" s="1"/>
  <c r="BB171" i="9"/>
  <c r="BK171" i="9" s="1"/>
  <c r="BC171" i="9"/>
  <c r="BL171" i="9" s="1"/>
  <c r="BD171" i="9"/>
  <c r="BM171" i="9" s="1"/>
  <c r="BE171" i="9"/>
  <c r="BN171" i="9" s="1"/>
  <c r="BF171" i="9"/>
  <c r="BO171" i="9" s="1"/>
  <c r="BG171" i="9"/>
  <c r="BA172" i="9"/>
  <c r="BJ172" i="9" s="1"/>
  <c r="BB172" i="9"/>
  <c r="BK172" i="9" s="1"/>
  <c r="BC172" i="9"/>
  <c r="BL172" i="9" s="1"/>
  <c r="BD172" i="9"/>
  <c r="BM172" i="9" s="1"/>
  <c r="BE172" i="9"/>
  <c r="BN172" i="9" s="1"/>
  <c r="BF172" i="9"/>
  <c r="BO172" i="9" s="1"/>
  <c r="BG172" i="9"/>
  <c r="BA173" i="9"/>
  <c r="BJ173" i="9" s="1"/>
  <c r="BB173" i="9"/>
  <c r="BK173" i="9" s="1"/>
  <c r="BC173" i="9"/>
  <c r="BL173" i="9" s="1"/>
  <c r="BD173" i="9"/>
  <c r="BM173" i="9" s="1"/>
  <c r="BE173" i="9"/>
  <c r="BN173" i="9" s="1"/>
  <c r="BF173" i="9"/>
  <c r="BO173" i="9" s="1"/>
  <c r="BG173" i="9"/>
  <c r="BA174" i="9"/>
  <c r="BJ174" i="9" s="1"/>
  <c r="BB174" i="9"/>
  <c r="BK174" i="9" s="1"/>
  <c r="BC174" i="9"/>
  <c r="BL174" i="9" s="1"/>
  <c r="BD174" i="9"/>
  <c r="BM174" i="9" s="1"/>
  <c r="BE174" i="9"/>
  <c r="BN174" i="9" s="1"/>
  <c r="BF174" i="9"/>
  <c r="BO174" i="9" s="1"/>
  <c r="BG174" i="9"/>
  <c r="BA175" i="9"/>
  <c r="BJ175" i="9" s="1"/>
  <c r="BB175" i="9"/>
  <c r="BK175" i="9" s="1"/>
  <c r="BC175" i="9"/>
  <c r="BL175" i="9" s="1"/>
  <c r="BD175" i="9"/>
  <c r="BM175" i="9" s="1"/>
  <c r="BE175" i="9"/>
  <c r="BN175" i="9" s="1"/>
  <c r="BF175" i="9"/>
  <c r="BO175" i="9" s="1"/>
  <c r="BG175" i="9"/>
  <c r="BA176" i="9"/>
  <c r="BJ176" i="9" s="1"/>
  <c r="BB176" i="9"/>
  <c r="BK176" i="9" s="1"/>
  <c r="BC176" i="9"/>
  <c r="BL176" i="9" s="1"/>
  <c r="BD176" i="9"/>
  <c r="BM176" i="9" s="1"/>
  <c r="BE176" i="9"/>
  <c r="BN176" i="9" s="1"/>
  <c r="BF176" i="9"/>
  <c r="BO176" i="9" s="1"/>
  <c r="BG176" i="9"/>
  <c r="BA177" i="9"/>
  <c r="BJ177" i="9" s="1"/>
  <c r="BB177" i="9"/>
  <c r="BK177" i="9" s="1"/>
  <c r="BC177" i="9"/>
  <c r="BL177" i="9" s="1"/>
  <c r="BD177" i="9"/>
  <c r="BM177" i="9" s="1"/>
  <c r="BE177" i="9"/>
  <c r="BN177" i="9" s="1"/>
  <c r="BF177" i="9"/>
  <c r="BO177" i="9" s="1"/>
  <c r="BG177" i="9"/>
  <c r="BA178" i="9"/>
  <c r="BJ178" i="9" s="1"/>
  <c r="BB178" i="9"/>
  <c r="BK178" i="9" s="1"/>
  <c r="BC178" i="9"/>
  <c r="BL178" i="9" s="1"/>
  <c r="BD178" i="9"/>
  <c r="BM178" i="9" s="1"/>
  <c r="BE178" i="9"/>
  <c r="BN178" i="9" s="1"/>
  <c r="BF178" i="9"/>
  <c r="BO178" i="9" s="1"/>
  <c r="BG178" i="9"/>
  <c r="BA179" i="9"/>
  <c r="BJ179" i="9" s="1"/>
  <c r="BB179" i="9"/>
  <c r="BK179" i="9" s="1"/>
  <c r="BC179" i="9"/>
  <c r="BL179" i="9" s="1"/>
  <c r="BD179" i="9"/>
  <c r="BM179" i="9" s="1"/>
  <c r="BE179" i="9"/>
  <c r="BN179" i="9" s="1"/>
  <c r="BF179" i="9"/>
  <c r="BO179" i="9" s="1"/>
  <c r="BG179" i="9"/>
  <c r="BA180" i="9"/>
  <c r="BJ180" i="9" s="1"/>
  <c r="BB180" i="9"/>
  <c r="BK180" i="9" s="1"/>
  <c r="BC180" i="9"/>
  <c r="BL180" i="9" s="1"/>
  <c r="BD180" i="9"/>
  <c r="BM180" i="9" s="1"/>
  <c r="BE180" i="9"/>
  <c r="BN180" i="9" s="1"/>
  <c r="BF180" i="9"/>
  <c r="BO180" i="9" s="1"/>
  <c r="BG180" i="9"/>
  <c r="BA181" i="9"/>
  <c r="BJ181" i="9" s="1"/>
  <c r="BB181" i="9"/>
  <c r="BK181" i="9" s="1"/>
  <c r="BC181" i="9"/>
  <c r="BL181" i="9" s="1"/>
  <c r="BD181" i="9"/>
  <c r="BM181" i="9" s="1"/>
  <c r="BE181" i="9"/>
  <c r="BN181" i="9" s="1"/>
  <c r="BF181" i="9"/>
  <c r="BO181" i="9" s="1"/>
  <c r="BG181" i="9"/>
  <c r="BA182" i="9"/>
  <c r="BJ182" i="9" s="1"/>
  <c r="BB182" i="9"/>
  <c r="BK182" i="9" s="1"/>
  <c r="BC182" i="9"/>
  <c r="BL182" i="9" s="1"/>
  <c r="BD182" i="9"/>
  <c r="BM182" i="9" s="1"/>
  <c r="BE182" i="9"/>
  <c r="BN182" i="9" s="1"/>
  <c r="BF182" i="9"/>
  <c r="BO182" i="9" s="1"/>
  <c r="BG182" i="9"/>
  <c r="BP182" i="9" s="1"/>
  <c r="BA183" i="9"/>
  <c r="BJ183" i="9" s="1"/>
  <c r="BB183" i="9"/>
  <c r="BK183" i="9" s="1"/>
  <c r="BC183" i="9"/>
  <c r="BL183" i="9" s="1"/>
  <c r="BD183" i="9"/>
  <c r="BM183" i="9" s="1"/>
  <c r="BE183" i="9"/>
  <c r="BN183" i="9" s="1"/>
  <c r="BF183" i="9"/>
  <c r="BO183" i="9" s="1"/>
  <c r="BG183" i="9"/>
  <c r="BP183" i="9" s="1"/>
  <c r="BA184" i="9"/>
  <c r="BJ184" i="9" s="1"/>
  <c r="BB184" i="9"/>
  <c r="BC184" i="9"/>
  <c r="BL184" i="9" s="1"/>
  <c r="BD184" i="9"/>
  <c r="BM184" i="9" s="1"/>
  <c r="BE184" i="9"/>
  <c r="BN184" i="9" s="1"/>
  <c r="BF184" i="9"/>
  <c r="BG184" i="9"/>
  <c r="BP184" i="9" s="1"/>
  <c r="BK184" i="9"/>
  <c r="BO184" i="9"/>
  <c r="BA185" i="9"/>
  <c r="BJ185" i="9" s="1"/>
  <c r="BB185" i="9"/>
  <c r="BK185" i="9" s="1"/>
  <c r="BC185" i="9"/>
  <c r="BL185" i="9" s="1"/>
  <c r="BD185" i="9"/>
  <c r="BM185" i="9" s="1"/>
  <c r="BE185" i="9"/>
  <c r="BN185" i="9" s="1"/>
  <c r="BF185" i="9"/>
  <c r="BO185" i="9" s="1"/>
  <c r="BG185" i="9"/>
  <c r="BP185" i="9" s="1"/>
  <c r="BA186" i="9"/>
  <c r="BJ186" i="9" s="1"/>
  <c r="BB186" i="9"/>
  <c r="BK186" i="9" s="1"/>
  <c r="BC186" i="9"/>
  <c r="BL186" i="9" s="1"/>
  <c r="BD186" i="9"/>
  <c r="BM186" i="9" s="1"/>
  <c r="BE186" i="9"/>
  <c r="BN186" i="9" s="1"/>
  <c r="BF186" i="9"/>
  <c r="BO186" i="9" s="1"/>
  <c r="BG186" i="9"/>
  <c r="BP186" i="9" s="1"/>
  <c r="BA187" i="9"/>
  <c r="BB187" i="9"/>
  <c r="BK187" i="9" s="1"/>
  <c r="BC187" i="9"/>
  <c r="BL187" i="9" s="1"/>
  <c r="BD187" i="9"/>
  <c r="BM187" i="9" s="1"/>
  <c r="BE187" i="9"/>
  <c r="BF187" i="9"/>
  <c r="BO187" i="9" s="1"/>
  <c r="BG187" i="9"/>
  <c r="BP187" i="9" s="1"/>
  <c r="BJ187" i="9"/>
  <c r="BN187" i="9"/>
  <c r="BA188" i="9"/>
  <c r="BJ188" i="9" s="1"/>
  <c r="BB188" i="9"/>
  <c r="BK188" i="9" s="1"/>
  <c r="BC188" i="9"/>
  <c r="BL188" i="9" s="1"/>
  <c r="BD188" i="9"/>
  <c r="BM188" i="9" s="1"/>
  <c r="BE188" i="9"/>
  <c r="BN188" i="9" s="1"/>
  <c r="BF188" i="9"/>
  <c r="BO188" i="9" s="1"/>
  <c r="BG188" i="9"/>
  <c r="BP188" i="9" s="1"/>
  <c r="BA189" i="9"/>
  <c r="BB189" i="9"/>
  <c r="BK189" i="9" s="1"/>
  <c r="BC189" i="9"/>
  <c r="BL189" i="9" s="1"/>
  <c r="BD189" i="9"/>
  <c r="BM189" i="9" s="1"/>
  <c r="BE189" i="9"/>
  <c r="BN189" i="9" s="1"/>
  <c r="BF189" i="9"/>
  <c r="BO189" i="9" s="1"/>
  <c r="BG189" i="9"/>
  <c r="BP189" i="9" s="1"/>
  <c r="BJ189" i="9"/>
  <c r="BA190" i="9"/>
  <c r="BB190" i="9"/>
  <c r="BK190" i="9" s="1"/>
  <c r="BC190" i="9"/>
  <c r="BL190" i="9" s="1"/>
  <c r="BD190" i="9"/>
  <c r="BM190" i="9" s="1"/>
  <c r="BE190" i="9"/>
  <c r="BN190" i="9" s="1"/>
  <c r="BF190" i="9"/>
  <c r="BO190" i="9" s="1"/>
  <c r="BG190" i="9"/>
  <c r="BP190" i="9" s="1"/>
  <c r="BJ190" i="9"/>
  <c r="BA191" i="9"/>
  <c r="BJ191" i="9" s="1"/>
  <c r="BB191" i="9"/>
  <c r="BC191" i="9"/>
  <c r="BL191" i="9" s="1"/>
  <c r="BD191" i="9"/>
  <c r="BM191" i="9" s="1"/>
  <c r="BE191" i="9"/>
  <c r="BF191" i="9"/>
  <c r="BO191" i="9" s="1"/>
  <c r="BG191" i="9"/>
  <c r="BP191" i="9" s="1"/>
  <c r="BK191" i="9"/>
  <c r="BA192" i="9"/>
  <c r="BJ192" i="9" s="1"/>
  <c r="BB192" i="9"/>
  <c r="BK192" i="9" s="1"/>
  <c r="BC192" i="9"/>
  <c r="BL192" i="9" s="1"/>
  <c r="BD192" i="9"/>
  <c r="BM192" i="9" s="1"/>
  <c r="BE192" i="9"/>
  <c r="BN192" i="9" s="1"/>
  <c r="BF192" i="9"/>
  <c r="BO192" i="9" s="1"/>
  <c r="BG192" i="9"/>
  <c r="BP192" i="9" s="1"/>
  <c r="BA193" i="9"/>
  <c r="BJ193" i="9" s="1"/>
  <c r="BB193" i="9"/>
  <c r="BC193" i="9"/>
  <c r="BL193" i="9" s="1"/>
  <c r="BD193" i="9"/>
  <c r="BM193" i="9" s="1"/>
  <c r="BE193" i="9"/>
  <c r="BN193" i="9" s="1"/>
  <c r="BF193" i="9"/>
  <c r="BO193" i="9" s="1"/>
  <c r="BG193" i="9"/>
  <c r="BP193" i="9" s="1"/>
  <c r="BA194" i="9"/>
  <c r="BB194" i="9"/>
  <c r="BC194" i="9"/>
  <c r="BL194" i="9" s="1"/>
  <c r="BD194" i="9"/>
  <c r="BM194" i="9" s="1"/>
  <c r="BE194" i="9"/>
  <c r="BN194" i="9" s="1"/>
  <c r="BF194" i="9"/>
  <c r="BO194" i="9" s="1"/>
  <c r="BG194" i="9"/>
  <c r="BP194" i="9" s="1"/>
  <c r="BJ194" i="9"/>
  <c r="BA195" i="9"/>
  <c r="BB195" i="9"/>
  <c r="BK195" i="9" s="1"/>
  <c r="BC195" i="9"/>
  <c r="BL195" i="9" s="1"/>
  <c r="BD195" i="9"/>
  <c r="BM195" i="9" s="1"/>
  <c r="BE195" i="9"/>
  <c r="BN195" i="9" s="1"/>
  <c r="BF195" i="9"/>
  <c r="BO195" i="9" s="1"/>
  <c r="BG195" i="9"/>
  <c r="BP195" i="9" s="1"/>
  <c r="BJ195" i="9"/>
  <c r="BA196" i="9"/>
  <c r="BB196" i="9"/>
  <c r="BK196" i="9" s="1"/>
  <c r="BC196" i="9"/>
  <c r="BL196" i="9" s="1"/>
  <c r="BD196" i="9"/>
  <c r="BM196" i="9" s="1"/>
  <c r="BE196" i="9"/>
  <c r="BF196" i="9"/>
  <c r="BO196" i="9" s="1"/>
  <c r="BG196" i="9"/>
  <c r="BJ196" i="9"/>
  <c r="BN196" i="9"/>
  <c r="BP196" i="9"/>
  <c r="BA197" i="9"/>
  <c r="BJ197" i="9" s="1"/>
  <c r="BB197" i="9"/>
  <c r="BC197" i="9"/>
  <c r="BL197" i="9" s="1"/>
  <c r="BD197" i="9"/>
  <c r="BE197" i="9"/>
  <c r="BN197" i="9" s="1"/>
  <c r="BF197" i="9"/>
  <c r="BG197" i="9"/>
  <c r="BP197" i="9" s="1"/>
  <c r="BK197" i="9"/>
  <c r="BM197" i="9"/>
  <c r="BO197" i="9"/>
  <c r="BA198" i="9"/>
  <c r="BB198" i="9"/>
  <c r="BC198" i="9"/>
  <c r="BL198" i="9" s="1"/>
  <c r="BD198" i="9"/>
  <c r="BE198" i="9"/>
  <c r="BN198" i="9" s="1"/>
  <c r="BF198" i="9"/>
  <c r="BG198" i="9"/>
  <c r="BP198" i="9" s="1"/>
  <c r="BK198" i="9"/>
  <c r="BM198" i="9"/>
  <c r="BO198" i="9"/>
  <c r="BA199" i="9"/>
  <c r="BJ199" i="9" s="1"/>
  <c r="BB199" i="9"/>
  <c r="BK199" i="9" s="1"/>
  <c r="BC199" i="9"/>
  <c r="BD199" i="9"/>
  <c r="BE199" i="9"/>
  <c r="BF199" i="9"/>
  <c r="BO199" i="9" s="1"/>
  <c r="BG199" i="9"/>
  <c r="BP199" i="9" s="1"/>
  <c r="BL199" i="9"/>
  <c r="BM199" i="9"/>
  <c r="BN199" i="9"/>
  <c r="BA200" i="9"/>
  <c r="BB200" i="9"/>
  <c r="BC200" i="9"/>
  <c r="BL200" i="9" s="1"/>
  <c r="BD200" i="9"/>
  <c r="BE200" i="9"/>
  <c r="BN200" i="9" s="1"/>
  <c r="BF200" i="9"/>
  <c r="BG200" i="9"/>
  <c r="BP200" i="9" s="1"/>
  <c r="BK200" i="9"/>
  <c r="BM200" i="9"/>
  <c r="BO200" i="9"/>
  <c r="BA201" i="9"/>
  <c r="BB201" i="9"/>
  <c r="BC201" i="9"/>
  <c r="BD201" i="9"/>
  <c r="BE201" i="9"/>
  <c r="BF201" i="9"/>
  <c r="BG201" i="9"/>
  <c r="BH201" i="9"/>
  <c r="BQ201" i="9" s="1"/>
  <c r="BJ201" i="9"/>
  <c r="BK201" i="9"/>
  <c r="BL201" i="9"/>
  <c r="BM201" i="9"/>
  <c r="BN201" i="9"/>
  <c r="BO201" i="9"/>
  <c r="BP201" i="9"/>
  <c r="BA202" i="9"/>
  <c r="BB202" i="9"/>
  <c r="BC202" i="9"/>
  <c r="BL202" i="9" s="1"/>
  <c r="BD202" i="9"/>
  <c r="BE202" i="9"/>
  <c r="BN202" i="9" s="1"/>
  <c r="BF202" i="9"/>
  <c r="BG202" i="9"/>
  <c r="BP202" i="9" s="1"/>
  <c r="BK202" i="9"/>
  <c r="BM202" i="9"/>
  <c r="BO202" i="9"/>
  <c r="BA203" i="9"/>
  <c r="BB203" i="9"/>
  <c r="BC203" i="9"/>
  <c r="BL203" i="9" s="1"/>
  <c r="BD203" i="9"/>
  <c r="BE203" i="9"/>
  <c r="BN203" i="9" s="1"/>
  <c r="BF203" i="9"/>
  <c r="BG203" i="9"/>
  <c r="BP203" i="9" s="1"/>
  <c r="BK203" i="9"/>
  <c r="BM203" i="9"/>
  <c r="BO203" i="9"/>
  <c r="BA204" i="9"/>
  <c r="BJ204" i="9" s="1"/>
  <c r="BB204" i="9"/>
  <c r="BC204" i="9"/>
  <c r="BL204" i="9" s="1"/>
  <c r="BD204" i="9"/>
  <c r="BE204" i="9"/>
  <c r="BN204" i="9" s="1"/>
  <c r="BF204" i="9"/>
  <c r="BG204" i="9"/>
  <c r="BP204" i="9" s="1"/>
  <c r="BK204" i="9"/>
  <c r="BM204" i="9"/>
  <c r="BO204" i="9"/>
  <c r="BA205" i="9"/>
  <c r="BB205" i="9"/>
  <c r="BC205" i="9"/>
  <c r="BL205" i="9" s="1"/>
  <c r="BD205" i="9"/>
  <c r="BE205" i="9"/>
  <c r="BN205" i="9" s="1"/>
  <c r="BF205" i="9"/>
  <c r="BG205" i="9"/>
  <c r="BP205" i="9" s="1"/>
  <c r="BK205" i="9"/>
  <c r="BM205" i="9"/>
  <c r="BO205" i="9"/>
  <c r="BA206" i="9"/>
  <c r="BB206" i="9"/>
  <c r="BK206" i="9" s="1"/>
  <c r="BC206" i="9"/>
  <c r="BL206" i="9" s="1"/>
  <c r="BD206" i="9"/>
  <c r="BE206" i="9"/>
  <c r="BF206" i="9"/>
  <c r="BG206" i="9"/>
  <c r="BJ206" i="9"/>
  <c r="BM206" i="9"/>
  <c r="BN206" i="9"/>
  <c r="BO206" i="9"/>
  <c r="BP206" i="9"/>
  <c r="BA207" i="9"/>
  <c r="BJ207" i="9" s="1"/>
  <c r="BB207" i="9"/>
  <c r="BC207" i="9"/>
  <c r="BL207" i="9" s="1"/>
  <c r="BD207" i="9"/>
  <c r="BE207" i="9"/>
  <c r="BF207" i="9"/>
  <c r="BG207" i="9"/>
  <c r="BK207" i="9"/>
  <c r="BN207" i="9"/>
  <c r="BO207" i="9"/>
  <c r="BP207" i="9"/>
  <c r="BA208" i="9"/>
  <c r="BB208" i="9"/>
  <c r="BK208" i="9" s="1"/>
  <c r="BC208" i="9"/>
  <c r="BD208" i="9"/>
  <c r="BM208" i="9" s="1"/>
  <c r="BE208" i="9"/>
  <c r="BN208" i="9" s="1"/>
  <c r="BF208" i="9"/>
  <c r="BG208" i="9"/>
  <c r="BJ208" i="9"/>
  <c r="BL208" i="9"/>
  <c r="BO208" i="9"/>
  <c r="BP208" i="9"/>
  <c r="BA209" i="9"/>
  <c r="BJ209" i="9" s="1"/>
  <c r="BB209" i="9"/>
  <c r="BC209" i="9"/>
  <c r="BL209" i="9" s="1"/>
  <c r="BD209" i="9"/>
  <c r="BE209" i="9"/>
  <c r="BN209" i="9" s="1"/>
  <c r="BF209" i="9"/>
  <c r="BO209" i="9" s="1"/>
  <c r="BG209" i="9"/>
  <c r="BP209" i="9" s="1"/>
  <c r="BK209" i="9"/>
  <c r="BM209" i="9"/>
  <c r="BA210" i="9"/>
  <c r="BB210" i="9"/>
  <c r="BK210" i="9" s="1"/>
  <c r="BC210" i="9"/>
  <c r="BD210" i="9"/>
  <c r="BE210" i="9"/>
  <c r="BF210" i="9"/>
  <c r="BG210" i="9"/>
  <c r="BJ210" i="9"/>
  <c r="BL210" i="9"/>
  <c r="BM210" i="9"/>
  <c r="BN210" i="9"/>
  <c r="BO210" i="9"/>
  <c r="BP210" i="9"/>
  <c r="BA211" i="9"/>
  <c r="BB211" i="9"/>
  <c r="BC211" i="9"/>
  <c r="BD211" i="9"/>
  <c r="BE211" i="9"/>
  <c r="BF211" i="9"/>
  <c r="BG211" i="9"/>
  <c r="BH211" i="9"/>
  <c r="BQ211" i="9" s="1"/>
  <c r="BJ211" i="9"/>
  <c r="BK211" i="9"/>
  <c r="BL211" i="9"/>
  <c r="BM211" i="9"/>
  <c r="BN211" i="9"/>
  <c r="BO211" i="9"/>
  <c r="BP211" i="9"/>
  <c r="BA212" i="9"/>
  <c r="BB212" i="9"/>
  <c r="BC212" i="9"/>
  <c r="BL212" i="9" s="1"/>
  <c r="BD212" i="9"/>
  <c r="BE212" i="9"/>
  <c r="BN212" i="9" s="1"/>
  <c r="BF212" i="9"/>
  <c r="BG212" i="9"/>
  <c r="BP212" i="9" s="1"/>
  <c r="BK212" i="9"/>
  <c r="BM212" i="9"/>
  <c r="BO212" i="9"/>
  <c r="BA114" i="9"/>
  <c r="BJ114" i="9" s="1"/>
  <c r="BB114" i="9"/>
  <c r="BK114" i="9" s="1"/>
  <c r="BC114" i="9"/>
  <c r="BL114" i="9" s="1"/>
  <c r="BD114" i="9"/>
  <c r="BM114" i="9" s="1"/>
  <c r="BE114" i="9"/>
  <c r="BN114" i="9" s="1"/>
  <c r="BF114" i="9"/>
  <c r="BO114" i="9" s="1"/>
  <c r="BG114" i="9"/>
  <c r="BA115" i="9"/>
  <c r="BJ115" i="9" s="1"/>
  <c r="BB115" i="9"/>
  <c r="BK115" i="9" s="1"/>
  <c r="BC115" i="9"/>
  <c r="BL115" i="9" s="1"/>
  <c r="BD115" i="9"/>
  <c r="BM115" i="9" s="1"/>
  <c r="BE115" i="9"/>
  <c r="BN115" i="9" s="1"/>
  <c r="BF115" i="9"/>
  <c r="BO115" i="9" s="1"/>
  <c r="BG115" i="9"/>
  <c r="BP115" i="9" s="1"/>
  <c r="BA116" i="9"/>
  <c r="BJ116" i="9" s="1"/>
  <c r="BB116" i="9"/>
  <c r="BK116" i="9" s="1"/>
  <c r="BC116" i="9"/>
  <c r="BL116" i="9" s="1"/>
  <c r="BD116" i="9"/>
  <c r="BM116" i="9" s="1"/>
  <c r="BE116" i="9"/>
  <c r="BN116" i="9" s="1"/>
  <c r="BF116" i="9"/>
  <c r="BO116" i="9" s="1"/>
  <c r="BG116" i="9"/>
  <c r="BA117" i="9"/>
  <c r="BJ117" i="9" s="1"/>
  <c r="BB117" i="9"/>
  <c r="BK117" i="9" s="1"/>
  <c r="BC117" i="9"/>
  <c r="BL117" i="9" s="1"/>
  <c r="BD117" i="9"/>
  <c r="BM117" i="9" s="1"/>
  <c r="BE117" i="9"/>
  <c r="BN117" i="9" s="1"/>
  <c r="BF117" i="9"/>
  <c r="BO117" i="9" s="1"/>
  <c r="BG117" i="9"/>
  <c r="DO115" i="6"/>
  <c r="EN115" i="6" s="1"/>
  <c r="DP115" i="6"/>
  <c r="EO115" i="6" s="1"/>
  <c r="DQ115" i="6"/>
  <c r="EP115" i="6" s="1"/>
  <c r="DS115" i="6"/>
  <c r="ER115" i="6" s="1"/>
  <c r="DT115" i="6"/>
  <c r="ES115" i="6" s="1"/>
  <c r="DU115" i="6"/>
  <c r="DV115" i="6"/>
  <c r="EU115" i="6" s="1"/>
  <c r="DW115" i="6"/>
  <c r="EV115" i="6" s="1"/>
  <c r="DX115" i="6"/>
  <c r="EW115" i="6" s="1"/>
  <c r="DY115" i="6"/>
  <c r="EX115" i="6" s="1"/>
  <c r="DZ115" i="6"/>
  <c r="EY115" i="6" s="1"/>
  <c r="EA115" i="6"/>
  <c r="EZ115" i="6" s="1"/>
  <c r="EC115" i="6"/>
  <c r="FB115" i="6" s="1"/>
  <c r="EE115" i="6"/>
  <c r="EF115" i="6"/>
  <c r="FE115" i="6" s="1"/>
  <c r="EG115" i="6"/>
  <c r="DO116" i="6"/>
  <c r="EN116" i="6" s="1"/>
  <c r="DP116" i="6"/>
  <c r="EO116" i="6" s="1"/>
  <c r="DQ116" i="6"/>
  <c r="EP116" i="6" s="1"/>
  <c r="DS116" i="6"/>
  <c r="DT116" i="6"/>
  <c r="ES116" i="6" s="1"/>
  <c r="DU116" i="6"/>
  <c r="ET116" i="6" s="1"/>
  <c r="DV116" i="6"/>
  <c r="EU116" i="6" s="1"/>
  <c r="DW116" i="6"/>
  <c r="EV116" i="6" s="1"/>
  <c r="DX116" i="6"/>
  <c r="EW116" i="6" s="1"/>
  <c r="DY116" i="6"/>
  <c r="EX116" i="6" s="1"/>
  <c r="DZ116" i="6"/>
  <c r="EY116" i="6" s="1"/>
  <c r="EA116" i="6"/>
  <c r="EZ116" i="6" s="1"/>
  <c r="EC116" i="6"/>
  <c r="FB116" i="6" s="1"/>
  <c r="EE116" i="6"/>
  <c r="FD116" i="6" s="1"/>
  <c r="EF116" i="6"/>
  <c r="FE116" i="6" s="1"/>
  <c r="EG116" i="6"/>
  <c r="FF116" i="6" s="1"/>
  <c r="DO117" i="6"/>
  <c r="DP117" i="6"/>
  <c r="DQ117" i="6"/>
  <c r="EP117" i="6" s="1"/>
  <c r="DS117" i="6"/>
  <c r="ER117" i="6" s="1"/>
  <c r="DT117" i="6"/>
  <c r="ES117" i="6" s="1"/>
  <c r="DU117" i="6"/>
  <c r="DV117" i="6"/>
  <c r="EU117" i="6" s="1"/>
  <c r="DW117" i="6"/>
  <c r="EV117" i="6" s="1"/>
  <c r="DX117" i="6"/>
  <c r="EW117" i="6" s="1"/>
  <c r="DY117" i="6"/>
  <c r="DZ117" i="6"/>
  <c r="EY117" i="6" s="1"/>
  <c r="EA117" i="6"/>
  <c r="EZ117" i="6" s="1"/>
  <c r="EC117" i="6"/>
  <c r="FB117" i="6" s="1"/>
  <c r="EE117" i="6"/>
  <c r="FD117" i="6" s="1"/>
  <c r="EF117" i="6"/>
  <c r="FE117" i="6" s="1"/>
  <c r="EG117" i="6"/>
  <c r="EN117" i="6"/>
  <c r="DO118" i="6"/>
  <c r="DP118" i="6"/>
  <c r="EO118" i="6" s="1"/>
  <c r="DQ118" i="6"/>
  <c r="EP118" i="6" s="1"/>
  <c r="DS118" i="6"/>
  <c r="DT118" i="6"/>
  <c r="ES118" i="6" s="1"/>
  <c r="DU118" i="6"/>
  <c r="ET118" i="6" s="1"/>
  <c r="DV118" i="6"/>
  <c r="EU118" i="6" s="1"/>
  <c r="DW118" i="6"/>
  <c r="EV118" i="6" s="1"/>
  <c r="DX118" i="6"/>
  <c r="EW118" i="6" s="1"/>
  <c r="DY118" i="6"/>
  <c r="EX118" i="6" s="1"/>
  <c r="DZ118" i="6"/>
  <c r="EY118" i="6" s="1"/>
  <c r="EA118" i="6"/>
  <c r="EZ118" i="6" s="1"/>
  <c r="EC118" i="6"/>
  <c r="FB118" i="6" s="1"/>
  <c r="EE118" i="6"/>
  <c r="FD118" i="6" s="1"/>
  <c r="EF118" i="6"/>
  <c r="FE118" i="6" s="1"/>
  <c r="EG118" i="6"/>
  <c r="FF118" i="6" s="1"/>
  <c r="EN118" i="6"/>
  <c r="DO119" i="6"/>
  <c r="EN119" i="6" s="1"/>
  <c r="DP119" i="6"/>
  <c r="DQ119" i="6"/>
  <c r="EP119" i="6" s="1"/>
  <c r="DS119" i="6"/>
  <c r="ER119" i="6" s="1"/>
  <c r="DT119" i="6"/>
  <c r="ES119" i="6" s="1"/>
  <c r="DU119" i="6"/>
  <c r="DV119" i="6"/>
  <c r="EU119" i="6" s="1"/>
  <c r="DW119" i="6"/>
  <c r="EV119" i="6" s="1"/>
  <c r="DX119" i="6"/>
  <c r="EW119" i="6" s="1"/>
  <c r="DY119" i="6"/>
  <c r="DZ119" i="6"/>
  <c r="EY119" i="6" s="1"/>
  <c r="EA119" i="6"/>
  <c r="EZ119" i="6" s="1"/>
  <c r="EC119" i="6"/>
  <c r="FB119" i="6" s="1"/>
  <c r="EE119" i="6"/>
  <c r="FD119" i="6" s="1"/>
  <c r="EF119" i="6"/>
  <c r="FE119" i="6" s="1"/>
  <c r="EG119" i="6"/>
  <c r="DO120" i="6"/>
  <c r="DP120" i="6"/>
  <c r="EO120" i="6" s="1"/>
  <c r="DQ120" i="6"/>
  <c r="EP120" i="6" s="1"/>
  <c r="DS120" i="6"/>
  <c r="DT120" i="6"/>
  <c r="ES120" i="6" s="1"/>
  <c r="DU120" i="6"/>
  <c r="ET120" i="6" s="1"/>
  <c r="DV120" i="6"/>
  <c r="EU120" i="6" s="1"/>
  <c r="DW120" i="6"/>
  <c r="EV120" i="6" s="1"/>
  <c r="DX120" i="6"/>
  <c r="EW120" i="6" s="1"/>
  <c r="DY120" i="6"/>
  <c r="EX120" i="6" s="1"/>
  <c r="DZ120" i="6"/>
  <c r="EY120" i="6" s="1"/>
  <c r="EA120" i="6"/>
  <c r="EZ120" i="6" s="1"/>
  <c r="EC120" i="6"/>
  <c r="FB120" i="6" s="1"/>
  <c r="EE120" i="6"/>
  <c r="FD120" i="6" s="1"/>
  <c r="EF120" i="6"/>
  <c r="EG120" i="6"/>
  <c r="FF120" i="6" s="1"/>
  <c r="EN120" i="6"/>
  <c r="DO121" i="6"/>
  <c r="DP121" i="6"/>
  <c r="DQ121" i="6"/>
  <c r="EP121" i="6" s="1"/>
  <c r="DS121" i="6"/>
  <c r="ER121" i="6" s="1"/>
  <c r="DT121" i="6"/>
  <c r="ES121" i="6" s="1"/>
  <c r="DU121" i="6"/>
  <c r="DV121" i="6"/>
  <c r="EU121" i="6" s="1"/>
  <c r="DW121" i="6"/>
  <c r="EV121" i="6" s="1"/>
  <c r="DX121" i="6"/>
  <c r="DY121" i="6"/>
  <c r="EX121" i="6" s="1"/>
  <c r="DZ121" i="6"/>
  <c r="EY121" i="6" s="1"/>
  <c r="EA121" i="6"/>
  <c r="EZ121" i="6" s="1"/>
  <c r="EC121" i="6"/>
  <c r="FB121" i="6" s="1"/>
  <c r="EE121" i="6"/>
  <c r="FD121" i="6" s="1"/>
  <c r="EF121" i="6"/>
  <c r="FE121" i="6" s="1"/>
  <c r="EG121" i="6"/>
  <c r="EN121" i="6"/>
  <c r="DO122" i="6"/>
  <c r="EN122" i="6" s="1"/>
  <c r="DP122" i="6"/>
  <c r="EO122" i="6" s="1"/>
  <c r="DQ122" i="6"/>
  <c r="EP122" i="6" s="1"/>
  <c r="DS122" i="6"/>
  <c r="DT122" i="6"/>
  <c r="ES122" i="6" s="1"/>
  <c r="DU122" i="6"/>
  <c r="ET122" i="6" s="1"/>
  <c r="DV122" i="6"/>
  <c r="EU122" i="6" s="1"/>
  <c r="DW122" i="6"/>
  <c r="EV122" i="6" s="1"/>
  <c r="DX122" i="6"/>
  <c r="EW122" i="6" s="1"/>
  <c r="DY122" i="6"/>
  <c r="EX122" i="6" s="1"/>
  <c r="DZ122" i="6"/>
  <c r="EY122" i="6" s="1"/>
  <c r="EA122" i="6"/>
  <c r="EZ122" i="6" s="1"/>
  <c r="EC122" i="6"/>
  <c r="FB122" i="6" s="1"/>
  <c r="EE122" i="6"/>
  <c r="FD122" i="6" s="1"/>
  <c r="EF122" i="6"/>
  <c r="FE122" i="6" s="1"/>
  <c r="EG122" i="6"/>
  <c r="FF122" i="6" s="1"/>
  <c r="DO123" i="6"/>
  <c r="EN123" i="6" s="1"/>
  <c r="DP123" i="6"/>
  <c r="EO123" i="6" s="1"/>
  <c r="DQ123" i="6"/>
  <c r="EP123" i="6" s="1"/>
  <c r="DS123" i="6"/>
  <c r="ER123" i="6" s="1"/>
  <c r="DT123" i="6"/>
  <c r="ES123" i="6" s="1"/>
  <c r="DU123" i="6"/>
  <c r="DV123" i="6"/>
  <c r="EU123" i="6" s="1"/>
  <c r="DW123" i="6"/>
  <c r="EV123" i="6" s="1"/>
  <c r="DX123" i="6"/>
  <c r="EW123" i="6" s="1"/>
  <c r="DY123" i="6"/>
  <c r="EX123" i="6" s="1"/>
  <c r="DZ123" i="6"/>
  <c r="EY123" i="6" s="1"/>
  <c r="EA123" i="6"/>
  <c r="EZ123" i="6" s="1"/>
  <c r="EC123" i="6"/>
  <c r="FB123" i="6" s="1"/>
  <c r="EE123" i="6"/>
  <c r="FD123" i="6" s="1"/>
  <c r="EF123" i="6"/>
  <c r="FE123" i="6" s="1"/>
  <c r="EG123" i="6"/>
  <c r="DO124" i="6"/>
  <c r="EN124" i="6" s="1"/>
  <c r="DP124" i="6"/>
  <c r="EO124" i="6" s="1"/>
  <c r="DQ124" i="6"/>
  <c r="EP124" i="6" s="1"/>
  <c r="DS124" i="6"/>
  <c r="DT124" i="6"/>
  <c r="ES124" i="6" s="1"/>
  <c r="DU124" i="6"/>
  <c r="ET124" i="6" s="1"/>
  <c r="DV124" i="6"/>
  <c r="EU124" i="6" s="1"/>
  <c r="DW124" i="6"/>
  <c r="EV124" i="6" s="1"/>
  <c r="DX124" i="6"/>
  <c r="EW124" i="6" s="1"/>
  <c r="DY124" i="6"/>
  <c r="EX124" i="6" s="1"/>
  <c r="DZ124" i="6"/>
  <c r="EY124" i="6" s="1"/>
  <c r="EA124" i="6"/>
  <c r="EZ124" i="6" s="1"/>
  <c r="EC124" i="6"/>
  <c r="FB124" i="6" s="1"/>
  <c r="EE124" i="6"/>
  <c r="FD124" i="6" s="1"/>
  <c r="EF124" i="6"/>
  <c r="FE124" i="6" s="1"/>
  <c r="EG124" i="6"/>
  <c r="FF124" i="6" s="1"/>
  <c r="DO125" i="6"/>
  <c r="EN125" i="6" s="1"/>
  <c r="DP125" i="6"/>
  <c r="EO125" i="6" s="1"/>
  <c r="DQ125" i="6"/>
  <c r="EP125" i="6" s="1"/>
  <c r="DS125" i="6"/>
  <c r="ER125" i="6" s="1"/>
  <c r="DT125" i="6"/>
  <c r="DU125" i="6"/>
  <c r="DV125" i="6"/>
  <c r="EU125" i="6" s="1"/>
  <c r="DW125" i="6"/>
  <c r="EV125" i="6" s="1"/>
  <c r="DX125" i="6"/>
  <c r="DY125" i="6"/>
  <c r="EX125" i="6" s="1"/>
  <c r="DZ125" i="6"/>
  <c r="EY125" i="6" s="1"/>
  <c r="EA125" i="6"/>
  <c r="EZ125" i="6" s="1"/>
  <c r="EC125" i="6"/>
  <c r="FB125" i="6" s="1"/>
  <c r="EE125" i="6"/>
  <c r="FD125" i="6" s="1"/>
  <c r="EF125" i="6"/>
  <c r="FE125" i="6" s="1"/>
  <c r="EG125" i="6"/>
  <c r="ES125" i="6"/>
  <c r="DO126" i="6"/>
  <c r="EN126" i="6" s="1"/>
  <c r="DP126" i="6"/>
  <c r="EO126" i="6" s="1"/>
  <c r="DQ126" i="6"/>
  <c r="EP126" i="6" s="1"/>
  <c r="DS126" i="6"/>
  <c r="DT126" i="6"/>
  <c r="ES126" i="6" s="1"/>
  <c r="DU126" i="6"/>
  <c r="ET126" i="6" s="1"/>
  <c r="DV126" i="6"/>
  <c r="EU126" i="6" s="1"/>
  <c r="DW126" i="6"/>
  <c r="EV126" i="6" s="1"/>
  <c r="DX126" i="6"/>
  <c r="EW126" i="6" s="1"/>
  <c r="DY126" i="6"/>
  <c r="EX126" i="6" s="1"/>
  <c r="DZ126" i="6"/>
  <c r="EY126" i="6" s="1"/>
  <c r="EA126" i="6"/>
  <c r="EZ126" i="6" s="1"/>
  <c r="EC126" i="6"/>
  <c r="FB126" i="6" s="1"/>
  <c r="EE126" i="6"/>
  <c r="FD126" i="6" s="1"/>
  <c r="EF126" i="6"/>
  <c r="FE126" i="6" s="1"/>
  <c r="EG126" i="6"/>
  <c r="DO127" i="6"/>
  <c r="EN127" i="6" s="1"/>
  <c r="DP127" i="6"/>
  <c r="EO127" i="6" s="1"/>
  <c r="DQ127" i="6"/>
  <c r="EP127" i="6" s="1"/>
  <c r="DS127" i="6"/>
  <c r="ER127" i="6" s="1"/>
  <c r="DT127" i="6"/>
  <c r="DU127" i="6"/>
  <c r="DV127" i="6"/>
  <c r="EU127" i="6" s="1"/>
  <c r="DW127" i="6"/>
  <c r="EV127" i="6" s="1"/>
  <c r="DX127" i="6"/>
  <c r="EW127" i="6" s="1"/>
  <c r="DY127" i="6"/>
  <c r="EX127" i="6" s="1"/>
  <c r="DZ127" i="6"/>
  <c r="EY127" i="6" s="1"/>
  <c r="EA127" i="6"/>
  <c r="EZ127" i="6" s="1"/>
  <c r="EC127" i="6"/>
  <c r="FB127" i="6" s="1"/>
  <c r="EE127" i="6"/>
  <c r="FD127" i="6" s="1"/>
  <c r="EF127" i="6"/>
  <c r="FE127" i="6" s="1"/>
  <c r="EG127" i="6"/>
  <c r="ES127" i="6"/>
  <c r="DO128" i="6"/>
  <c r="EN128" i="6" s="1"/>
  <c r="DP128" i="6"/>
  <c r="EO128" i="6" s="1"/>
  <c r="DQ128" i="6"/>
  <c r="DS128" i="6"/>
  <c r="DT128" i="6"/>
  <c r="ES128" i="6" s="1"/>
  <c r="DU128" i="6"/>
  <c r="ET128" i="6" s="1"/>
  <c r="DV128" i="6"/>
  <c r="EU128" i="6" s="1"/>
  <c r="DW128" i="6"/>
  <c r="EV128" i="6" s="1"/>
  <c r="DX128" i="6"/>
  <c r="EW128" i="6" s="1"/>
  <c r="DY128" i="6"/>
  <c r="EX128" i="6" s="1"/>
  <c r="DZ128" i="6"/>
  <c r="EY128" i="6" s="1"/>
  <c r="EA128" i="6"/>
  <c r="EZ128" i="6" s="1"/>
  <c r="EC128" i="6"/>
  <c r="FB128" i="6" s="1"/>
  <c r="EE128" i="6"/>
  <c r="FD128" i="6" s="1"/>
  <c r="EF128" i="6"/>
  <c r="FE128" i="6" s="1"/>
  <c r="EG128" i="6"/>
  <c r="FF128" i="6" s="1"/>
  <c r="EP128" i="6"/>
  <c r="DO129" i="6"/>
  <c r="EN129" i="6" s="1"/>
  <c r="DP129" i="6"/>
  <c r="EO129" i="6" s="1"/>
  <c r="DQ129" i="6"/>
  <c r="EP129" i="6" s="1"/>
  <c r="DS129" i="6"/>
  <c r="ER129" i="6" s="1"/>
  <c r="DT129" i="6"/>
  <c r="ES129" i="6" s="1"/>
  <c r="DU129" i="6"/>
  <c r="DV129" i="6"/>
  <c r="EU129" i="6" s="1"/>
  <c r="DW129" i="6"/>
  <c r="EV129" i="6" s="1"/>
  <c r="DX129" i="6"/>
  <c r="EW129" i="6" s="1"/>
  <c r="DY129" i="6"/>
  <c r="EX129" i="6" s="1"/>
  <c r="DZ129" i="6"/>
  <c r="EY129" i="6" s="1"/>
  <c r="EA129" i="6"/>
  <c r="EZ129" i="6" s="1"/>
  <c r="EC129" i="6"/>
  <c r="FB129" i="6" s="1"/>
  <c r="EE129" i="6"/>
  <c r="FD129" i="6" s="1"/>
  <c r="EF129" i="6"/>
  <c r="FE129" i="6" s="1"/>
  <c r="EG129" i="6"/>
  <c r="DO130" i="6"/>
  <c r="EN130" i="6" s="1"/>
  <c r="DP130" i="6"/>
  <c r="DQ130" i="6"/>
  <c r="EP130" i="6" s="1"/>
  <c r="DS130" i="6"/>
  <c r="ER130" i="6" s="1"/>
  <c r="DT130" i="6"/>
  <c r="ES130" i="6" s="1"/>
  <c r="DU130" i="6"/>
  <c r="ET130" i="6" s="1"/>
  <c r="DV130" i="6"/>
  <c r="EU130" i="6" s="1"/>
  <c r="DW130" i="6"/>
  <c r="EV130" i="6" s="1"/>
  <c r="DX130" i="6"/>
  <c r="EW130" i="6" s="1"/>
  <c r="DY130" i="6"/>
  <c r="EX130" i="6" s="1"/>
  <c r="DZ130" i="6"/>
  <c r="EY130" i="6" s="1"/>
  <c r="EA130" i="6"/>
  <c r="EZ130" i="6" s="1"/>
  <c r="EC130" i="6"/>
  <c r="FB130" i="6" s="1"/>
  <c r="EE130" i="6"/>
  <c r="FD130" i="6" s="1"/>
  <c r="EF130" i="6"/>
  <c r="FE130" i="6" s="1"/>
  <c r="EG130" i="6"/>
  <c r="DO131" i="6"/>
  <c r="EN131" i="6" s="1"/>
  <c r="DP131" i="6"/>
  <c r="EO131" i="6" s="1"/>
  <c r="DQ131" i="6"/>
  <c r="EP131" i="6" s="1"/>
  <c r="DS131" i="6"/>
  <c r="ER131" i="6" s="1"/>
  <c r="DT131" i="6"/>
  <c r="ES131" i="6" s="1"/>
  <c r="DU131" i="6"/>
  <c r="DV131" i="6"/>
  <c r="EU131" i="6" s="1"/>
  <c r="DW131" i="6"/>
  <c r="EV131" i="6" s="1"/>
  <c r="DX131" i="6"/>
  <c r="EW131" i="6" s="1"/>
  <c r="DY131" i="6"/>
  <c r="EX131" i="6" s="1"/>
  <c r="DZ131" i="6"/>
  <c r="EY131" i="6" s="1"/>
  <c r="EA131" i="6"/>
  <c r="EZ131" i="6" s="1"/>
  <c r="EC131" i="6"/>
  <c r="FB131" i="6" s="1"/>
  <c r="EE131" i="6"/>
  <c r="FD131" i="6" s="1"/>
  <c r="EF131" i="6"/>
  <c r="FE131" i="6" s="1"/>
  <c r="EG131" i="6"/>
  <c r="DO132" i="6"/>
  <c r="EN132" i="6" s="1"/>
  <c r="DP132" i="6"/>
  <c r="DQ132" i="6"/>
  <c r="EP132" i="6" s="1"/>
  <c r="DS132" i="6"/>
  <c r="ER132" i="6" s="1"/>
  <c r="DT132" i="6"/>
  <c r="DU132" i="6"/>
  <c r="ET132" i="6" s="1"/>
  <c r="DV132" i="6"/>
  <c r="EU132" i="6" s="1"/>
  <c r="DW132" i="6"/>
  <c r="EV132" i="6" s="1"/>
  <c r="DX132" i="6"/>
  <c r="EW132" i="6" s="1"/>
  <c r="DY132" i="6"/>
  <c r="DZ132" i="6"/>
  <c r="EY132" i="6" s="1"/>
  <c r="EA132" i="6"/>
  <c r="EZ132" i="6" s="1"/>
  <c r="EC132" i="6"/>
  <c r="FB132" i="6" s="1"/>
  <c r="EE132" i="6"/>
  <c r="FD132" i="6" s="1"/>
  <c r="EF132" i="6"/>
  <c r="FE132" i="6" s="1"/>
  <c r="EG132" i="6"/>
  <c r="ES132" i="6"/>
  <c r="DO133" i="6"/>
  <c r="EN133" i="6" s="1"/>
  <c r="DP133" i="6"/>
  <c r="EO133" i="6" s="1"/>
  <c r="DQ133" i="6"/>
  <c r="EP133" i="6" s="1"/>
  <c r="DS133" i="6"/>
  <c r="ER133" i="6" s="1"/>
  <c r="DT133" i="6"/>
  <c r="DU133" i="6"/>
  <c r="DV133" i="6"/>
  <c r="EU133" i="6" s="1"/>
  <c r="DW133" i="6"/>
  <c r="EV133" i="6" s="1"/>
  <c r="DX133" i="6"/>
  <c r="EW133" i="6" s="1"/>
  <c r="DY133" i="6"/>
  <c r="EX133" i="6" s="1"/>
  <c r="DZ133" i="6"/>
  <c r="EY133" i="6" s="1"/>
  <c r="EA133" i="6"/>
  <c r="EZ133" i="6" s="1"/>
  <c r="EC133" i="6"/>
  <c r="FB133" i="6" s="1"/>
  <c r="EE133" i="6"/>
  <c r="FD133" i="6" s="1"/>
  <c r="EF133" i="6"/>
  <c r="FE133" i="6" s="1"/>
  <c r="EG133" i="6"/>
  <c r="ES133" i="6"/>
  <c r="DO134" i="6"/>
  <c r="EN134" i="6" s="1"/>
  <c r="DP134" i="6"/>
  <c r="DQ134" i="6"/>
  <c r="EP134" i="6" s="1"/>
  <c r="DS134" i="6"/>
  <c r="ER134" i="6" s="1"/>
  <c r="DT134" i="6"/>
  <c r="ES134" i="6" s="1"/>
  <c r="DU134" i="6"/>
  <c r="ET134" i="6" s="1"/>
  <c r="DV134" i="6"/>
  <c r="EU134" i="6" s="1"/>
  <c r="DW134" i="6"/>
  <c r="DX134" i="6"/>
  <c r="EW134" i="6" s="1"/>
  <c r="DY134" i="6"/>
  <c r="DZ134" i="6"/>
  <c r="EY134" i="6" s="1"/>
  <c r="EA134" i="6"/>
  <c r="EZ134" i="6" s="1"/>
  <c r="EC134" i="6"/>
  <c r="FB134" i="6" s="1"/>
  <c r="EE134" i="6"/>
  <c r="FD134" i="6" s="1"/>
  <c r="EF134" i="6"/>
  <c r="FE134" i="6" s="1"/>
  <c r="EG134" i="6"/>
  <c r="EV134" i="6"/>
  <c r="DO135" i="6"/>
  <c r="EN135" i="6" s="1"/>
  <c r="DP135" i="6"/>
  <c r="EO135" i="6" s="1"/>
  <c r="DQ135" i="6"/>
  <c r="EP135" i="6" s="1"/>
  <c r="DS135" i="6"/>
  <c r="ER135" i="6" s="1"/>
  <c r="DT135" i="6"/>
  <c r="ES135" i="6" s="1"/>
  <c r="DU135" i="6"/>
  <c r="DV135" i="6"/>
  <c r="EU135" i="6" s="1"/>
  <c r="DW135" i="6"/>
  <c r="EV135" i="6" s="1"/>
  <c r="DX135" i="6"/>
  <c r="DY135" i="6"/>
  <c r="EX135" i="6" s="1"/>
  <c r="DZ135" i="6"/>
  <c r="EY135" i="6" s="1"/>
  <c r="EA135" i="6"/>
  <c r="EZ135" i="6" s="1"/>
  <c r="EC135" i="6"/>
  <c r="EE135" i="6"/>
  <c r="FD135" i="6" s="1"/>
  <c r="EF135" i="6"/>
  <c r="EG135" i="6"/>
  <c r="FB135" i="6"/>
  <c r="FE135" i="6"/>
  <c r="DO136" i="6"/>
  <c r="DP136" i="6"/>
  <c r="DQ136" i="6"/>
  <c r="EP136" i="6" s="1"/>
  <c r="DS136" i="6"/>
  <c r="ER136" i="6" s="1"/>
  <c r="DT136" i="6"/>
  <c r="ES136" i="6" s="1"/>
  <c r="DU136" i="6"/>
  <c r="ET136" i="6" s="1"/>
  <c r="DV136" i="6"/>
  <c r="EU136" i="6" s="1"/>
  <c r="DW136" i="6"/>
  <c r="EV136" i="6" s="1"/>
  <c r="DX136" i="6"/>
  <c r="EW136" i="6" s="1"/>
  <c r="DY136" i="6"/>
  <c r="EX136" i="6" s="1"/>
  <c r="DZ136" i="6"/>
  <c r="EY136" i="6" s="1"/>
  <c r="EA136" i="6"/>
  <c r="EZ136" i="6" s="1"/>
  <c r="EC136" i="6"/>
  <c r="FB136" i="6" s="1"/>
  <c r="EE136" i="6"/>
  <c r="FD136" i="6" s="1"/>
  <c r="EF136" i="6"/>
  <c r="FE136" i="6" s="1"/>
  <c r="EG136" i="6"/>
  <c r="FF136" i="6" s="1"/>
  <c r="EN136" i="6"/>
  <c r="DO137" i="6"/>
  <c r="EN137" i="6" s="1"/>
  <c r="DP137" i="6"/>
  <c r="DQ137" i="6"/>
  <c r="EP137" i="6" s="1"/>
  <c r="DS137" i="6"/>
  <c r="ER137" i="6" s="1"/>
  <c r="DT137" i="6"/>
  <c r="ES137" i="6" s="1"/>
  <c r="DU137" i="6"/>
  <c r="ET137" i="6" s="1"/>
  <c r="DV137" i="6"/>
  <c r="EU137" i="6" s="1"/>
  <c r="DW137" i="6"/>
  <c r="EV137" i="6" s="1"/>
  <c r="DX137" i="6"/>
  <c r="DY137" i="6"/>
  <c r="EX137" i="6" s="1"/>
  <c r="DZ137" i="6"/>
  <c r="EY137" i="6" s="1"/>
  <c r="EA137" i="6"/>
  <c r="EZ137" i="6" s="1"/>
  <c r="EC137" i="6"/>
  <c r="FB137" i="6" s="1"/>
  <c r="EE137" i="6"/>
  <c r="FD137" i="6" s="1"/>
  <c r="EF137" i="6"/>
  <c r="FE137" i="6" s="1"/>
  <c r="EG137" i="6"/>
  <c r="DO138" i="6"/>
  <c r="EN138" i="6" s="1"/>
  <c r="DP138" i="6"/>
  <c r="DQ138" i="6"/>
  <c r="EP138" i="6" s="1"/>
  <c r="DS138" i="6"/>
  <c r="ER138" i="6" s="1"/>
  <c r="DT138" i="6"/>
  <c r="ES138" i="6" s="1"/>
  <c r="DU138" i="6"/>
  <c r="ET138" i="6" s="1"/>
  <c r="DV138" i="6"/>
  <c r="EU138" i="6" s="1"/>
  <c r="DW138" i="6"/>
  <c r="EV138" i="6" s="1"/>
  <c r="DX138" i="6"/>
  <c r="EW138" i="6" s="1"/>
  <c r="DY138" i="6"/>
  <c r="DZ138" i="6"/>
  <c r="EY138" i="6" s="1"/>
  <c r="EA138" i="6"/>
  <c r="EZ138" i="6" s="1"/>
  <c r="EC138" i="6"/>
  <c r="FB138" i="6" s="1"/>
  <c r="EE138" i="6"/>
  <c r="FD138" i="6" s="1"/>
  <c r="EF138" i="6"/>
  <c r="FE138" i="6" s="1"/>
  <c r="EG138" i="6"/>
  <c r="DO139" i="6"/>
  <c r="EN139" i="6" s="1"/>
  <c r="DP139" i="6"/>
  <c r="DQ139" i="6"/>
  <c r="EP139" i="6" s="1"/>
  <c r="DS139" i="6"/>
  <c r="DT139" i="6"/>
  <c r="ES139" i="6" s="1"/>
  <c r="DU139" i="6"/>
  <c r="ET139" i="6" s="1"/>
  <c r="DV139" i="6"/>
  <c r="EU139" i="6" s="1"/>
  <c r="DW139" i="6"/>
  <c r="EV139" i="6" s="1"/>
  <c r="DX139" i="6"/>
  <c r="EW139" i="6" s="1"/>
  <c r="DY139" i="6"/>
  <c r="EX139" i="6" s="1"/>
  <c r="DZ139" i="6"/>
  <c r="EY139" i="6" s="1"/>
  <c r="EA139" i="6"/>
  <c r="EZ139" i="6" s="1"/>
  <c r="EC139" i="6"/>
  <c r="FB139" i="6" s="1"/>
  <c r="EE139" i="6"/>
  <c r="FD139" i="6" s="1"/>
  <c r="EF139" i="6"/>
  <c r="FE139" i="6" s="1"/>
  <c r="EG139" i="6"/>
  <c r="DO140" i="6"/>
  <c r="EN140" i="6" s="1"/>
  <c r="DP140" i="6"/>
  <c r="DQ140" i="6"/>
  <c r="EP140" i="6" s="1"/>
  <c r="DS140" i="6"/>
  <c r="DT140" i="6"/>
  <c r="ES140" i="6" s="1"/>
  <c r="DU140" i="6"/>
  <c r="ET140" i="6" s="1"/>
  <c r="DV140" i="6"/>
  <c r="EU140" i="6" s="1"/>
  <c r="DW140" i="6"/>
  <c r="EV140" i="6" s="1"/>
  <c r="DX140" i="6"/>
  <c r="EW140" i="6" s="1"/>
  <c r="DY140" i="6"/>
  <c r="EX140" i="6" s="1"/>
  <c r="DZ140" i="6"/>
  <c r="EY140" i="6" s="1"/>
  <c r="EA140" i="6"/>
  <c r="EC140" i="6"/>
  <c r="FB140" i="6" s="1"/>
  <c r="EE140" i="6"/>
  <c r="FD140" i="6" s="1"/>
  <c r="EF140" i="6"/>
  <c r="FE140" i="6" s="1"/>
  <c r="EG140" i="6"/>
  <c r="FF140" i="6" s="1"/>
  <c r="EO140" i="6"/>
  <c r="DO141" i="6"/>
  <c r="DP141" i="6"/>
  <c r="DQ141" i="6"/>
  <c r="EP141" i="6" s="1"/>
  <c r="DS141" i="6"/>
  <c r="ER141" i="6" s="1"/>
  <c r="DT141" i="6"/>
  <c r="ES141" i="6" s="1"/>
  <c r="DU141" i="6"/>
  <c r="ET141" i="6" s="1"/>
  <c r="DV141" i="6"/>
  <c r="EU141" i="6" s="1"/>
  <c r="DW141" i="6"/>
  <c r="DX141" i="6"/>
  <c r="EW141" i="6" s="1"/>
  <c r="DY141" i="6"/>
  <c r="DZ141" i="6"/>
  <c r="EY141" i="6" s="1"/>
  <c r="EA141" i="6"/>
  <c r="EZ141" i="6" s="1"/>
  <c r="EC141" i="6"/>
  <c r="FB141" i="6" s="1"/>
  <c r="EE141" i="6"/>
  <c r="FD141" i="6" s="1"/>
  <c r="EF141" i="6"/>
  <c r="FE141" i="6" s="1"/>
  <c r="EG141" i="6"/>
  <c r="EN141" i="6"/>
  <c r="DO142" i="6"/>
  <c r="EN142" i="6" s="1"/>
  <c r="DP142" i="6"/>
  <c r="DQ142" i="6"/>
  <c r="EP142" i="6" s="1"/>
  <c r="DS142" i="6"/>
  <c r="DT142" i="6"/>
  <c r="ES142" i="6" s="1"/>
  <c r="DU142" i="6"/>
  <c r="ET142" i="6" s="1"/>
  <c r="DV142" i="6"/>
  <c r="EU142" i="6" s="1"/>
  <c r="DW142" i="6"/>
  <c r="EV142" i="6" s="1"/>
  <c r="DX142" i="6"/>
  <c r="EW142" i="6" s="1"/>
  <c r="DY142" i="6"/>
  <c r="EX142" i="6" s="1"/>
  <c r="DZ142" i="6"/>
  <c r="EY142" i="6" s="1"/>
  <c r="EA142" i="6"/>
  <c r="EC142" i="6"/>
  <c r="FB142" i="6" s="1"/>
  <c r="EE142" i="6"/>
  <c r="FD142" i="6" s="1"/>
  <c r="EF142" i="6"/>
  <c r="FE142" i="6" s="1"/>
  <c r="EG142" i="6"/>
  <c r="FF142" i="6" s="1"/>
  <c r="EO142" i="6"/>
  <c r="DO143" i="6"/>
  <c r="DP143" i="6"/>
  <c r="DQ143" i="6"/>
  <c r="EP143" i="6" s="1"/>
  <c r="DS143" i="6"/>
  <c r="ER143" i="6" s="1"/>
  <c r="DT143" i="6"/>
  <c r="ES143" i="6" s="1"/>
  <c r="DU143" i="6"/>
  <c r="ET143" i="6" s="1"/>
  <c r="DV143" i="6"/>
  <c r="EU143" i="6" s="1"/>
  <c r="DW143" i="6"/>
  <c r="DX143" i="6"/>
  <c r="EW143" i="6" s="1"/>
  <c r="DY143" i="6"/>
  <c r="DZ143" i="6"/>
  <c r="EY143" i="6" s="1"/>
  <c r="EA143" i="6"/>
  <c r="EZ143" i="6" s="1"/>
  <c r="EC143" i="6"/>
  <c r="FB143" i="6" s="1"/>
  <c r="EE143" i="6"/>
  <c r="FD143" i="6" s="1"/>
  <c r="EF143" i="6"/>
  <c r="FE143" i="6" s="1"/>
  <c r="EG143" i="6"/>
  <c r="EN143" i="6"/>
  <c r="DO144" i="6"/>
  <c r="EN144" i="6" s="1"/>
  <c r="DP144" i="6"/>
  <c r="EO144" i="6" s="1"/>
  <c r="DQ144" i="6"/>
  <c r="EP144" i="6" s="1"/>
  <c r="DS144" i="6"/>
  <c r="DT144" i="6"/>
  <c r="ES144" i="6" s="1"/>
  <c r="DU144" i="6"/>
  <c r="ET144" i="6" s="1"/>
  <c r="DV144" i="6"/>
  <c r="EU144" i="6" s="1"/>
  <c r="DW144" i="6"/>
  <c r="EV144" i="6" s="1"/>
  <c r="DX144" i="6"/>
  <c r="EW144" i="6" s="1"/>
  <c r="DY144" i="6"/>
  <c r="DZ144" i="6"/>
  <c r="EY144" i="6" s="1"/>
  <c r="EA144" i="6"/>
  <c r="EZ144" i="6" s="1"/>
  <c r="EC144" i="6"/>
  <c r="FB144" i="6" s="1"/>
  <c r="EE144" i="6"/>
  <c r="FD144" i="6" s="1"/>
  <c r="EF144" i="6"/>
  <c r="FE144" i="6" s="1"/>
  <c r="EG144" i="6"/>
  <c r="FF144" i="6" s="1"/>
  <c r="EX144" i="6"/>
  <c r="DO145" i="6"/>
  <c r="EN145" i="6" s="1"/>
  <c r="DP145" i="6"/>
  <c r="DQ145" i="6"/>
  <c r="EP145" i="6" s="1"/>
  <c r="DS145" i="6"/>
  <c r="ER145" i="6" s="1"/>
  <c r="DT145" i="6"/>
  <c r="DU145" i="6"/>
  <c r="ET145" i="6" s="1"/>
  <c r="DV145" i="6"/>
  <c r="EU145" i="6" s="1"/>
  <c r="DW145" i="6"/>
  <c r="DX145" i="6"/>
  <c r="EW145" i="6" s="1"/>
  <c r="DY145" i="6"/>
  <c r="DZ145" i="6"/>
  <c r="EY145" i="6" s="1"/>
  <c r="EA145" i="6"/>
  <c r="EZ145" i="6" s="1"/>
  <c r="EC145" i="6"/>
  <c r="FB145" i="6" s="1"/>
  <c r="EE145" i="6"/>
  <c r="FD145" i="6" s="1"/>
  <c r="EF145" i="6"/>
  <c r="FE145" i="6" s="1"/>
  <c r="EG145" i="6"/>
  <c r="ES145" i="6"/>
  <c r="DO146" i="6"/>
  <c r="EN146" i="6" s="1"/>
  <c r="DP146" i="6"/>
  <c r="EO146" i="6" s="1"/>
  <c r="DQ146" i="6"/>
  <c r="DS146" i="6"/>
  <c r="DT146" i="6"/>
  <c r="ES146" i="6" s="1"/>
  <c r="DU146" i="6"/>
  <c r="ET146" i="6" s="1"/>
  <c r="DV146" i="6"/>
  <c r="EU146" i="6" s="1"/>
  <c r="DW146" i="6"/>
  <c r="EV146" i="6" s="1"/>
  <c r="DX146" i="6"/>
  <c r="EW146" i="6" s="1"/>
  <c r="DY146" i="6"/>
  <c r="EX146" i="6" s="1"/>
  <c r="DZ146" i="6"/>
  <c r="EY146" i="6" s="1"/>
  <c r="EA146" i="6"/>
  <c r="EZ146" i="6" s="1"/>
  <c r="EC146" i="6"/>
  <c r="FB146" i="6" s="1"/>
  <c r="EE146" i="6"/>
  <c r="FD146" i="6" s="1"/>
  <c r="EF146" i="6"/>
  <c r="FE146" i="6" s="1"/>
  <c r="EG146" i="6"/>
  <c r="FF146" i="6" s="1"/>
  <c r="EP146" i="6"/>
  <c r="DO147" i="6"/>
  <c r="EN147" i="6" s="1"/>
  <c r="DP147" i="6"/>
  <c r="DQ147" i="6"/>
  <c r="EP147" i="6" s="1"/>
  <c r="DS147" i="6"/>
  <c r="ER147" i="6" s="1"/>
  <c r="DT147" i="6"/>
  <c r="ES147" i="6" s="1"/>
  <c r="DU147" i="6"/>
  <c r="ET147" i="6" s="1"/>
  <c r="DV147" i="6"/>
  <c r="EU147" i="6" s="1"/>
  <c r="DW147" i="6"/>
  <c r="EV147" i="6" s="1"/>
  <c r="DX147" i="6"/>
  <c r="EW147" i="6" s="1"/>
  <c r="DY147" i="6"/>
  <c r="DZ147" i="6"/>
  <c r="EY147" i="6" s="1"/>
  <c r="EA147" i="6"/>
  <c r="EZ147" i="6" s="1"/>
  <c r="EC147" i="6"/>
  <c r="FB147" i="6" s="1"/>
  <c r="EE147" i="6"/>
  <c r="FD147" i="6" s="1"/>
  <c r="EF147" i="6"/>
  <c r="FE147" i="6" s="1"/>
  <c r="EG147" i="6"/>
  <c r="DO148" i="6"/>
  <c r="EN148" i="6" s="1"/>
  <c r="DP148" i="6"/>
  <c r="EO148" i="6" s="1"/>
  <c r="DQ148" i="6"/>
  <c r="EP148" i="6" s="1"/>
  <c r="DS148" i="6"/>
  <c r="DT148" i="6"/>
  <c r="ES148" i="6" s="1"/>
  <c r="DU148" i="6"/>
  <c r="ET148" i="6" s="1"/>
  <c r="DV148" i="6"/>
  <c r="EU148" i="6" s="1"/>
  <c r="DW148" i="6"/>
  <c r="EV148" i="6" s="1"/>
  <c r="DX148" i="6"/>
  <c r="EW148" i="6" s="1"/>
  <c r="DY148" i="6"/>
  <c r="EX148" i="6" s="1"/>
  <c r="DZ148" i="6"/>
  <c r="EY148" i="6" s="1"/>
  <c r="EA148" i="6"/>
  <c r="EZ148" i="6" s="1"/>
  <c r="EC148" i="6"/>
  <c r="FB148" i="6" s="1"/>
  <c r="EE148" i="6"/>
  <c r="FD148" i="6" s="1"/>
  <c r="EF148" i="6"/>
  <c r="EG148" i="6"/>
  <c r="FF148" i="6" s="1"/>
  <c r="DO149" i="6"/>
  <c r="EN149" i="6" s="1"/>
  <c r="DP149" i="6"/>
  <c r="DQ149" i="6"/>
  <c r="EP149" i="6" s="1"/>
  <c r="DS149" i="6"/>
  <c r="ER149" i="6" s="1"/>
  <c r="DT149" i="6"/>
  <c r="ES149" i="6" s="1"/>
  <c r="DU149" i="6"/>
  <c r="ET149" i="6" s="1"/>
  <c r="DV149" i="6"/>
  <c r="EU149" i="6" s="1"/>
  <c r="DW149" i="6"/>
  <c r="EV149" i="6" s="1"/>
  <c r="DX149" i="6"/>
  <c r="EW149" i="6" s="1"/>
  <c r="DY149" i="6"/>
  <c r="EX149" i="6" s="1"/>
  <c r="DZ149" i="6"/>
  <c r="EY149" i="6" s="1"/>
  <c r="EA149" i="6"/>
  <c r="EZ149" i="6" s="1"/>
  <c r="EC149" i="6"/>
  <c r="FB149" i="6" s="1"/>
  <c r="EE149" i="6"/>
  <c r="FD149" i="6" s="1"/>
  <c r="EF149" i="6"/>
  <c r="FE149" i="6" s="1"/>
  <c r="EG149" i="6"/>
  <c r="DO150" i="6"/>
  <c r="DP150" i="6"/>
  <c r="EO150" i="6" s="1"/>
  <c r="DQ150" i="6"/>
  <c r="EP150" i="6" s="1"/>
  <c r="DS150" i="6"/>
  <c r="DT150" i="6"/>
  <c r="ES150" i="6" s="1"/>
  <c r="DU150" i="6"/>
  <c r="ET150" i="6" s="1"/>
  <c r="DV150" i="6"/>
  <c r="EU150" i="6" s="1"/>
  <c r="DW150" i="6"/>
  <c r="EV150" i="6" s="1"/>
  <c r="DX150" i="6"/>
  <c r="EW150" i="6" s="1"/>
  <c r="DY150" i="6"/>
  <c r="EX150" i="6" s="1"/>
  <c r="DZ150" i="6"/>
  <c r="EY150" i="6" s="1"/>
  <c r="EA150" i="6"/>
  <c r="EZ150" i="6" s="1"/>
  <c r="EC150" i="6"/>
  <c r="FB150" i="6" s="1"/>
  <c r="EE150" i="6"/>
  <c r="FD150" i="6" s="1"/>
  <c r="EF150" i="6"/>
  <c r="EG150" i="6"/>
  <c r="FF150" i="6" s="1"/>
  <c r="EN150" i="6"/>
  <c r="DO151" i="6"/>
  <c r="EN151" i="6" s="1"/>
  <c r="DP151" i="6"/>
  <c r="DQ151" i="6"/>
  <c r="EP151" i="6" s="1"/>
  <c r="DS151" i="6"/>
  <c r="ER151" i="6" s="1"/>
  <c r="DT151" i="6"/>
  <c r="ES151" i="6" s="1"/>
  <c r="DU151" i="6"/>
  <c r="ET151" i="6" s="1"/>
  <c r="DV151" i="6"/>
  <c r="EU151" i="6" s="1"/>
  <c r="DW151" i="6"/>
  <c r="EV151" i="6" s="1"/>
  <c r="DX151" i="6"/>
  <c r="EW151" i="6" s="1"/>
  <c r="DY151" i="6"/>
  <c r="EX151" i="6" s="1"/>
  <c r="DZ151" i="6"/>
  <c r="EY151" i="6" s="1"/>
  <c r="EA151" i="6"/>
  <c r="EZ151" i="6" s="1"/>
  <c r="EC151" i="6"/>
  <c r="EE151" i="6"/>
  <c r="FD151" i="6" s="1"/>
  <c r="EF151" i="6"/>
  <c r="FE151" i="6" s="1"/>
  <c r="EG151" i="6"/>
  <c r="FB151" i="6"/>
  <c r="DO152" i="6"/>
  <c r="EN152" i="6" s="1"/>
  <c r="DP152" i="6"/>
  <c r="EO152" i="6" s="1"/>
  <c r="DQ152" i="6"/>
  <c r="EP152" i="6" s="1"/>
  <c r="DS152" i="6"/>
  <c r="DT152" i="6"/>
  <c r="ES152" i="6" s="1"/>
  <c r="DU152" i="6"/>
  <c r="ET152" i="6" s="1"/>
  <c r="DV152" i="6"/>
  <c r="EU152" i="6" s="1"/>
  <c r="DW152" i="6"/>
  <c r="EV152" i="6" s="1"/>
  <c r="DX152" i="6"/>
  <c r="EW152" i="6" s="1"/>
  <c r="DY152" i="6"/>
  <c r="EX152" i="6" s="1"/>
  <c r="DZ152" i="6"/>
  <c r="EY152" i="6" s="1"/>
  <c r="EA152" i="6"/>
  <c r="EZ152" i="6" s="1"/>
  <c r="EC152" i="6"/>
  <c r="FB152" i="6" s="1"/>
  <c r="EE152" i="6"/>
  <c r="FD152" i="6" s="1"/>
  <c r="EF152" i="6"/>
  <c r="FE152" i="6" s="1"/>
  <c r="EG152" i="6"/>
  <c r="FF152" i="6" s="1"/>
  <c r="DO153" i="6"/>
  <c r="DP153" i="6"/>
  <c r="DQ153" i="6"/>
  <c r="EP153" i="6" s="1"/>
  <c r="DS153" i="6"/>
  <c r="ER153" i="6" s="1"/>
  <c r="DT153" i="6"/>
  <c r="ES153" i="6" s="1"/>
  <c r="DU153" i="6"/>
  <c r="ET153" i="6" s="1"/>
  <c r="DV153" i="6"/>
  <c r="EU153" i="6" s="1"/>
  <c r="DW153" i="6"/>
  <c r="EV153" i="6" s="1"/>
  <c r="DX153" i="6"/>
  <c r="EW153" i="6" s="1"/>
  <c r="DY153" i="6"/>
  <c r="EX153" i="6" s="1"/>
  <c r="DZ153" i="6"/>
  <c r="EY153" i="6" s="1"/>
  <c r="EA153" i="6"/>
  <c r="EZ153" i="6" s="1"/>
  <c r="EC153" i="6"/>
  <c r="FB153" i="6" s="1"/>
  <c r="EE153" i="6"/>
  <c r="FD153" i="6" s="1"/>
  <c r="EF153" i="6"/>
  <c r="FE153" i="6" s="1"/>
  <c r="EG153" i="6"/>
  <c r="EN153" i="6"/>
  <c r="DO154" i="6"/>
  <c r="EN154" i="6" s="1"/>
  <c r="DP154" i="6"/>
  <c r="EO154" i="6" s="1"/>
  <c r="DQ154" i="6"/>
  <c r="EP154" i="6" s="1"/>
  <c r="DS154" i="6"/>
  <c r="DT154" i="6"/>
  <c r="ES154" i="6" s="1"/>
  <c r="DU154" i="6"/>
  <c r="ET154" i="6" s="1"/>
  <c r="DV154" i="6"/>
  <c r="EU154" i="6" s="1"/>
  <c r="DW154" i="6"/>
  <c r="EV154" i="6" s="1"/>
  <c r="DX154" i="6"/>
  <c r="EW154" i="6" s="1"/>
  <c r="DY154" i="6"/>
  <c r="EX154" i="6" s="1"/>
  <c r="DZ154" i="6"/>
  <c r="EY154" i="6" s="1"/>
  <c r="EA154" i="6"/>
  <c r="EZ154" i="6" s="1"/>
  <c r="EC154" i="6"/>
  <c r="FB154" i="6" s="1"/>
  <c r="EE154" i="6"/>
  <c r="FD154" i="6" s="1"/>
  <c r="EF154" i="6"/>
  <c r="EG154" i="6"/>
  <c r="FF154" i="6" s="1"/>
  <c r="DO155" i="6"/>
  <c r="DP155" i="6"/>
  <c r="DQ155" i="6"/>
  <c r="EP155" i="6" s="1"/>
  <c r="DS155" i="6"/>
  <c r="ER155" i="6" s="1"/>
  <c r="DT155" i="6"/>
  <c r="ES155" i="6" s="1"/>
  <c r="DU155" i="6"/>
  <c r="DV155" i="6"/>
  <c r="EU155" i="6" s="1"/>
  <c r="DW155" i="6"/>
  <c r="EV155" i="6" s="1"/>
  <c r="DX155" i="6"/>
  <c r="EW155" i="6" s="1"/>
  <c r="DY155" i="6"/>
  <c r="EX155" i="6" s="1"/>
  <c r="DZ155" i="6"/>
  <c r="EY155" i="6" s="1"/>
  <c r="EA155" i="6"/>
  <c r="EZ155" i="6" s="1"/>
  <c r="EC155" i="6"/>
  <c r="FB155" i="6" s="1"/>
  <c r="EE155" i="6"/>
  <c r="EF155" i="6"/>
  <c r="FE155" i="6" s="1"/>
  <c r="EG155" i="6"/>
  <c r="EN155" i="6"/>
  <c r="DO156" i="6"/>
  <c r="DP156" i="6"/>
  <c r="DQ156" i="6"/>
  <c r="EP156" i="6" s="1"/>
  <c r="DS156" i="6"/>
  <c r="ER156" i="6" s="1"/>
  <c r="DT156" i="6"/>
  <c r="ES156" i="6" s="1"/>
  <c r="DU156" i="6"/>
  <c r="ET156" i="6" s="1"/>
  <c r="DV156" i="6"/>
  <c r="DW156" i="6"/>
  <c r="EV156" i="6" s="1"/>
  <c r="DX156" i="6"/>
  <c r="EW156" i="6" s="1"/>
  <c r="DY156" i="6"/>
  <c r="DZ156" i="6"/>
  <c r="EY156" i="6" s="1"/>
  <c r="EA156" i="6"/>
  <c r="EZ156" i="6" s="1"/>
  <c r="EC156" i="6"/>
  <c r="FB156" i="6" s="1"/>
  <c r="EE156" i="6"/>
  <c r="FD156" i="6" s="1"/>
  <c r="EF156" i="6"/>
  <c r="EG156" i="6"/>
  <c r="FF156" i="6" s="1"/>
  <c r="EN156" i="6"/>
  <c r="DO157" i="6"/>
  <c r="DP157" i="6"/>
  <c r="DQ157" i="6"/>
  <c r="EP157" i="6" s="1"/>
  <c r="DS157" i="6"/>
  <c r="ER157" i="6" s="1"/>
  <c r="DT157" i="6"/>
  <c r="ES157" i="6" s="1"/>
  <c r="DU157" i="6"/>
  <c r="DV157" i="6"/>
  <c r="EU157" i="6" s="1"/>
  <c r="DW157" i="6"/>
  <c r="EV157" i="6" s="1"/>
  <c r="DX157" i="6"/>
  <c r="EW157" i="6" s="1"/>
  <c r="DY157" i="6"/>
  <c r="EX157" i="6" s="1"/>
  <c r="DZ157" i="6"/>
  <c r="EY157" i="6" s="1"/>
  <c r="EA157" i="6"/>
  <c r="EZ157" i="6" s="1"/>
  <c r="EC157" i="6"/>
  <c r="FB157" i="6" s="1"/>
  <c r="EE157" i="6"/>
  <c r="FD157" i="6" s="1"/>
  <c r="EF157" i="6"/>
  <c r="FE157" i="6" s="1"/>
  <c r="EG157" i="6"/>
  <c r="FF157" i="6" s="1"/>
  <c r="EN157" i="6"/>
  <c r="DO158" i="6"/>
  <c r="EN158" i="6" s="1"/>
  <c r="DP158" i="6"/>
  <c r="EO158" i="6" s="1"/>
  <c r="DQ158" i="6"/>
  <c r="DS158" i="6"/>
  <c r="DT158" i="6"/>
  <c r="ES158" i="6" s="1"/>
  <c r="DU158" i="6"/>
  <c r="ET158" i="6" s="1"/>
  <c r="DV158" i="6"/>
  <c r="EU158" i="6" s="1"/>
  <c r="DW158" i="6"/>
  <c r="EV158" i="6" s="1"/>
  <c r="DX158" i="6"/>
  <c r="EW158" i="6" s="1"/>
  <c r="DY158" i="6"/>
  <c r="DZ158" i="6"/>
  <c r="EY158" i="6" s="1"/>
  <c r="EA158" i="6"/>
  <c r="EZ158" i="6" s="1"/>
  <c r="EC158" i="6"/>
  <c r="FB158" i="6" s="1"/>
  <c r="EE158" i="6"/>
  <c r="FD158" i="6" s="1"/>
  <c r="EF158" i="6"/>
  <c r="FE158" i="6" s="1"/>
  <c r="EG158" i="6"/>
  <c r="FF158" i="6" s="1"/>
  <c r="EP158" i="6"/>
  <c r="DO159" i="6"/>
  <c r="EN159" i="6" s="1"/>
  <c r="DP159" i="6"/>
  <c r="DQ159" i="6"/>
  <c r="EP159" i="6" s="1"/>
  <c r="DS159" i="6"/>
  <c r="ER159" i="6" s="1"/>
  <c r="DT159" i="6"/>
  <c r="ES159" i="6" s="1"/>
  <c r="DU159" i="6"/>
  <c r="ET159" i="6" s="1"/>
  <c r="DV159" i="6"/>
  <c r="EU159" i="6" s="1"/>
  <c r="DW159" i="6"/>
  <c r="EV159" i="6" s="1"/>
  <c r="DX159" i="6"/>
  <c r="EW159" i="6" s="1"/>
  <c r="DY159" i="6"/>
  <c r="EX159" i="6" s="1"/>
  <c r="DZ159" i="6"/>
  <c r="EA159" i="6"/>
  <c r="EZ159" i="6" s="1"/>
  <c r="EC159" i="6"/>
  <c r="EE159" i="6"/>
  <c r="FD159" i="6" s="1"/>
  <c r="EF159" i="6"/>
  <c r="FE159" i="6" s="1"/>
  <c r="EG159" i="6"/>
  <c r="FF159" i="6" s="1"/>
  <c r="FB159" i="6"/>
  <c r="DO160" i="6"/>
  <c r="EN160" i="6" s="1"/>
  <c r="DP160" i="6"/>
  <c r="EO160" i="6" s="1"/>
  <c r="DQ160" i="6"/>
  <c r="EP160" i="6" s="1"/>
  <c r="DS160" i="6"/>
  <c r="ER160" i="6" s="1"/>
  <c r="DT160" i="6"/>
  <c r="ES160" i="6" s="1"/>
  <c r="DU160" i="6"/>
  <c r="ET160" i="6" s="1"/>
  <c r="DV160" i="6"/>
  <c r="EU160" i="6" s="1"/>
  <c r="DW160" i="6"/>
  <c r="DX160" i="6"/>
  <c r="EW160" i="6" s="1"/>
  <c r="DY160" i="6"/>
  <c r="EX160" i="6" s="1"/>
  <c r="DZ160" i="6"/>
  <c r="EY160" i="6" s="1"/>
  <c r="EA160" i="6"/>
  <c r="EZ160" i="6" s="1"/>
  <c r="EC160" i="6"/>
  <c r="FB160" i="6" s="1"/>
  <c r="EE160" i="6"/>
  <c r="FD160" i="6" s="1"/>
  <c r="EF160" i="6"/>
  <c r="FE160" i="6" s="1"/>
  <c r="EG160" i="6"/>
  <c r="FF160" i="6" s="1"/>
  <c r="EV160" i="6"/>
  <c r="DO161" i="6"/>
  <c r="EN161" i="6" s="1"/>
  <c r="DP161" i="6"/>
  <c r="EO161" i="6" s="1"/>
  <c r="DQ161" i="6"/>
  <c r="EP161" i="6" s="1"/>
  <c r="DS161" i="6"/>
  <c r="ER161" i="6" s="1"/>
  <c r="DT161" i="6"/>
  <c r="ES161" i="6" s="1"/>
  <c r="DU161" i="6"/>
  <c r="ET161" i="6" s="1"/>
  <c r="DV161" i="6"/>
  <c r="EU161" i="6" s="1"/>
  <c r="DW161" i="6"/>
  <c r="EV161" i="6" s="1"/>
  <c r="DX161" i="6"/>
  <c r="EW161" i="6" s="1"/>
  <c r="DY161" i="6"/>
  <c r="EX161" i="6" s="1"/>
  <c r="DZ161" i="6"/>
  <c r="EY161" i="6" s="1"/>
  <c r="EA161" i="6"/>
  <c r="EZ161" i="6" s="1"/>
  <c r="EC161" i="6"/>
  <c r="EE161" i="6"/>
  <c r="FD161" i="6" s="1"/>
  <c r="EF161" i="6"/>
  <c r="EG161" i="6"/>
  <c r="FF161" i="6" s="1"/>
  <c r="DO162" i="6"/>
  <c r="EN162" i="6" s="1"/>
  <c r="DP162" i="6"/>
  <c r="EO162" i="6" s="1"/>
  <c r="DQ162" i="6"/>
  <c r="EP162" i="6" s="1"/>
  <c r="DS162" i="6"/>
  <c r="DT162" i="6"/>
  <c r="DU162" i="6"/>
  <c r="ET162" i="6" s="1"/>
  <c r="DV162" i="6"/>
  <c r="EU162" i="6" s="1"/>
  <c r="DW162" i="6"/>
  <c r="EV162" i="6" s="1"/>
  <c r="DX162" i="6"/>
  <c r="DY162" i="6"/>
  <c r="EX162" i="6" s="1"/>
  <c r="DZ162" i="6"/>
  <c r="EY162" i="6" s="1"/>
  <c r="EA162" i="6"/>
  <c r="EZ162" i="6" s="1"/>
  <c r="EC162" i="6"/>
  <c r="FB162" i="6" s="1"/>
  <c r="EE162" i="6"/>
  <c r="FD162" i="6" s="1"/>
  <c r="EF162" i="6"/>
  <c r="FE162" i="6" s="1"/>
  <c r="EG162" i="6"/>
  <c r="ES162" i="6"/>
  <c r="DO163" i="6"/>
  <c r="DP163" i="6"/>
  <c r="DQ163" i="6"/>
  <c r="DS163" i="6"/>
  <c r="ER163" i="6" s="1"/>
  <c r="DT163" i="6"/>
  <c r="DU163" i="6"/>
  <c r="ET163" i="6" s="1"/>
  <c r="DV163" i="6"/>
  <c r="EU163" i="6" s="1"/>
  <c r="DW163" i="6"/>
  <c r="EV163" i="6" s="1"/>
  <c r="DX163" i="6"/>
  <c r="EW163" i="6" s="1"/>
  <c r="DY163" i="6"/>
  <c r="EX163" i="6" s="1"/>
  <c r="DZ163" i="6"/>
  <c r="EY163" i="6" s="1"/>
  <c r="EA163" i="6"/>
  <c r="EZ163" i="6" s="1"/>
  <c r="EC163" i="6"/>
  <c r="EE163" i="6"/>
  <c r="FD163" i="6" s="1"/>
  <c r="EF163" i="6"/>
  <c r="EG163" i="6"/>
  <c r="FF163" i="6" s="1"/>
  <c r="EN163" i="6"/>
  <c r="EO163" i="6"/>
  <c r="EP163" i="6"/>
  <c r="DO164" i="6"/>
  <c r="EN164" i="6" s="1"/>
  <c r="DP164" i="6"/>
  <c r="EO164" i="6" s="1"/>
  <c r="DQ164" i="6"/>
  <c r="EP164" i="6" s="1"/>
  <c r="DS164" i="6"/>
  <c r="ER164" i="6" s="1"/>
  <c r="DT164" i="6"/>
  <c r="ES164" i="6" s="1"/>
  <c r="DU164" i="6"/>
  <c r="ET164" i="6" s="1"/>
  <c r="DV164" i="6"/>
  <c r="EU164" i="6" s="1"/>
  <c r="DW164" i="6"/>
  <c r="EV164" i="6" s="1"/>
  <c r="DX164" i="6"/>
  <c r="DY164" i="6"/>
  <c r="EX164" i="6" s="1"/>
  <c r="DZ164" i="6"/>
  <c r="EY164" i="6" s="1"/>
  <c r="EA164" i="6"/>
  <c r="EZ164" i="6" s="1"/>
  <c r="EC164" i="6"/>
  <c r="FB164" i="6" s="1"/>
  <c r="EE164" i="6"/>
  <c r="FD164" i="6" s="1"/>
  <c r="EF164" i="6"/>
  <c r="FE164" i="6" s="1"/>
  <c r="EG164" i="6"/>
  <c r="DO165" i="6"/>
  <c r="DP165" i="6"/>
  <c r="EO165" i="6" s="1"/>
  <c r="DQ165" i="6"/>
  <c r="DS165" i="6"/>
  <c r="ER165" i="6" s="1"/>
  <c r="DT165" i="6"/>
  <c r="DU165" i="6"/>
  <c r="ET165" i="6" s="1"/>
  <c r="DV165" i="6"/>
  <c r="EU165" i="6" s="1"/>
  <c r="DW165" i="6"/>
  <c r="EV165" i="6" s="1"/>
  <c r="DX165" i="6"/>
  <c r="EW165" i="6" s="1"/>
  <c r="DY165" i="6"/>
  <c r="EX165" i="6" s="1"/>
  <c r="DZ165" i="6"/>
  <c r="EY165" i="6" s="1"/>
  <c r="EA165" i="6"/>
  <c r="EZ165" i="6" s="1"/>
  <c r="EC165" i="6"/>
  <c r="EE165" i="6"/>
  <c r="FD165" i="6" s="1"/>
  <c r="EF165" i="6"/>
  <c r="EG165" i="6"/>
  <c r="FF165" i="6" s="1"/>
  <c r="EN165" i="6"/>
  <c r="DO166" i="6"/>
  <c r="EN166" i="6" s="1"/>
  <c r="DP166" i="6"/>
  <c r="EO166" i="6" s="1"/>
  <c r="DQ166" i="6"/>
  <c r="DS166" i="6"/>
  <c r="ER166" i="6" s="1"/>
  <c r="DT166" i="6"/>
  <c r="ES166" i="6" s="1"/>
  <c r="DU166" i="6"/>
  <c r="ET166" i="6" s="1"/>
  <c r="DV166" i="6"/>
  <c r="EU166" i="6" s="1"/>
  <c r="DW166" i="6"/>
  <c r="EV166" i="6" s="1"/>
  <c r="DX166" i="6"/>
  <c r="EW166" i="6" s="1"/>
  <c r="DY166" i="6"/>
  <c r="EX166" i="6" s="1"/>
  <c r="DZ166" i="6"/>
  <c r="EY166" i="6" s="1"/>
  <c r="EA166" i="6"/>
  <c r="EZ166" i="6" s="1"/>
  <c r="EC166" i="6"/>
  <c r="FB166" i="6" s="1"/>
  <c r="EE166" i="6"/>
  <c r="FD166" i="6" s="1"/>
  <c r="EF166" i="6"/>
  <c r="FE166" i="6" s="1"/>
  <c r="EG166" i="6"/>
  <c r="FF166" i="6" s="1"/>
  <c r="EK166" i="6"/>
  <c r="FJ166" i="6" s="1"/>
  <c r="DO167" i="6"/>
  <c r="EN167" i="6" s="1"/>
  <c r="DP167" i="6"/>
  <c r="DQ167" i="6"/>
  <c r="EP167" i="6" s="1"/>
  <c r="DS167" i="6"/>
  <c r="ER167" i="6" s="1"/>
  <c r="DT167" i="6"/>
  <c r="DU167" i="6"/>
  <c r="ET167" i="6" s="1"/>
  <c r="DV167" i="6"/>
  <c r="EU167" i="6" s="1"/>
  <c r="DW167" i="6"/>
  <c r="EV167" i="6" s="1"/>
  <c r="DX167" i="6"/>
  <c r="EW167" i="6" s="1"/>
  <c r="DY167" i="6"/>
  <c r="DZ167" i="6"/>
  <c r="EY167" i="6" s="1"/>
  <c r="EA167" i="6"/>
  <c r="EZ167" i="6" s="1"/>
  <c r="EC167" i="6"/>
  <c r="EE167" i="6"/>
  <c r="FD167" i="6" s="1"/>
  <c r="EF167" i="6"/>
  <c r="EG167" i="6"/>
  <c r="FF167" i="6" s="1"/>
  <c r="EO167" i="6"/>
  <c r="EX167" i="6"/>
  <c r="DO168" i="6"/>
  <c r="EN168" i="6" s="1"/>
  <c r="DP168" i="6"/>
  <c r="EO168" i="6" s="1"/>
  <c r="DQ168" i="6"/>
  <c r="EP168" i="6" s="1"/>
  <c r="DS168" i="6"/>
  <c r="ER168" i="6" s="1"/>
  <c r="DT168" i="6"/>
  <c r="ES168" i="6" s="1"/>
  <c r="DU168" i="6"/>
  <c r="ET168" i="6" s="1"/>
  <c r="DV168" i="6"/>
  <c r="EU168" i="6" s="1"/>
  <c r="DW168" i="6"/>
  <c r="DX168" i="6"/>
  <c r="EW168" i="6" s="1"/>
  <c r="DY168" i="6"/>
  <c r="EX168" i="6" s="1"/>
  <c r="DZ168" i="6"/>
  <c r="EY168" i="6" s="1"/>
  <c r="EA168" i="6"/>
  <c r="EZ168" i="6" s="1"/>
  <c r="EC168" i="6"/>
  <c r="FB168" i="6" s="1"/>
  <c r="EE168" i="6"/>
  <c r="FD168" i="6" s="1"/>
  <c r="EF168" i="6"/>
  <c r="FE168" i="6" s="1"/>
  <c r="EG168" i="6"/>
  <c r="EV168" i="6"/>
  <c r="FF168" i="6"/>
  <c r="DO169" i="6"/>
  <c r="DP169" i="6"/>
  <c r="EO169" i="6" s="1"/>
  <c r="DQ169" i="6"/>
  <c r="EP169" i="6" s="1"/>
  <c r="DS169" i="6"/>
  <c r="ER169" i="6" s="1"/>
  <c r="DT169" i="6"/>
  <c r="DU169" i="6"/>
  <c r="ET169" i="6" s="1"/>
  <c r="DV169" i="6"/>
  <c r="EU169" i="6" s="1"/>
  <c r="DW169" i="6"/>
  <c r="EV169" i="6" s="1"/>
  <c r="DX169" i="6"/>
  <c r="EW169" i="6" s="1"/>
  <c r="DY169" i="6"/>
  <c r="DZ169" i="6"/>
  <c r="EY169" i="6" s="1"/>
  <c r="EA169" i="6"/>
  <c r="EZ169" i="6" s="1"/>
  <c r="EC169" i="6"/>
  <c r="EE169" i="6"/>
  <c r="FD169" i="6" s="1"/>
  <c r="EF169" i="6"/>
  <c r="EG169" i="6"/>
  <c r="FF169" i="6" s="1"/>
  <c r="EN169" i="6"/>
  <c r="EX169" i="6"/>
  <c r="DO170" i="6"/>
  <c r="EN170" i="6" s="1"/>
  <c r="DP170" i="6"/>
  <c r="EO170" i="6" s="1"/>
  <c r="DQ170" i="6"/>
  <c r="EP170" i="6" s="1"/>
  <c r="DS170" i="6"/>
  <c r="ER170" i="6" s="1"/>
  <c r="DT170" i="6"/>
  <c r="ES170" i="6" s="1"/>
  <c r="DU170" i="6"/>
  <c r="ET170" i="6" s="1"/>
  <c r="DV170" i="6"/>
  <c r="EU170" i="6" s="1"/>
  <c r="DW170" i="6"/>
  <c r="EV170" i="6" s="1"/>
  <c r="DX170" i="6"/>
  <c r="EW170" i="6" s="1"/>
  <c r="DY170" i="6"/>
  <c r="EX170" i="6" s="1"/>
  <c r="DZ170" i="6"/>
  <c r="EY170" i="6" s="1"/>
  <c r="EA170" i="6"/>
  <c r="EZ170" i="6" s="1"/>
  <c r="EC170" i="6"/>
  <c r="FB170" i="6" s="1"/>
  <c r="EE170" i="6"/>
  <c r="FD170" i="6" s="1"/>
  <c r="EF170" i="6"/>
  <c r="FE170" i="6" s="1"/>
  <c r="EG170" i="6"/>
  <c r="DO171" i="6"/>
  <c r="EN171" i="6" s="1"/>
  <c r="DP171" i="6"/>
  <c r="DQ171" i="6"/>
  <c r="EP171" i="6" s="1"/>
  <c r="DS171" i="6"/>
  <c r="ER171" i="6" s="1"/>
  <c r="DT171" i="6"/>
  <c r="DU171" i="6"/>
  <c r="ET171" i="6" s="1"/>
  <c r="DV171" i="6"/>
  <c r="EU171" i="6" s="1"/>
  <c r="DW171" i="6"/>
  <c r="EV171" i="6" s="1"/>
  <c r="DX171" i="6"/>
  <c r="EW171" i="6" s="1"/>
  <c r="DY171" i="6"/>
  <c r="EX171" i="6" s="1"/>
  <c r="DZ171" i="6"/>
  <c r="EY171" i="6" s="1"/>
  <c r="EA171" i="6"/>
  <c r="EZ171" i="6" s="1"/>
  <c r="EC171" i="6"/>
  <c r="FB171" i="6" s="1"/>
  <c r="EE171" i="6"/>
  <c r="FD171" i="6" s="1"/>
  <c r="EF171" i="6"/>
  <c r="EG171" i="6"/>
  <c r="FF171" i="6" s="1"/>
  <c r="DO172" i="6"/>
  <c r="EN172" i="6" s="1"/>
  <c r="DP172" i="6"/>
  <c r="EO172" i="6" s="1"/>
  <c r="DQ172" i="6"/>
  <c r="EP172" i="6" s="1"/>
  <c r="DS172" i="6"/>
  <c r="ER172" i="6" s="1"/>
  <c r="DT172" i="6"/>
  <c r="ES172" i="6" s="1"/>
  <c r="DU172" i="6"/>
  <c r="ET172" i="6" s="1"/>
  <c r="DV172" i="6"/>
  <c r="EU172" i="6" s="1"/>
  <c r="DW172" i="6"/>
  <c r="EV172" i="6" s="1"/>
  <c r="DX172" i="6"/>
  <c r="DY172" i="6"/>
  <c r="EX172" i="6" s="1"/>
  <c r="DZ172" i="6"/>
  <c r="EY172" i="6" s="1"/>
  <c r="EA172" i="6"/>
  <c r="EZ172" i="6" s="1"/>
  <c r="EC172" i="6"/>
  <c r="FB172" i="6" s="1"/>
  <c r="EE172" i="6"/>
  <c r="FD172" i="6" s="1"/>
  <c r="EF172" i="6"/>
  <c r="FE172" i="6" s="1"/>
  <c r="EG172" i="6"/>
  <c r="EN173" i="6"/>
  <c r="DP173" i="6"/>
  <c r="EO173" i="6" s="1"/>
  <c r="DQ173" i="6"/>
  <c r="DS173" i="6"/>
  <c r="ER173" i="6" s="1"/>
  <c r="DT173" i="6"/>
  <c r="DU173" i="6"/>
  <c r="ET173" i="6" s="1"/>
  <c r="DV173" i="6"/>
  <c r="EU173" i="6" s="1"/>
  <c r="DW173" i="6"/>
  <c r="EV173" i="6" s="1"/>
  <c r="DX173" i="6"/>
  <c r="EW173" i="6" s="1"/>
  <c r="DY173" i="6"/>
  <c r="EX173" i="6" s="1"/>
  <c r="DZ173" i="6"/>
  <c r="EY173" i="6" s="1"/>
  <c r="EA173" i="6"/>
  <c r="EC173" i="6"/>
  <c r="FB173" i="6" s="1"/>
  <c r="EE173" i="6"/>
  <c r="FD173" i="6" s="1"/>
  <c r="EF173" i="6"/>
  <c r="EG173" i="6"/>
  <c r="FF173" i="6" s="1"/>
  <c r="EP173" i="6"/>
  <c r="EZ173" i="6"/>
  <c r="DO174" i="6"/>
  <c r="EN174" i="6" s="1"/>
  <c r="DP174" i="6"/>
  <c r="EO174" i="6" s="1"/>
  <c r="DQ174" i="6"/>
  <c r="EP174" i="6" s="1"/>
  <c r="DS174" i="6"/>
  <c r="ER174" i="6" s="1"/>
  <c r="DT174" i="6"/>
  <c r="ES174" i="6" s="1"/>
  <c r="DU174" i="6"/>
  <c r="DV174" i="6"/>
  <c r="EU174" i="6" s="1"/>
  <c r="DW174" i="6"/>
  <c r="EV174" i="6" s="1"/>
  <c r="DX174" i="6"/>
  <c r="DY174" i="6"/>
  <c r="EX174" i="6" s="1"/>
  <c r="DZ174" i="6"/>
  <c r="EY174" i="6" s="1"/>
  <c r="EA174" i="6"/>
  <c r="EZ174" i="6" s="1"/>
  <c r="EC174" i="6"/>
  <c r="FB174" i="6" s="1"/>
  <c r="EE174" i="6"/>
  <c r="FD174" i="6" s="1"/>
  <c r="EF174" i="6"/>
  <c r="FE174" i="6" s="1"/>
  <c r="EG174" i="6"/>
  <c r="DO175" i="6"/>
  <c r="DP175" i="6"/>
  <c r="EO175" i="6" s="1"/>
  <c r="DQ175" i="6"/>
  <c r="DS175" i="6"/>
  <c r="DT175" i="6"/>
  <c r="DU175" i="6"/>
  <c r="ET175" i="6" s="1"/>
  <c r="DV175" i="6"/>
  <c r="EU175" i="6" s="1"/>
  <c r="DW175" i="6"/>
  <c r="EV175" i="6" s="1"/>
  <c r="DX175" i="6"/>
  <c r="EW175" i="6" s="1"/>
  <c r="DY175" i="6"/>
  <c r="EX175" i="6" s="1"/>
  <c r="DZ175" i="6"/>
  <c r="EY175" i="6" s="1"/>
  <c r="EA175" i="6"/>
  <c r="EZ175" i="6" s="1"/>
  <c r="EC175" i="6"/>
  <c r="FB175" i="6" s="1"/>
  <c r="EE175" i="6"/>
  <c r="FD175" i="6" s="1"/>
  <c r="EF175" i="6"/>
  <c r="EG175" i="6"/>
  <c r="FF175" i="6" s="1"/>
  <c r="EN175" i="6"/>
  <c r="EP175" i="6"/>
  <c r="ER175" i="6"/>
  <c r="DO176" i="6"/>
  <c r="EN176" i="6" s="1"/>
  <c r="DP176" i="6"/>
  <c r="EO176" i="6" s="1"/>
  <c r="DQ176" i="6"/>
  <c r="EP176" i="6" s="1"/>
  <c r="DS176" i="6"/>
  <c r="DT176" i="6"/>
  <c r="DU176" i="6"/>
  <c r="ET176" i="6" s="1"/>
  <c r="DV176" i="6"/>
  <c r="DW176" i="6"/>
  <c r="EV176" i="6" s="1"/>
  <c r="DX176" i="6"/>
  <c r="EW176" i="6" s="1"/>
  <c r="DY176" i="6"/>
  <c r="EX176" i="6" s="1"/>
  <c r="DZ176" i="6"/>
  <c r="EY176" i="6" s="1"/>
  <c r="EA176" i="6"/>
  <c r="EZ176" i="6" s="1"/>
  <c r="EC176" i="6"/>
  <c r="FB176" i="6" s="1"/>
  <c r="EE176" i="6"/>
  <c r="FD176" i="6" s="1"/>
  <c r="EF176" i="6"/>
  <c r="FE176" i="6" s="1"/>
  <c r="EG176" i="6"/>
  <c r="FF176" i="6" s="1"/>
  <c r="ES176" i="6"/>
  <c r="EU176" i="6"/>
  <c r="DO177" i="6"/>
  <c r="EN177" i="6" s="1"/>
  <c r="DP177" i="6"/>
  <c r="EO177" i="6" s="1"/>
  <c r="DQ177" i="6"/>
  <c r="EP177" i="6" s="1"/>
  <c r="DS177" i="6"/>
  <c r="ER177" i="6" s="1"/>
  <c r="DT177" i="6"/>
  <c r="DU177" i="6"/>
  <c r="ET177" i="6" s="1"/>
  <c r="DV177" i="6"/>
  <c r="EU177" i="6" s="1"/>
  <c r="DW177" i="6"/>
  <c r="EV177" i="6" s="1"/>
  <c r="DX177" i="6"/>
  <c r="EW177" i="6" s="1"/>
  <c r="DY177" i="6"/>
  <c r="EX177" i="6" s="1"/>
  <c r="DZ177" i="6"/>
  <c r="EY177" i="6" s="1"/>
  <c r="EA177" i="6"/>
  <c r="EZ177" i="6" s="1"/>
  <c r="EC177" i="6"/>
  <c r="FB177" i="6" s="1"/>
  <c r="EE177" i="6"/>
  <c r="FD177" i="6" s="1"/>
  <c r="EF177" i="6"/>
  <c r="EG177" i="6"/>
  <c r="FF177" i="6" s="1"/>
  <c r="DO178" i="6"/>
  <c r="EN178" i="6" s="1"/>
  <c r="DP178" i="6"/>
  <c r="EO178" i="6" s="1"/>
  <c r="DQ178" i="6"/>
  <c r="EP178" i="6" s="1"/>
  <c r="DS178" i="6"/>
  <c r="ER178" i="6" s="1"/>
  <c r="DT178" i="6"/>
  <c r="ES178" i="6" s="1"/>
  <c r="DU178" i="6"/>
  <c r="DV178" i="6"/>
  <c r="DW178" i="6"/>
  <c r="EV178" i="6" s="1"/>
  <c r="DX178" i="6"/>
  <c r="DY178" i="6"/>
  <c r="EX178" i="6" s="1"/>
  <c r="DZ178" i="6"/>
  <c r="EY178" i="6" s="1"/>
  <c r="EA178" i="6"/>
  <c r="EZ178" i="6" s="1"/>
  <c r="EC178" i="6"/>
  <c r="FB178" i="6" s="1"/>
  <c r="EE178" i="6"/>
  <c r="FD178" i="6" s="1"/>
  <c r="EF178" i="6"/>
  <c r="FE178" i="6" s="1"/>
  <c r="EG178" i="6"/>
  <c r="FF178" i="6" s="1"/>
  <c r="ET178" i="6"/>
  <c r="EU178" i="6"/>
  <c r="DO179" i="6"/>
  <c r="EN179" i="6" s="1"/>
  <c r="DP179" i="6"/>
  <c r="DQ179" i="6"/>
  <c r="EP179" i="6" s="1"/>
  <c r="DS179" i="6"/>
  <c r="ER179" i="6" s="1"/>
  <c r="DT179" i="6"/>
  <c r="DU179" i="6"/>
  <c r="ET179" i="6" s="1"/>
  <c r="DV179" i="6"/>
  <c r="EU179" i="6" s="1"/>
  <c r="DW179" i="6"/>
  <c r="EV179" i="6" s="1"/>
  <c r="DX179" i="6"/>
  <c r="EW179" i="6" s="1"/>
  <c r="DY179" i="6"/>
  <c r="EX179" i="6" s="1"/>
  <c r="DZ179" i="6"/>
  <c r="EY179" i="6" s="1"/>
  <c r="EA179" i="6"/>
  <c r="EZ179" i="6" s="1"/>
  <c r="EC179" i="6"/>
  <c r="FB179" i="6" s="1"/>
  <c r="EE179" i="6"/>
  <c r="FD179" i="6" s="1"/>
  <c r="EF179" i="6"/>
  <c r="EG179" i="6"/>
  <c r="FF179" i="6" s="1"/>
  <c r="DO180" i="6"/>
  <c r="EN180" i="6" s="1"/>
  <c r="DP180" i="6"/>
  <c r="EO180" i="6" s="1"/>
  <c r="DQ180" i="6"/>
  <c r="EP180" i="6" s="1"/>
  <c r="DS180" i="6"/>
  <c r="ER180" i="6" s="1"/>
  <c r="DT180" i="6"/>
  <c r="ES180" i="6" s="1"/>
  <c r="DU180" i="6"/>
  <c r="ET180" i="6" s="1"/>
  <c r="DV180" i="6"/>
  <c r="EU180" i="6" s="1"/>
  <c r="DW180" i="6"/>
  <c r="EV180" i="6" s="1"/>
  <c r="DX180" i="6"/>
  <c r="EW180" i="6" s="1"/>
  <c r="DY180" i="6"/>
  <c r="EX180" i="6" s="1"/>
  <c r="DZ180" i="6"/>
  <c r="EY180" i="6" s="1"/>
  <c r="EA180" i="6"/>
  <c r="EC180" i="6"/>
  <c r="FB180" i="6" s="1"/>
  <c r="EE180" i="6"/>
  <c r="FD180" i="6" s="1"/>
  <c r="EF180" i="6"/>
  <c r="FE180" i="6" s="1"/>
  <c r="EG180" i="6"/>
  <c r="FF180" i="6"/>
  <c r="DO181" i="6"/>
  <c r="EN181" i="6" s="1"/>
  <c r="DP181" i="6"/>
  <c r="EO181" i="6" s="1"/>
  <c r="DQ181" i="6"/>
  <c r="EP181" i="6" s="1"/>
  <c r="DS181" i="6"/>
  <c r="ER181" i="6" s="1"/>
  <c r="DT181" i="6"/>
  <c r="DU181" i="6"/>
  <c r="ET181" i="6" s="1"/>
  <c r="DV181" i="6"/>
  <c r="EU181" i="6" s="1"/>
  <c r="DW181" i="6"/>
  <c r="EV181" i="6" s="1"/>
  <c r="DX181" i="6"/>
  <c r="EW181" i="6" s="1"/>
  <c r="DY181" i="6"/>
  <c r="DZ181" i="6"/>
  <c r="EY181" i="6" s="1"/>
  <c r="EA181" i="6"/>
  <c r="EZ181" i="6" s="1"/>
  <c r="EC181" i="6"/>
  <c r="FB181" i="6" s="1"/>
  <c r="EE181" i="6"/>
  <c r="FD181" i="6" s="1"/>
  <c r="EF181" i="6"/>
  <c r="EG181" i="6"/>
  <c r="FF181" i="6" s="1"/>
  <c r="EX181" i="6"/>
  <c r="DO182" i="6"/>
  <c r="EN182" i="6" s="1"/>
  <c r="DP182" i="6"/>
  <c r="DQ182" i="6"/>
  <c r="EP182" i="6" s="1"/>
  <c r="DS182" i="6"/>
  <c r="ER182" i="6" s="1"/>
  <c r="DT182" i="6"/>
  <c r="ES182" i="6" s="1"/>
  <c r="DU182" i="6"/>
  <c r="ET182" i="6" s="1"/>
  <c r="DV182" i="6"/>
  <c r="EU182" i="6" s="1"/>
  <c r="DW182" i="6"/>
  <c r="EV182" i="6" s="1"/>
  <c r="DX182" i="6"/>
  <c r="DY182" i="6"/>
  <c r="EX182" i="6" s="1"/>
  <c r="DZ182" i="6"/>
  <c r="EY182" i="6" s="1"/>
  <c r="EA182" i="6"/>
  <c r="EZ182" i="6" s="1"/>
  <c r="EC182" i="6"/>
  <c r="FB182" i="6" s="1"/>
  <c r="EE182" i="6"/>
  <c r="FD182" i="6" s="1"/>
  <c r="EF182" i="6"/>
  <c r="EG182" i="6"/>
  <c r="FF182" i="6" s="1"/>
  <c r="DO183" i="6"/>
  <c r="EN183" i="6" s="1"/>
  <c r="DP183" i="6"/>
  <c r="EO183" i="6" s="1"/>
  <c r="DQ183" i="6"/>
  <c r="EP183" i="6" s="1"/>
  <c r="DS183" i="6"/>
  <c r="ER183" i="6" s="1"/>
  <c r="DT183" i="6"/>
  <c r="DU183" i="6"/>
  <c r="ET183" i="6" s="1"/>
  <c r="DV183" i="6"/>
  <c r="EU183" i="6" s="1"/>
  <c r="DW183" i="6"/>
  <c r="EV183" i="6" s="1"/>
  <c r="DX183" i="6"/>
  <c r="DY183" i="6"/>
  <c r="EX183" i="6" s="1"/>
  <c r="DZ183" i="6"/>
  <c r="EY183" i="6" s="1"/>
  <c r="EA183" i="6"/>
  <c r="EZ183" i="6" s="1"/>
  <c r="EC183" i="6"/>
  <c r="FB183" i="6" s="1"/>
  <c r="EE183" i="6"/>
  <c r="FD183" i="6" s="1"/>
  <c r="EF183" i="6"/>
  <c r="EG183" i="6"/>
  <c r="FF183" i="6" s="1"/>
  <c r="DO184" i="6"/>
  <c r="EN184" i="6" s="1"/>
  <c r="DP184" i="6"/>
  <c r="EO184" i="6" s="1"/>
  <c r="DQ184" i="6"/>
  <c r="DS184" i="6"/>
  <c r="DT184" i="6"/>
  <c r="ES184" i="6" s="1"/>
  <c r="DU184" i="6"/>
  <c r="ET184" i="6" s="1"/>
  <c r="DV184" i="6"/>
  <c r="EU184" i="6" s="1"/>
  <c r="DW184" i="6"/>
  <c r="EV184" i="6" s="1"/>
  <c r="DX184" i="6"/>
  <c r="EW184" i="6" s="1"/>
  <c r="DY184" i="6"/>
  <c r="EX184" i="6" s="1"/>
  <c r="DZ184" i="6"/>
  <c r="EY184" i="6" s="1"/>
  <c r="EA184" i="6"/>
  <c r="EZ184" i="6" s="1"/>
  <c r="EC184" i="6"/>
  <c r="FB184" i="6" s="1"/>
  <c r="EE184" i="6"/>
  <c r="FD184" i="6" s="1"/>
  <c r="EF184" i="6"/>
  <c r="EG184" i="6"/>
  <c r="FF184" i="6" s="1"/>
  <c r="DO185" i="6"/>
  <c r="EN185" i="6" s="1"/>
  <c r="DP185" i="6"/>
  <c r="EO185" i="6" s="1"/>
  <c r="DQ185" i="6"/>
  <c r="EP185" i="6" s="1"/>
  <c r="DS185" i="6"/>
  <c r="ER185" i="6" s="1"/>
  <c r="DT185" i="6"/>
  <c r="DU185" i="6"/>
  <c r="ET185" i="6" s="1"/>
  <c r="DV185" i="6"/>
  <c r="EU185" i="6" s="1"/>
  <c r="DW185" i="6"/>
  <c r="EV185" i="6" s="1"/>
  <c r="DX185" i="6"/>
  <c r="EW185" i="6" s="1"/>
  <c r="DY185" i="6"/>
  <c r="EX185" i="6" s="1"/>
  <c r="DZ185" i="6"/>
  <c r="EY185" i="6" s="1"/>
  <c r="EA185" i="6"/>
  <c r="EZ185" i="6" s="1"/>
  <c r="EC185" i="6"/>
  <c r="FB185" i="6" s="1"/>
  <c r="EE185" i="6"/>
  <c r="FD185" i="6" s="1"/>
  <c r="EF185" i="6"/>
  <c r="EG185" i="6"/>
  <c r="FF185" i="6" s="1"/>
  <c r="DO186" i="6"/>
  <c r="EN186" i="6" s="1"/>
  <c r="DP186" i="6"/>
  <c r="EO186" i="6" s="1"/>
  <c r="DQ186" i="6"/>
  <c r="DS186" i="6"/>
  <c r="DT186" i="6"/>
  <c r="ES186" i="6" s="1"/>
  <c r="DU186" i="6"/>
  <c r="ET186" i="6" s="1"/>
  <c r="DV186" i="6"/>
  <c r="EU186" i="6" s="1"/>
  <c r="DW186" i="6"/>
  <c r="EV186" i="6" s="1"/>
  <c r="DX186" i="6"/>
  <c r="EW186" i="6" s="1"/>
  <c r="DY186" i="6"/>
  <c r="EX186" i="6" s="1"/>
  <c r="DZ186" i="6"/>
  <c r="EY186" i="6" s="1"/>
  <c r="EA186" i="6"/>
  <c r="EZ186" i="6" s="1"/>
  <c r="EC186" i="6"/>
  <c r="FB186" i="6" s="1"/>
  <c r="EE186" i="6"/>
  <c r="FD186" i="6" s="1"/>
  <c r="EF186" i="6"/>
  <c r="FE186" i="6" s="1"/>
  <c r="EG186" i="6"/>
  <c r="FF186" i="6" s="1"/>
  <c r="DO187" i="6"/>
  <c r="EN187" i="6" s="1"/>
  <c r="DP187" i="6"/>
  <c r="EO187" i="6" s="1"/>
  <c r="DQ187" i="6"/>
  <c r="EP187" i="6" s="1"/>
  <c r="DS187" i="6"/>
  <c r="ER187" i="6" s="1"/>
  <c r="DT187" i="6"/>
  <c r="DU187" i="6"/>
  <c r="ET187" i="6" s="1"/>
  <c r="DV187" i="6"/>
  <c r="EU187" i="6" s="1"/>
  <c r="DW187" i="6"/>
  <c r="EV187" i="6" s="1"/>
  <c r="DX187" i="6"/>
  <c r="EW187" i="6" s="1"/>
  <c r="DY187" i="6"/>
  <c r="EX187" i="6" s="1"/>
  <c r="DZ187" i="6"/>
  <c r="EY187" i="6" s="1"/>
  <c r="EA187" i="6"/>
  <c r="EZ187" i="6" s="1"/>
  <c r="EC187" i="6"/>
  <c r="FB187" i="6" s="1"/>
  <c r="EE187" i="6"/>
  <c r="FD187" i="6" s="1"/>
  <c r="EF187" i="6"/>
  <c r="EG187" i="6"/>
  <c r="FF187" i="6" s="1"/>
  <c r="DO188" i="6"/>
  <c r="EN188" i="6" s="1"/>
  <c r="DP188" i="6"/>
  <c r="EO188" i="6" s="1"/>
  <c r="DQ188" i="6"/>
  <c r="DS188" i="6"/>
  <c r="DT188" i="6"/>
  <c r="ES188" i="6" s="1"/>
  <c r="DU188" i="6"/>
  <c r="ET188" i="6" s="1"/>
  <c r="DV188" i="6"/>
  <c r="EU188" i="6" s="1"/>
  <c r="DW188" i="6"/>
  <c r="EV188" i="6" s="1"/>
  <c r="DX188" i="6"/>
  <c r="EW188" i="6" s="1"/>
  <c r="DY188" i="6"/>
  <c r="EX188" i="6" s="1"/>
  <c r="DZ188" i="6"/>
  <c r="EY188" i="6" s="1"/>
  <c r="EA188" i="6"/>
  <c r="EZ188" i="6" s="1"/>
  <c r="EC188" i="6"/>
  <c r="FB188" i="6" s="1"/>
  <c r="EE188" i="6"/>
  <c r="FD188" i="6" s="1"/>
  <c r="EF188" i="6"/>
  <c r="EG188" i="6"/>
  <c r="FF188" i="6" s="1"/>
  <c r="DO189" i="6"/>
  <c r="EN189" i="6" s="1"/>
  <c r="DP189" i="6"/>
  <c r="EO189" i="6" s="1"/>
  <c r="DQ189" i="6"/>
  <c r="EP189" i="6" s="1"/>
  <c r="DS189" i="6"/>
  <c r="ER189" i="6" s="1"/>
  <c r="DT189" i="6"/>
  <c r="DU189" i="6"/>
  <c r="ET189" i="6" s="1"/>
  <c r="DV189" i="6"/>
  <c r="EU189" i="6" s="1"/>
  <c r="DW189" i="6"/>
  <c r="EV189" i="6" s="1"/>
  <c r="DX189" i="6"/>
  <c r="EW189" i="6" s="1"/>
  <c r="DY189" i="6"/>
  <c r="EX189" i="6" s="1"/>
  <c r="DZ189" i="6"/>
  <c r="EY189" i="6" s="1"/>
  <c r="EA189" i="6"/>
  <c r="EZ189" i="6" s="1"/>
  <c r="EC189" i="6"/>
  <c r="FB189" i="6" s="1"/>
  <c r="EE189" i="6"/>
  <c r="FD189" i="6" s="1"/>
  <c r="EF189" i="6"/>
  <c r="EG189" i="6"/>
  <c r="FF189" i="6" s="1"/>
  <c r="DO190" i="6"/>
  <c r="EN190" i="6" s="1"/>
  <c r="DP190" i="6"/>
  <c r="EO190" i="6" s="1"/>
  <c r="DQ190" i="6"/>
  <c r="DS190" i="6"/>
  <c r="DT190" i="6"/>
  <c r="ES190" i="6" s="1"/>
  <c r="DU190" i="6"/>
  <c r="ET190" i="6" s="1"/>
  <c r="DV190" i="6"/>
  <c r="EU190" i="6" s="1"/>
  <c r="DW190" i="6"/>
  <c r="EV190" i="6" s="1"/>
  <c r="DX190" i="6"/>
  <c r="EW190" i="6" s="1"/>
  <c r="DY190" i="6"/>
  <c r="EX190" i="6" s="1"/>
  <c r="DZ190" i="6"/>
  <c r="EY190" i="6" s="1"/>
  <c r="EA190" i="6"/>
  <c r="EZ190" i="6" s="1"/>
  <c r="EC190" i="6"/>
  <c r="FB190" i="6" s="1"/>
  <c r="EE190" i="6"/>
  <c r="FD190" i="6" s="1"/>
  <c r="EF190" i="6"/>
  <c r="FE190" i="6" s="1"/>
  <c r="EG190" i="6"/>
  <c r="DO191" i="6"/>
  <c r="EN191" i="6" s="1"/>
  <c r="DP191" i="6"/>
  <c r="EO191" i="6" s="1"/>
  <c r="DQ191" i="6"/>
  <c r="EP191" i="6" s="1"/>
  <c r="DS191" i="6"/>
  <c r="ER191" i="6" s="1"/>
  <c r="DT191" i="6"/>
  <c r="ES191" i="6" s="1"/>
  <c r="DU191" i="6"/>
  <c r="ET191" i="6" s="1"/>
  <c r="DV191" i="6"/>
  <c r="EU191" i="6" s="1"/>
  <c r="DW191" i="6"/>
  <c r="EV191" i="6" s="1"/>
  <c r="DX191" i="6"/>
  <c r="EW191" i="6" s="1"/>
  <c r="DY191" i="6"/>
  <c r="EX191" i="6" s="1"/>
  <c r="DZ191" i="6"/>
  <c r="EY191" i="6" s="1"/>
  <c r="EA191" i="6"/>
  <c r="EZ191" i="6" s="1"/>
  <c r="EC191" i="6"/>
  <c r="FB191" i="6" s="1"/>
  <c r="EE191" i="6"/>
  <c r="FD191" i="6" s="1"/>
  <c r="EF191" i="6"/>
  <c r="EG191" i="6"/>
  <c r="FF191" i="6" s="1"/>
  <c r="DO192" i="6"/>
  <c r="EN192" i="6" s="1"/>
  <c r="DP192" i="6"/>
  <c r="EO192" i="6" s="1"/>
  <c r="DQ192" i="6"/>
  <c r="DS192" i="6"/>
  <c r="DT192" i="6"/>
  <c r="ES192" i="6" s="1"/>
  <c r="DU192" i="6"/>
  <c r="ET192" i="6" s="1"/>
  <c r="DV192" i="6"/>
  <c r="EU192" i="6" s="1"/>
  <c r="DW192" i="6"/>
  <c r="EV192" i="6" s="1"/>
  <c r="DX192" i="6"/>
  <c r="EW192" i="6" s="1"/>
  <c r="DY192" i="6"/>
  <c r="EX192" i="6" s="1"/>
  <c r="DZ192" i="6"/>
  <c r="EY192" i="6" s="1"/>
  <c r="EA192" i="6"/>
  <c r="EZ192" i="6" s="1"/>
  <c r="EC192" i="6"/>
  <c r="FB192" i="6" s="1"/>
  <c r="EE192" i="6"/>
  <c r="FD192" i="6" s="1"/>
  <c r="EF192" i="6"/>
  <c r="EG192" i="6"/>
  <c r="FF192" i="6" s="1"/>
  <c r="DO193" i="6"/>
  <c r="EN193" i="6" s="1"/>
  <c r="DP193" i="6"/>
  <c r="EO193" i="6" s="1"/>
  <c r="DQ193" i="6"/>
  <c r="EP193" i="6" s="1"/>
  <c r="DS193" i="6"/>
  <c r="ER193" i="6" s="1"/>
  <c r="DT193" i="6"/>
  <c r="ES193" i="6" s="1"/>
  <c r="DU193" i="6"/>
  <c r="ET193" i="6" s="1"/>
  <c r="DV193" i="6"/>
  <c r="DW193" i="6"/>
  <c r="EV193" i="6" s="1"/>
  <c r="DX193" i="6"/>
  <c r="EW193" i="6" s="1"/>
  <c r="DY193" i="6"/>
  <c r="DZ193" i="6"/>
  <c r="EY193" i="6" s="1"/>
  <c r="EA193" i="6"/>
  <c r="EZ193" i="6" s="1"/>
  <c r="EC193" i="6"/>
  <c r="FB193" i="6" s="1"/>
  <c r="EE193" i="6"/>
  <c r="FD193" i="6" s="1"/>
  <c r="EF193" i="6"/>
  <c r="EG193" i="6"/>
  <c r="FF193" i="6" s="1"/>
  <c r="EX193" i="6"/>
  <c r="DO194" i="6"/>
  <c r="EN194" i="6" s="1"/>
  <c r="DP194" i="6"/>
  <c r="EO194" i="6" s="1"/>
  <c r="DQ194" i="6"/>
  <c r="DS194" i="6"/>
  <c r="DT194" i="6"/>
  <c r="ES194" i="6" s="1"/>
  <c r="DU194" i="6"/>
  <c r="ET194" i="6" s="1"/>
  <c r="DV194" i="6"/>
  <c r="EU194" i="6" s="1"/>
  <c r="DW194" i="6"/>
  <c r="EV194" i="6" s="1"/>
  <c r="DX194" i="6"/>
  <c r="EW194" i="6" s="1"/>
  <c r="DY194" i="6"/>
  <c r="EX194" i="6" s="1"/>
  <c r="DZ194" i="6"/>
  <c r="EY194" i="6" s="1"/>
  <c r="EA194" i="6"/>
  <c r="EZ194" i="6" s="1"/>
  <c r="EC194" i="6"/>
  <c r="FB194" i="6" s="1"/>
  <c r="EE194" i="6"/>
  <c r="FD194" i="6" s="1"/>
  <c r="EF194" i="6"/>
  <c r="EG194" i="6"/>
  <c r="FF194" i="6" s="1"/>
  <c r="DO195" i="6"/>
  <c r="EN195" i="6" s="1"/>
  <c r="DP195" i="6"/>
  <c r="DQ195" i="6"/>
  <c r="EP195" i="6" s="1"/>
  <c r="DS195" i="6"/>
  <c r="ER195" i="6" s="1"/>
  <c r="DT195" i="6"/>
  <c r="ES195" i="6" s="1"/>
  <c r="DU195" i="6"/>
  <c r="ET195" i="6" s="1"/>
  <c r="DV195" i="6"/>
  <c r="EU195" i="6" s="1"/>
  <c r="DW195" i="6"/>
  <c r="EV195" i="6" s="1"/>
  <c r="DX195" i="6"/>
  <c r="EW195" i="6" s="1"/>
  <c r="DY195" i="6"/>
  <c r="EX195" i="6" s="1"/>
  <c r="DZ195" i="6"/>
  <c r="EY195" i="6" s="1"/>
  <c r="EA195" i="6"/>
  <c r="EZ195" i="6" s="1"/>
  <c r="EC195" i="6"/>
  <c r="FB195" i="6" s="1"/>
  <c r="EE195" i="6"/>
  <c r="FD195" i="6" s="1"/>
  <c r="EF195" i="6"/>
  <c r="EG195" i="6"/>
  <c r="FF195" i="6" s="1"/>
  <c r="EO195" i="6"/>
  <c r="DO196" i="6"/>
  <c r="DP196" i="6"/>
  <c r="DQ196" i="6"/>
  <c r="EP196" i="6" s="1"/>
  <c r="DS196" i="6"/>
  <c r="ER196" i="6" s="1"/>
  <c r="DT196" i="6"/>
  <c r="ES196" i="6" s="1"/>
  <c r="DU196" i="6"/>
  <c r="ET196" i="6" s="1"/>
  <c r="DV196" i="6"/>
  <c r="DW196" i="6"/>
  <c r="EV196" i="6" s="1"/>
  <c r="DX196" i="6"/>
  <c r="EW196" i="6" s="1"/>
  <c r="DY196" i="6"/>
  <c r="EX196" i="6" s="1"/>
  <c r="DZ196" i="6"/>
  <c r="EY196" i="6" s="1"/>
  <c r="EA196" i="6"/>
  <c r="EZ196" i="6" s="1"/>
  <c r="EC196" i="6"/>
  <c r="FB196" i="6" s="1"/>
  <c r="EE196" i="6"/>
  <c r="FD196" i="6" s="1"/>
  <c r="EF196" i="6"/>
  <c r="EG196" i="6"/>
  <c r="FF196" i="6" s="1"/>
  <c r="EN196" i="6"/>
  <c r="EO196" i="6"/>
  <c r="EU196" i="6"/>
  <c r="FE196" i="6"/>
  <c r="DO197" i="6"/>
  <c r="EN197" i="6" s="1"/>
  <c r="DP197" i="6"/>
  <c r="EO197" i="6" s="1"/>
  <c r="DQ197" i="6"/>
  <c r="EP197" i="6" s="1"/>
  <c r="DS197" i="6"/>
  <c r="ER197" i="6" s="1"/>
  <c r="DT197" i="6"/>
  <c r="DU197" i="6"/>
  <c r="ET197" i="6" s="1"/>
  <c r="DV197" i="6"/>
  <c r="EU197" i="6" s="1"/>
  <c r="DW197" i="6"/>
  <c r="EV197" i="6" s="1"/>
  <c r="DX197" i="6"/>
  <c r="EW197" i="6" s="1"/>
  <c r="DY197" i="6"/>
  <c r="EX197" i="6" s="1"/>
  <c r="DZ197" i="6"/>
  <c r="EY197" i="6" s="1"/>
  <c r="EA197" i="6"/>
  <c r="EZ197" i="6" s="1"/>
  <c r="EC197" i="6"/>
  <c r="EE197" i="6"/>
  <c r="EF197" i="6"/>
  <c r="EG197" i="6"/>
  <c r="FF197" i="6" s="1"/>
  <c r="ES197" i="6"/>
  <c r="FB197" i="6"/>
  <c r="DO198" i="6"/>
  <c r="EN198" i="6" s="1"/>
  <c r="DP198" i="6"/>
  <c r="EO198" i="6" s="1"/>
  <c r="DQ198" i="6"/>
  <c r="EP198" i="6" s="1"/>
  <c r="DS198" i="6"/>
  <c r="ER198" i="6" s="1"/>
  <c r="DT198" i="6"/>
  <c r="ES198" i="6" s="1"/>
  <c r="DU198" i="6"/>
  <c r="ET198" i="6" s="1"/>
  <c r="DV198" i="6"/>
  <c r="DW198" i="6"/>
  <c r="EV198" i="6" s="1"/>
  <c r="DX198" i="6"/>
  <c r="EW198" i="6" s="1"/>
  <c r="DY198" i="6"/>
  <c r="EX198" i="6" s="1"/>
  <c r="DZ198" i="6"/>
  <c r="EY198" i="6" s="1"/>
  <c r="EA198" i="6"/>
  <c r="EZ198" i="6" s="1"/>
  <c r="EC198" i="6"/>
  <c r="FB198" i="6" s="1"/>
  <c r="EE198" i="6"/>
  <c r="FD198" i="6" s="1"/>
  <c r="EF198" i="6"/>
  <c r="EG198" i="6"/>
  <c r="EK198" i="6" s="1"/>
  <c r="FJ198" i="6" s="1"/>
  <c r="EU198" i="6"/>
  <c r="FE198" i="6"/>
  <c r="DO199" i="6"/>
  <c r="EN199" i="6" s="1"/>
  <c r="DP199" i="6"/>
  <c r="EO199" i="6" s="1"/>
  <c r="DQ199" i="6"/>
  <c r="EP199" i="6" s="1"/>
  <c r="DS199" i="6"/>
  <c r="DT199" i="6"/>
  <c r="ES199" i="6" s="1"/>
  <c r="DU199" i="6"/>
  <c r="ET199" i="6" s="1"/>
  <c r="DV199" i="6"/>
  <c r="EU199" i="6" s="1"/>
  <c r="DW199" i="6"/>
  <c r="EV199" i="6" s="1"/>
  <c r="DX199" i="6"/>
  <c r="EW199" i="6" s="1"/>
  <c r="DY199" i="6"/>
  <c r="DZ199" i="6"/>
  <c r="EY199" i="6" s="1"/>
  <c r="EA199" i="6"/>
  <c r="EC199" i="6"/>
  <c r="FB199" i="6" s="1"/>
  <c r="EE199" i="6"/>
  <c r="FD199" i="6" s="1"/>
  <c r="EF199" i="6"/>
  <c r="EG199" i="6"/>
  <c r="FF199" i="6" s="1"/>
  <c r="ER199" i="6"/>
  <c r="EZ199" i="6"/>
  <c r="DO200" i="6"/>
  <c r="EN200" i="6" s="1"/>
  <c r="DP200" i="6"/>
  <c r="EO200" i="6" s="1"/>
  <c r="DQ200" i="6"/>
  <c r="EP200" i="6" s="1"/>
  <c r="DS200" i="6"/>
  <c r="ER200" i="6" s="1"/>
  <c r="DT200" i="6"/>
  <c r="ES200" i="6" s="1"/>
  <c r="DU200" i="6"/>
  <c r="DV200" i="6"/>
  <c r="EU200" i="6" s="1"/>
  <c r="DW200" i="6"/>
  <c r="EV200" i="6" s="1"/>
  <c r="DX200" i="6"/>
  <c r="EW200" i="6" s="1"/>
  <c r="DY200" i="6"/>
  <c r="DZ200" i="6"/>
  <c r="EY200" i="6" s="1"/>
  <c r="EA200" i="6"/>
  <c r="EC200" i="6"/>
  <c r="FB200" i="6" s="1"/>
  <c r="EE200" i="6"/>
  <c r="FD200" i="6" s="1"/>
  <c r="EF200" i="6"/>
  <c r="EG200" i="6"/>
  <c r="FF200" i="6" s="1"/>
  <c r="ET200" i="6"/>
  <c r="EZ200" i="6"/>
  <c r="FE200" i="6"/>
  <c r="DO201" i="6"/>
  <c r="EN201" i="6" s="1"/>
  <c r="DP201" i="6"/>
  <c r="EO201" i="6" s="1"/>
  <c r="DQ201" i="6"/>
  <c r="EP201" i="6" s="1"/>
  <c r="DS201" i="6"/>
  <c r="ER201" i="6" s="1"/>
  <c r="DT201" i="6"/>
  <c r="ES201" i="6" s="1"/>
  <c r="DU201" i="6"/>
  <c r="DV201" i="6"/>
  <c r="EU201" i="6" s="1"/>
  <c r="DW201" i="6"/>
  <c r="DX201" i="6"/>
  <c r="DY201" i="6"/>
  <c r="EX201" i="6" s="1"/>
  <c r="DZ201" i="6"/>
  <c r="EY201" i="6" s="1"/>
  <c r="EA201" i="6"/>
  <c r="EZ201" i="6" s="1"/>
  <c r="EC201" i="6"/>
  <c r="FB201" i="6" s="1"/>
  <c r="EE201" i="6"/>
  <c r="FD201" i="6" s="1"/>
  <c r="EF201" i="6"/>
  <c r="EG201" i="6"/>
  <c r="ET201" i="6"/>
  <c r="EV201" i="6"/>
  <c r="FF201" i="6"/>
  <c r="DO202" i="6"/>
  <c r="EN202" i="6" s="1"/>
  <c r="DP202" i="6"/>
  <c r="DQ202" i="6"/>
  <c r="EP202" i="6" s="1"/>
  <c r="DS202" i="6"/>
  <c r="ER202" i="6" s="1"/>
  <c r="DT202" i="6"/>
  <c r="DU202" i="6"/>
  <c r="ET202" i="6" s="1"/>
  <c r="DV202" i="6"/>
  <c r="DW202" i="6"/>
  <c r="DX202" i="6"/>
  <c r="DY202" i="6"/>
  <c r="EX202" i="6" s="1"/>
  <c r="DZ202" i="6"/>
  <c r="EY202" i="6" s="1"/>
  <c r="EA202" i="6"/>
  <c r="EZ202" i="6" s="1"/>
  <c r="EC202" i="6"/>
  <c r="EE202" i="6"/>
  <c r="FD202" i="6" s="1"/>
  <c r="EF202" i="6"/>
  <c r="FE202" i="6" s="1"/>
  <c r="EG202" i="6"/>
  <c r="EO202" i="6"/>
  <c r="ES202" i="6"/>
  <c r="EV202" i="6"/>
  <c r="FB202" i="6"/>
  <c r="FF202" i="6"/>
  <c r="DO203" i="6"/>
  <c r="EN203" i="6" s="1"/>
  <c r="DP203" i="6"/>
  <c r="EH203" i="6" s="1"/>
  <c r="FG203" i="6" s="1"/>
  <c r="DQ203" i="6"/>
  <c r="DS203" i="6"/>
  <c r="ER203" i="6" s="1"/>
  <c r="DT203" i="6"/>
  <c r="ES203" i="6" s="1"/>
  <c r="DU203" i="6"/>
  <c r="ET203" i="6" s="1"/>
  <c r="DV203" i="6"/>
  <c r="EU203" i="6" s="1"/>
  <c r="DW203" i="6"/>
  <c r="EV203" i="6" s="1"/>
  <c r="DX203" i="6"/>
  <c r="DY203" i="6"/>
  <c r="EX203" i="6" s="1"/>
  <c r="DZ203" i="6"/>
  <c r="EA203" i="6"/>
  <c r="EZ203" i="6" s="1"/>
  <c r="EC203" i="6"/>
  <c r="FB203" i="6" s="1"/>
  <c r="EE203" i="6"/>
  <c r="FD203" i="6" s="1"/>
  <c r="EF203" i="6"/>
  <c r="EG203" i="6"/>
  <c r="FF203" i="6" s="1"/>
  <c r="EP203" i="6"/>
  <c r="EY203" i="6"/>
  <c r="DO204" i="6"/>
  <c r="EN204" i="6" s="1"/>
  <c r="DP204" i="6"/>
  <c r="EO204" i="6" s="1"/>
  <c r="DQ204" i="6"/>
  <c r="DS204" i="6"/>
  <c r="ER204" i="6" s="1"/>
  <c r="DT204" i="6"/>
  <c r="ES204" i="6" s="1"/>
  <c r="DU204" i="6"/>
  <c r="ET204" i="6" s="1"/>
  <c r="DV204" i="6"/>
  <c r="EU204" i="6" s="1"/>
  <c r="DW204" i="6"/>
  <c r="EV204" i="6" s="1"/>
  <c r="DX204" i="6"/>
  <c r="EW204" i="6" s="1"/>
  <c r="DY204" i="6"/>
  <c r="EX204" i="6" s="1"/>
  <c r="DZ204" i="6"/>
  <c r="EY204" i="6" s="1"/>
  <c r="EA204" i="6"/>
  <c r="EC204" i="6"/>
  <c r="FB204" i="6" s="1"/>
  <c r="EE204" i="6"/>
  <c r="FD204" i="6" s="1"/>
  <c r="EF204" i="6"/>
  <c r="FE204" i="6" s="1"/>
  <c r="EG204" i="6"/>
  <c r="FF204" i="6" s="1"/>
  <c r="EZ204" i="6"/>
  <c r="DO205" i="6"/>
  <c r="EN205" i="6" s="1"/>
  <c r="DP205" i="6"/>
  <c r="EO205" i="6" s="1"/>
  <c r="DQ205" i="6"/>
  <c r="EP205" i="6" s="1"/>
  <c r="DS205" i="6"/>
  <c r="ER205" i="6" s="1"/>
  <c r="DT205" i="6"/>
  <c r="ES205" i="6" s="1"/>
  <c r="DU205" i="6"/>
  <c r="ET205" i="6" s="1"/>
  <c r="DV205" i="6"/>
  <c r="EU205" i="6" s="1"/>
  <c r="DW205" i="6"/>
  <c r="EV205" i="6" s="1"/>
  <c r="DX205" i="6"/>
  <c r="DY205" i="6"/>
  <c r="EX205" i="6" s="1"/>
  <c r="DZ205" i="6"/>
  <c r="EA205" i="6"/>
  <c r="EZ205" i="6" s="1"/>
  <c r="EC205" i="6"/>
  <c r="FB205" i="6" s="1"/>
  <c r="EE205" i="6"/>
  <c r="FD205" i="6" s="1"/>
  <c r="EF205" i="6"/>
  <c r="EG205" i="6"/>
  <c r="FF205" i="6" s="1"/>
  <c r="EY205" i="6"/>
  <c r="DO207" i="6"/>
  <c r="EN207" i="6" s="1"/>
  <c r="DP207" i="6"/>
  <c r="EO207" i="6" s="1"/>
  <c r="DQ207" i="6"/>
  <c r="EH207" i="6" s="1"/>
  <c r="DS207" i="6"/>
  <c r="DT207" i="6"/>
  <c r="ES207" i="6" s="1"/>
  <c r="DU207" i="6"/>
  <c r="ET207" i="6" s="1"/>
  <c r="DV207" i="6"/>
  <c r="EU207" i="6" s="1"/>
  <c r="DW207" i="6"/>
  <c r="EV207" i="6" s="1"/>
  <c r="DX207" i="6"/>
  <c r="EW207" i="6" s="1"/>
  <c r="DY207" i="6"/>
  <c r="EX207" i="6" s="1"/>
  <c r="DZ207" i="6"/>
  <c r="EY207" i="6" s="1"/>
  <c r="EA207" i="6"/>
  <c r="EC207" i="6"/>
  <c r="FB207" i="6" s="1"/>
  <c r="EE207" i="6"/>
  <c r="FD207" i="6" s="1"/>
  <c r="EF207" i="6"/>
  <c r="FE207" i="6" s="1"/>
  <c r="EG207" i="6"/>
  <c r="FF207" i="6" s="1"/>
  <c r="ER207" i="6"/>
  <c r="EZ207" i="6"/>
  <c r="DO208" i="6"/>
  <c r="EN208" i="6" s="1"/>
  <c r="DP208" i="6"/>
  <c r="DQ208" i="6"/>
  <c r="EP208" i="6" s="1"/>
  <c r="DS208" i="6"/>
  <c r="ER208" i="6" s="1"/>
  <c r="DT208" i="6"/>
  <c r="ES208" i="6" s="1"/>
  <c r="DU208" i="6"/>
  <c r="ET208" i="6" s="1"/>
  <c r="DV208" i="6"/>
  <c r="EU208" i="6" s="1"/>
  <c r="DW208" i="6"/>
  <c r="DX208" i="6"/>
  <c r="DY208" i="6"/>
  <c r="EX208" i="6" s="1"/>
  <c r="DZ208" i="6"/>
  <c r="EY208" i="6" s="1"/>
  <c r="EA208" i="6"/>
  <c r="EZ208" i="6" s="1"/>
  <c r="EC208" i="6"/>
  <c r="FB208" i="6" s="1"/>
  <c r="EE208" i="6"/>
  <c r="FD208" i="6" s="1"/>
  <c r="EF208" i="6"/>
  <c r="EK208" i="6" s="1"/>
  <c r="FJ208" i="6" s="1"/>
  <c r="EG208" i="6"/>
  <c r="EO208" i="6"/>
  <c r="EV208" i="6"/>
  <c r="FF208" i="6"/>
  <c r="DO209" i="6"/>
  <c r="EN209" i="6" s="1"/>
  <c r="DP209" i="6"/>
  <c r="EO209" i="6" s="1"/>
  <c r="DQ209" i="6"/>
  <c r="DS209" i="6"/>
  <c r="ER209" i="6" s="1"/>
  <c r="DT209" i="6"/>
  <c r="ES209" i="6" s="1"/>
  <c r="DU209" i="6"/>
  <c r="ET209" i="6" s="1"/>
  <c r="DV209" i="6"/>
  <c r="DW209" i="6"/>
  <c r="EV209" i="6" s="1"/>
  <c r="DX209" i="6"/>
  <c r="EW209" i="6" s="1"/>
  <c r="DY209" i="6"/>
  <c r="EX209" i="6" s="1"/>
  <c r="DZ209" i="6"/>
  <c r="EY209" i="6" s="1"/>
  <c r="EA209" i="6"/>
  <c r="EZ209" i="6" s="1"/>
  <c r="EC209" i="6"/>
  <c r="FB209" i="6" s="1"/>
  <c r="EE209" i="6"/>
  <c r="FD209" i="6" s="1"/>
  <c r="EF209" i="6"/>
  <c r="EG209" i="6"/>
  <c r="FF209" i="6" s="1"/>
  <c r="EU209" i="6"/>
  <c r="FE209" i="6"/>
  <c r="DO210" i="6"/>
  <c r="EN210" i="6" s="1"/>
  <c r="DP210" i="6"/>
  <c r="EH210" i="6" s="1"/>
  <c r="FG210" i="6" s="1"/>
  <c r="DQ210" i="6"/>
  <c r="DS210" i="6"/>
  <c r="ER210" i="6" s="1"/>
  <c r="DT210" i="6"/>
  <c r="ES210" i="6" s="1"/>
  <c r="DU210" i="6"/>
  <c r="ET210" i="6" s="1"/>
  <c r="DV210" i="6"/>
  <c r="EU210" i="6" s="1"/>
  <c r="DW210" i="6"/>
  <c r="EV210" i="6" s="1"/>
  <c r="DX210" i="6"/>
  <c r="DY210" i="6"/>
  <c r="EX210" i="6" s="1"/>
  <c r="DZ210" i="6"/>
  <c r="EA210" i="6"/>
  <c r="EZ210" i="6" s="1"/>
  <c r="EC210" i="6"/>
  <c r="FB210" i="6" s="1"/>
  <c r="EE210" i="6"/>
  <c r="FD210" i="6" s="1"/>
  <c r="EF210" i="6"/>
  <c r="EG210" i="6"/>
  <c r="FF210" i="6" s="1"/>
  <c r="EP210" i="6"/>
  <c r="EY210" i="6"/>
  <c r="DO211" i="6"/>
  <c r="EN211" i="6" s="1"/>
  <c r="DP211" i="6"/>
  <c r="EO211" i="6" s="1"/>
  <c r="DQ211" i="6"/>
  <c r="DS211" i="6"/>
  <c r="ER211" i="6" s="1"/>
  <c r="DT211" i="6"/>
  <c r="ES211" i="6" s="1"/>
  <c r="DU211" i="6"/>
  <c r="ET211" i="6" s="1"/>
  <c r="DV211" i="6"/>
  <c r="EU211" i="6" s="1"/>
  <c r="DW211" i="6"/>
  <c r="EV211" i="6" s="1"/>
  <c r="DX211" i="6"/>
  <c r="EW211" i="6" s="1"/>
  <c r="DY211" i="6"/>
  <c r="EX211" i="6" s="1"/>
  <c r="DZ211" i="6"/>
  <c r="EY211" i="6" s="1"/>
  <c r="EA211" i="6"/>
  <c r="EC211" i="6"/>
  <c r="FB211" i="6" s="1"/>
  <c r="EE211" i="6"/>
  <c r="FD211" i="6" s="1"/>
  <c r="EF211" i="6"/>
  <c r="FE211" i="6" s="1"/>
  <c r="EG211" i="6"/>
  <c r="FF211" i="6" s="1"/>
  <c r="EZ211" i="6"/>
  <c r="DO91" i="6"/>
  <c r="EN91" i="6" s="1"/>
  <c r="DP91" i="6"/>
  <c r="DQ91" i="6"/>
  <c r="EP91" i="6" s="1"/>
  <c r="BD31" i="7"/>
  <c r="BM31" i="7" s="1"/>
  <c r="BF31" i="7"/>
  <c r="BO31" i="7" s="1"/>
  <c r="BB31" i="7"/>
  <c r="BK31" i="7" s="1"/>
  <c r="BC31" i="7"/>
  <c r="BL31" i="7" s="1"/>
  <c r="BA31" i="7"/>
  <c r="BJ31" i="7" s="1"/>
  <c r="BE31" i="7"/>
  <c r="BN31" i="7" s="1"/>
  <c r="BG31" i="7"/>
  <c r="BP31" i="7" s="1"/>
  <c r="EY32" i="1"/>
  <c r="FX32" i="1" s="1"/>
  <c r="FF32" i="1"/>
  <c r="GE32" i="1" s="1"/>
  <c r="FG32" i="1"/>
  <c r="GF32" i="1" s="1"/>
  <c r="EQ32" i="1"/>
  <c r="FP32" i="1" s="1"/>
  <c r="EP32" i="1"/>
  <c r="FO32" i="1" s="1"/>
  <c r="EO32" i="1"/>
  <c r="FN32" i="1" s="1"/>
  <c r="ET32" i="1"/>
  <c r="FS32" i="1" s="1"/>
  <c r="ES32" i="1"/>
  <c r="FR32" i="1" s="1"/>
  <c r="FD32" i="1"/>
  <c r="GC32" i="1" s="1"/>
  <c r="EU32" i="1"/>
  <c r="FT32" i="1" s="1"/>
  <c r="EZ32" i="1"/>
  <c r="FY32" i="1" s="1"/>
  <c r="EW32" i="1"/>
  <c r="FV32" i="1" s="1"/>
  <c r="EV32" i="1"/>
  <c r="FU32" i="1" s="1"/>
  <c r="FA32" i="1"/>
  <c r="FZ32" i="1" s="1"/>
  <c r="FE32" i="1"/>
  <c r="GD32" i="1" s="1"/>
  <c r="FB32" i="1"/>
  <c r="GA32" i="1" s="1"/>
  <c r="FC32" i="1"/>
  <c r="GB32" i="1" s="1"/>
  <c r="EX32" i="1"/>
  <c r="FW32" i="1" s="1"/>
  <c r="BA89" i="10"/>
  <c r="BB89" i="10"/>
  <c r="BC89" i="10"/>
  <c r="BD89" i="10"/>
  <c r="BA90" i="10"/>
  <c r="BB90" i="10"/>
  <c r="BC90" i="10"/>
  <c r="BD90" i="10"/>
  <c r="BA91" i="10"/>
  <c r="BB91" i="10"/>
  <c r="BC91" i="10"/>
  <c r="BD91" i="10"/>
  <c r="BA92" i="10"/>
  <c r="BB92" i="10"/>
  <c r="BC92" i="10"/>
  <c r="BD92" i="10"/>
  <c r="BA93" i="10"/>
  <c r="BB93" i="10"/>
  <c r="BC93" i="10"/>
  <c r="BD93" i="10"/>
  <c r="BA94" i="10"/>
  <c r="BB94" i="10"/>
  <c r="BC94" i="10"/>
  <c r="BD94" i="10"/>
  <c r="BA95" i="10"/>
  <c r="BB95" i="10"/>
  <c r="BC95" i="10"/>
  <c r="BD95" i="10"/>
  <c r="BA96" i="10"/>
  <c r="BB96" i="10"/>
  <c r="BC96" i="10"/>
  <c r="BD96" i="10"/>
  <c r="BA97" i="10"/>
  <c r="BB97" i="10"/>
  <c r="BC97" i="10"/>
  <c r="BD97" i="10"/>
  <c r="BA98" i="10"/>
  <c r="BB98" i="10"/>
  <c r="BC98" i="10"/>
  <c r="BD98" i="10"/>
  <c r="BA99" i="10"/>
  <c r="BB99" i="10"/>
  <c r="BC99" i="10"/>
  <c r="BD99" i="10"/>
  <c r="BA100" i="10"/>
  <c r="BB100" i="10"/>
  <c r="BC100" i="10"/>
  <c r="BD100" i="10"/>
  <c r="BA101" i="10"/>
  <c r="BB101" i="10"/>
  <c r="BC101" i="10"/>
  <c r="BD101" i="10"/>
  <c r="BA102" i="10"/>
  <c r="BB102" i="10"/>
  <c r="BC102" i="10"/>
  <c r="BD102" i="10"/>
  <c r="BA103" i="10"/>
  <c r="BB103" i="10"/>
  <c r="BC103" i="10"/>
  <c r="BD103" i="10"/>
  <c r="BA104" i="10"/>
  <c r="BB104" i="10"/>
  <c r="BC104" i="10"/>
  <c r="BD104" i="10"/>
  <c r="BA105" i="10"/>
  <c r="BB105" i="10"/>
  <c r="BC105" i="10"/>
  <c r="BD105" i="10"/>
  <c r="BA106" i="10"/>
  <c r="BB106" i="10"/>
  <c r="BC106" i="10"/>
  <c r="BD106" i="10"/>
  <c r="BA107" i="10"/>
  <c r="BB107" i="10"/>
  <c r="BC107" i="10"/>
  <c r="BD107" i="10"/>
  <c r="BA108" i="10"/>
  <c r="BB108" i="10"/>
  <c r="BC108" i="10"/>
  <c r="BD108" i="10"/>
  <c r="BA109" i="10"/>
  <c r="BB109" i="10"/>
  <c r="BC109" i="10"/>
  <c r="BD109" i="10"/>
  <c r="BA110" i="10"/>
  <c r="BB110" i="10"/>
  <c r="BC110" i="10"/>
  <c r="BD110" i="10"/>
  <c r="BA111" i="10"/>
  <c r="BB111" i="10"/>
  <c r="BC111" i="10"/>
  <c r="BD111" i="10"/>
  <c r="BA106" i="9"/>
  <c r="BJ106" i="9" s="1"/>
  <c r="BB106" i="9"/>
  <c r="BK106" i="9" s="1"/>
  <c r="BC106" i="9"/>
  <c r="BL106" i="9" s="1"/>
  <c r="BD106" i="9"/>
  <c r="BM106" i="9" s="1"/>
  <c r="BE106" i="9"/>
  <c r="BN106" i="9" s="1"/>
  <c r="BF106" i="9"/>
  <c r="BO106" i="9" s="1"/>
  <c r="BG106" i="9"/>
  <c r="BA107" i="9"/>
  <c r="BJ107" i="9" s="1"/>
  <c r="BB107" i="9"/>
  <c r="BK107" i="9" s="1"/>
  <c r="BC107" i="9"/>
  <c r="BL107" i="9" s="1"/>
  <c r="BD107" i="9"/>
  <c r="BM107" i="9" s="1"/>
  <c r="BE107" i="9"/>
  <c r="BN107" i="9" s="1"/>
  <c r="BF107" i="9"/>
  <c r="BO107" i="9" s="1"/>
  <c r="BG107" i="9"/>
  <c r="BA108" i="9"/>
  <c r="BJ108" i="9" s="1"/>
  <c r="BB108" i="9"/>
  <c r="BK108" i="9" s="1"/>
  <c r="BC108" i="9"/>
  <c r="BL108" i="9" s="1"/>
  <c r="BD108" i="9"/>
  <c r="BM108" i="9" s="1"/>
  <c r="BE108" i="9"/>
  <c r="BN108" i="9" s="1"/>
  <c r="BF108" i="9"/>
  <c r="BO108" i="9" s="1"/>
  <c r="BG108" i="9"/>
  <c r="BP108" i="9" s="1"/>
  <c r="BA109" i="9"/>
  <c r="BJ109" i="9" s="1"/>
  <c r="BB109" i="9"/>
  <c r="BK109" i="9" s="1"/>
  <c r="BC109" i="9"/>
  <c r="BL109" i="9" s="1"/>
  <c r="BD109" i="9"/>
  <c r="BM109" i="9" s="1"/>
  <c r="BE109" i="9"/>
  <c r="BN109" i="9" s="1"/>
  <c r="BF109" i="9"/>
  <c r="BO109" i="9" s="1"/>
  <c r="BG109" i="9"/>
  <c r="BA110" i="9"/>
  <c r="BJ110" i="9" s="1"/>
  <c r="BB110" i="9"/>
  <c r="BK110" i="9" s="1"/>
  <c r="BC110" i="9"/>
  <c r="BL110" i="9" s="1"/>
  <c r="BD110" i="9"/>
  <c r="BM110" i="9" s="1"/>
  <c r="BE110" i="9"/>
  <c r="BN110" i="9" s="1"/>
  <c r="BF110" i="9"/>
  <c r="BO110" i="9" s="1"/>
  <c r="BG110" i="9"/>
  <c r="BP110" i="9" s="1"/>
  <c r="BA111" i="9"/>
  <c r="BJ111" i="9" s="1"/>
  <c r="BB111" i="9"/>
  <c r="BK111" i="9" s="1"/>
  <c r="BC111" i="9"/>
  <c r="BL111" i="9" s="1"/>
  <c r="BD111" i="9"/>
  <c r="BM111" i="9" s="1"/>
  <c r="BE111" i="9"/>
  <c r="BN111" i="9" s="1"/>
  <c r="BF111" i="9"/>
  <c r="BO111" i="9" s="1"/>
  <c r="BG111" i="9"/>
  <c r="BP111" i="9" s="1"/>
  <c r="BA112" i="9"/>
  <c r="BJ112" i="9" s="1"/>
  <c r="BB112" i="9"/>
  <c r="BK112" i="9" s="1"/>
  <c r="BC112" i="9"/>
  <c r="BL112" i="9" s="1"/>
  <c r="BD112" i="9"/>
  <c r="BM112" i="9" s="1"/>
  <c r="BE112" i="9"/>
  <c r="BN112" i="9" s="1"/>
  <c r="BF112" i="9"/>
  <c r="BO112" i="9" s="1"/>
  <c r="BG112" i="9"/>
  <c r="BA113" i="9"/>
  <c r="BJ113" i="9" s="1"/>
  <c r="BB113" i="9"/>
  <c r="BK113" i="9" s="1"/>
  <c r="BC113" i="9"/>
  <c r="BL113" i="9" s="1"/>
  <c r="BD113" i="9"/>
  <c r="BM113" i="9" s="1"/>
  <c r="BE113" i="9"/>
  <c r="BN113" i="9" s="1"/>
  <c r="BF113" i="9"/>
  <c r="BO113" i="9" s="1"/>
  <c r="BG113" i="9"/>
  <c r="BP113" i="9" s="1"/>
  <c r="BA98" i="9"/>
  <c r="BJ98" i="9" s="1"/>
  <c r="BB98" i="9"/>
  <c r="BK98" i="9" s="1"/>
  <c r="BC98" i="9"/>
  <c r="BL98" i="9" s="1"/>
  <c r="BD98" i="9"/>
  <c r="BM98" i="9" s="1"/>
  <c r="BE98" i="9"/>
  <c r="BN98" i="9" s="1"/>
  <c r="BF98" i="9"/>
  <c r="BO98" i="9" s="1"/>
  <c r="BG98" i="9"/>
  <c r="BP98" i="9" s="1"/>
  <c r="BA99" i="9"/>
  <c r="BJ99" i="9" s="1"/>
  <c r="BB99" i="9"/>
  <c r="BK99" i="9" s="1"/>
  <c r="BC99" i="9"/>
  <c r="BL99" i="9" s="1"/>
  <c r="BD99" i="9"/>
  <c r="BM99" i="9" s="1"/>
  <c r="BE99" i="9"/>
  <c r="BN99" i="9" s="1"/>
  <c r="BF99" i="9"/>
  <c r="BO99" i="9" s="1"/>
  <c r="BG99" i="9"/>
  <c r="BA100" i="9"/>
  <c r="BJ100" i="9" s="1"/>
  <c r="BB100" i="9"/>
  <c r="BK100" i="9" s="1"/>
  <c r="BC100" i="9"/>
  <c r="BL100" i="9" s="1"/>
  <c r="BD100" i="9"/>
  <c r="BM100" i="9" s="1"/>
  <c r="BE100" i="9"/>
  <c r="BN100" i="9" s="1"/>
  <c r="BF100" i="9"/>
  <c r="BO100" i="9" s="1"/>
  <c r="BG100" i="9"/>
  <c r="BA101" i="9"/>
  <c r="BJ101" i="9" s="1"/>
  <c r="BB101" i="9"/>
  <c r="BK101" i="9" s="1"/>
  <c r="BC101" i="9"/>
  <c r="BL101" i="9" s="1"/>
  <c r="BD101" i="9"/>
  <c r="BM101" i="9" s="1"/>
  <c r="BE101" i="9"/>
  <c r="BN101" i="9" s="1"/>
  <c r="BF101" i="9"/>
  <c r="BO101" i="9" s="1"/>
  <c r="BG101" i="9"/>
  <c r="BP101" i="9" s="1"/>
  <c r="BA102" i="9"/>
  <c r="BJ102" i="9" s="1"/>
  <c r="BB102" i="9"/>
  <c r="BK102" i="9" s="1"/>
  <c r="BC102" i="9"/>
  <c r="BL102" i="9" s="1"/>
  <c r="BD102" i="9"/>
  <c r="BM102" i="9" s="1"/>
  <c r="BE102" i="9"/>
  <c r="BN102" i="9" s="1"/>
  <c r="BF102" i="9"/>
  <c r="BO102" i="9" s="1"/>
  <c r="BG102" i="9"/>
  <c r="BA103" i="9"/>
  <c r="BJ103" i="9" s="1"/>
  <c r="BB103" i="9"/>
  <c r="BK103" i="9" s="1"/>
  <c r="BC103" i="9"/>
  <c r="BL103" i="9" s="1"/>
  <c r="BD103" i="9"/>
  <c r="BM103" i="9" s="1"/>
  <c r="BE103" i="9"/>
  <c r="BN103" i="9" s="1"/>
  <c r="BF103" i="9"/>
  <c r="BO103" i="9" s="1"/>
  <c r="BG103" i="9"/>
  <c r="BA104" i="9"/>
  <c r="BJ104" i="9" s="1"/>
  <c r="BB104" i="9"/>
  <c r="BK104" i="9" s="1"/>
  <c r="BC104" i="9"/>
  <c r="BL104" i="9" s="1"/>
  <c r="BD104" i="9"/>
  <c r="BM104" i="9" s="1"/>
  <c r="BE104" i="9"/>
  <c r="BN104" i="9" s="1"/>
  <c r="BF104" i="9"/>
  <c r="BO104" i="9" s="1"/>
  <c r="BG104" i="9"/>
  <c r="BA105" i="9"/>
  <c r="BJ105" i="9" s="1"/>
  <c r="BB105" i="9"/>
  <c r="BK105" i="9" s="1"/>
  <c r="BC105" i="9"/>
  <c r="BL105" i="9" s="1"/>
  <c r="BD105" i="9"/>
  <c r="BM105" i="9" s="1"/>
  <c r="BE105" i="9"/>
  <c r="BN105" i="9" s="1"/>
  <c r="BF105" i="9"/>
  <c r="BO105" i="9" s="1"/>
  <c r="BG105" i="9"/>
  <c r="BA90" i="9"/>
  <c r="BJ90" i="9" s="1"/>
  <c r="BB90" i="9"/>
  <c r="BK90" i="9" s="1"/>
  <c r="BC90" i="9"/>
  <c r="BL90" i="9" s="1"/>
  <c r="BD90" i="9"/>
  <c r="BM90" i="9" s="1"/>
  <c r="BE90" i="9"/>
  <c r="BN90" i="9" s="1"/>
  <c r="BF90" i="9"/>
  <c r="BO90" i="9" s="1"/>
  <c r="BG90" i="9"/>
  <c r="BA91" i="9"/>
  <c r="BJ91" i="9" s="1"/>
  <c r="BB91" i="9"/>
  <c r="BK91" i="9" s="1"/>
  <c r="BC91" i="9"/>
  <c r="BL91" i="9" s="1"/>
  <c r="BD91" i="9"/>
  <c r="BM91" i="9" s="1"/>
  <c r="BE91" i="9"/>
  <c r="BN91" i="9" s="1"/>
  <c r="BF91" i="9"/>
  <c r="BO91" i="9" s="1"/>
  <c r="BG91" i="9"/>
  <c r="BP91" i="9" s="1"/>
  <c r="BA92" i="9"/>
  <c r="BJ92" i="9" s="1"/>
  <c r="BB92" i="9"/>
  <c r="BK92" i="9" s="1"/>
  <c r="BC92" i="9"/>
  <c r="BL92" i="9" s="1"/>
  <c r="BD92" i="9"/>
  <c r="BM92" i="9" s="1"/>
  <c r="BE92" i="9"/>
  <c r="BN92" i="9" s="1"/>
  <c r="BF92" i="9"/>
  <c r="BO92" i="9" s="1"/>
  <c r="BG92" i="9"/>
  <c r="BP92" i="9" s="1"/>
  <c r="BA93" i="9"/>
  <c r="BJ93" i="9" s="1"/>
  <c r="BB93" i="9"/>
  <c r="BK93" i="9" s="1"/>
  <c r="BC93" i="9"/>
  <c r="BL93" i="9" s="1"/>
  <c r="BD93" i="9"/>
  <c r="BM93" i="9" s="1"/>
  <c r="BE93" i="9"/>
  <c r="BN93" i="9" s="1"/>
  <c r="BF93" i="9"/>
  <c r="BO93" i="9" s="1"/>
  <c r="BG93" i="9"/>
  <c r="BP93" i="9" s="1"/>
  <c r="BA94" i="9"/>
  <c r="BJ94" i="9" s="1"/>
  <c r="BB94" i="9"/>
  <c r="BK94" i="9" s="1"/>
  <c r="BC94" i="9"/>
  <c r="BL94" i="9" s="1"/>
  <c r="BD94" i="9"/>
  <c r="BM94" i="9" s="1"/>
  <c r="BE94" i="9"/>
  <c r="BN94" i="9" s="1"/>
  <c r="BF94" i="9"/>
  <c r="BO94" i="9" s="1"/>
  <c r="BG94" i="9"/>
  <c r="BP94" i="9" s="1"/>
  <c r="BA95" i="9"/>
  <c r="BJ95" i="9" s="1"/>
  <c r="BB95" i="9"/>
  <c r="BK95" i="9" s="1"/>
  <c r="BC95" i="9"/>
  <c r="BL95" i="9" s="1"/>
  <c r="BD95" i="9"/>
  <c r="BM95" i="9" s="1"/>
  <c r="BE95" i="9"/>
  <c r="BN95" i="9" s="1"/>
  <c r="BF95" i="9"/>
  <c r="BO95" i="9" s="1"/>
  <c r="BG95" i="9"/>
  <c r="BA96" i="9"/>
  <c r="BJ96" i="9" s="1"/>
  <c r="BB96" i="9"/>
  <c r="BK96" i="9" s="1"/>
  <c r="BC96" i="9"/>
  <c r="BL96" i="9" s="1"/>
  <c r="BD96" i="9"/>
  <c r="BM96" i="9" s="1"/>
  <c r="BE96" i="9"/>
  <c r="BN96" i="9" s="1"/>
  <c r="BF96" i="9"/>
  <c r="BO96" i="9" s="1"/>
  <c r="BG96" i="9"/>
  <c r="BP96" i="9" s="1"/>
  <c r="BA97" i="9"/>
  <c r="BJ97" i="9" s="1"/>
  <c r="BB97" i="9"/>
  <c r="BK97" i="9" s="1"/>
  <c r="BC97" i="9"/>
  <c r="BL97" i="9" s="1"/>
  <c r="BD97" i="9"/>
  <c r="BM97" i="9" s="1"/>
  <c r="BE97" i="9"/>
  <c r="BN97" i="9" s="1"/>
  <c r="BF97" i="9"/>
  <c r="BO97" i="9" s="1"/>
  <c r="BG97" i="9"/>
  <c r="BP97" i="9" s="1"/>
  <c r="DO90" i="6"/>
  <c r="EN90" i="6" s="1"/>
  <c r="DP90" i="6"/>
  <c r="DQ90" i="6"/>
  <c r="EP90" i="6" s="1"/>
  <c r="DS90" i="6"/>
  <c r="ER90" i="6" s="1"/>
  <c r="DT90" i="6"/>
  <c r="ES90" i="6" s="1"/>
  <c r="DU90" i="6"/>
  <c r="ET90" i="6" s="1"/>
  <c r="DV90" i="6"/>
  <c r="EU90" i="6" s="1"/>
  <c r="DW90" i="6"/>
  <c r="DX90" i="6"/>
  <c r="EW90" i="6" s="1"/>
  <c r="DY90" i="6"/>
  <c r="EX90" i="6" s="1"/>
  <c r="DZ90" i="6"/>
  <c r="EY90" i="6" s="1"/>
  <c r="EA90" i="6"/>
  <c r="EZ90" i="6" s="1"/>
  <c r="EC90" i="6"/>
  <c r="FB90" i="6" s="1"/>
  <c r="EE90" i="6"/>
  <c r="FD90" i="6" s="1"/>
  <c r="EF90" i="6"/>
  <c r="FE90" i="6" s="1"/>
  <c r="EG90" i="6"/>
  <c r="DS91" i="6"/>
  <c r="DT91" i="6"/>
  <c r="ES91" i="6" s="1"/>
  <c r="DU91" i="6"/>
  <c r="ET91" i="6" s="1"/>
  <c r="DV91" i="6"/>
  <c r="EU91" i="6" s="1"/>
  <c r="DW91" i="6"/>
  <c r="EV91" i="6" s="1"/>
  <c r="DX91" i="6"/>
  <c r="EW91" i="6" s="1"/>
  <c r="DY91" i="6"/>
  <c r="DZ91" i="6"/>
  <c r="EY91" i="6" s="1"/>
  <c r="EA91" i="6"/>
  <c r="EZ91" i="6" s="1"/>
  <c r="EC91" i="6"/>
  <c r="FB91" i="6" s="1"/>
  <c r="EE91" i="6"/>
  <c r="FD91" i="6" s="1"/>
  <c r="EF91" i="6"/>
  <c r="FE91" i="6" s="1"/>
  <c r="EG91" i="6"/>
  <c r="FF91" i="6" s="1"/>
  <c r="DO92" i="6"/>
  <c r="DP92" i="6"/>
  <c r="DQ92" i="6"/>
  <c r="EP92" i="6" s="1"/>
  <c r="DS92" i="6"/>
  <c r="ER92" i="6" s="1"/>
  <c r="DT92" i="6"/>
  <c r="ES92" i="6" s="1"/>
  <c r="DU92" i="6"/>
  <c r="ET92" i="6" s="1"/>
  <c r="DV92" i="6"/>
  <c r="EU92" i="6" s="1"/>
  <c r="DW92" i="6"/>
  <c r="DX92" i="6"/>
  <c r="EW92" i="6" s="1"/>
  <c r="DY92" i="6"/>
  <c r="DZ92" i="6"/>
  <c r="EY92" i="6" s="1"/>
  <c r="EA92" i="6"/>
  <c r="EZ92" i="6" s="1"/>
  <c r="EC92" i="6"/>
  <c r="FB92" i="6" s="1"/>
  <c r="EE92" i="6"/>
  <c r="FD92" i="6" s="1"/>
  <c r="EF92" i="6"/>
  <c r="FE92" i="6" s="1"/>
  <c r="EG92" i="6"/>
  <c r="EN92" i="6"/>
  <c r="DO93" i="6"/>
  <c r="EN93" i="6" s="1"/>
  <c r="DP93" i="6"/>
  <c r="DQ93" i="6"/>
  <c r="EP93" i="6" s="1"/>
  <c r="DS93" i="6"/>
  <c r="DT93" i="6"/>
  <c r="ES93" i="6" s="1"/>
  <c r="DU93" i="6"/>
  <c r="ET93" i="6" s="1"/>
  <c r="DV93" i="6"/>
  <c r="EU93" i="6" s="1"/>
  <c r="DW93" i="6"/>
  <c r="EV93" i="6" s="1"/>
  <c r="DX93" i="6"/>
  <c r="EW93" i="6" s="1"/>
  <c r="DY93" i="6"/>
  <c r="DZ93" i="6"/>
  <c r="EY93" i="6" s="1"/>
  <c r="EA93" i="6"/>
  <c r="EZ93" i="6" s="1"/>
  <c r="EC93" i="6"/>
  <c r="FB93" i="6" s="1"/>
  <c r="EE93" i="6"/>
  <c r="FD93" i="6" s="1"/>
  <c r="EF93" i="6"/>
  <c r="FE93" i="6" s="1"/>
  <c r="EG93" i="6"/>
  <c r="DO94" i="6"/>
  <c r="EN94" i="6" s="1"/>
  <c r="DP94" i="6"/>
  <c r="DQ94" i="6"/>
  <c r="EP94" i="6" s="1"/>
  <c r="DS94" i="6"/>
  <c r="ER94" i="6" s="1"/>
  <c r="DT94" i="6"/>
  <c r="ES94" i="6" s="1"/>
  <c r="DU94" i="6"/>
  <c r="ET94" i="6" s="1"/>
  <c r="DV94" i="6"/>
  <c r="EU94" i="6" s="1"/>
  <c r="DW94" i="6"/>
  <c r="EV94" i="6" s="1"/>
  <c r="DX94" i="6"/>
  <c r="EW94" i="6" s="1"/>
  <c r="DY94" i="6"/>
  <c r="EX94" i="6" s="1"/>
  <c r="DZ94" i="6"/>
  <c r="EA94" i="6"/>
  <c r="EZ94" i="6" s="1"/>
  <c r="EC94" i="6"/>
  <c r="FB94" i="6" s="1"/>
  <c r="EE94" i="6"/>
  <c r="FD94" i="6" s="1"/>
  <c r="EF94" i="6"/>
  <c r="FE94" i="6" s="1"/>
  <c r="EG94" i="6"/>
  <c r="DO95" i="6"/>
  <c r="EN95" i="6" s="1"/>
  <c r="DP95" i="6"/>
  <c r="DQ95" i="6"/>
  <c r="EP95" i="6" s="1"/>
  <c r="DS95" i="6"/>
  <c r="DT95" i="6"/>
  <c r="ES95" i="6" s="1"/>
  <c r="DU95" i="6"/>
  <c r="ET95" i="6" s="1"/>
  <c r="DV95" i="6"/>
  <c r="EU95" i="6" s="1"/>
  <c r="DW95" i="6"/>
  <c r="EV95" i="6" s="1"/>
  <c r="DX95" i="6"/>
  <c r="DY95" i="6"/>
  <c r="DZ95" i="6"/>
  <c r="EY95" i="6" s="1"/>
  <c r="EA95" i="6"/>
  <c r="EZ95" i="6" s="1"/>
  <c r="EC95" i="6"/>
  <c r="FB95" i="6" s="1"/>
  <c r="EE95" i="6"/>
  <c r="FD95" i="6" s="1"/>
  <c r="EF95" i="6"/>
  <c r="EG95" i="6"/>
  <c r="FF95" i="6" s="1"/>
  <c r="EW95" i="6"/>
  <c r="DO96" i="6"/>
  <c r="DP96" i="6"/>
  <c r="DQ96" i="6"/>
  <c r="EP96" i="6" s="1"/>
  <c r="DS96" i="6"/>
  <c r="ER96" i="6" s="1"/>
  <c r="DT96" i="6"/>
  <c r="ES96" i="6" s="1"/>
  <c r="DU96" i="6"/>
  <c r="ET96" i="6" s="1"/>
  <c r="DV96" i="6"/>
  <c r="EU96" i="6" s="1"/>
  <c r="DW96" i="6"/>
  <c r="EV96" i="6" s="1"/>
  <c r="DX96" i="6"/>
  <c r="EW96" i="6" s="1"/>
  <c r="DY96" i="6"/>
  <c r="EX96" i="6" s="1"/>
  <c r="DZ96" i="6"/>
  <c r="EY96" i="6" s="1"/>
  <c r="EA96" i="6"/>
  <c r="EC96" i="6"/>
  <c r="FB96" i="6" s="1"/>
  <c r="EE96" i="6"/>
  <c r="FD96" i="6" s="1"/>
  <c r="EF96" i="6"/>
  <c r="FE96" i="6" s="1"/>
  <c r="EG96" i="6"/>
  <c r="EN96" i="6"/>
  <c r="DO97" i="6"/>
  <c r="EN97" i="6" s="1"/>
  <c r="DP97" i="6"/>
  <c r="EO97" i="6" s="1"/>
  <c r="DQ97" i="6"/>
  <c r="EP97" i="6" s="1"/>
  <c r="DS97" i="6"/>
  <c r="DT97" i="6"/>
  <c r="ES97" i="6" s="1"/>
  <c r="DU97" i="6"/>
  <c r="ET97" i="6" s="1"/>
  <c r="DV97" i="6"/>
  <c r="EU97" i="6" s="1"/>
  <c r="DW97" i="6"/>
  <c r="EV97" i="6" s="1"/>
  <c r="DX97" i="6"/>
  <c r="EW97" i="6" s="1"/>
  <c r="DY97" i="6"/>
  <c r="EX97" i="6" s="1"/>
  <c r="DZ97" i="6"/>
  <c r="EY97" i="6" s="1"/>
  <c r="EA97" i="6"/>
  <c r="EZ97" i="6" s="1"/>
  <c r="EC97" i="6"/>
  <c r="FB97" i="6" s="1"/>
  <c r="EE97" i="6"/>
  <c r="FD97" i="6" s="1"/>
  <c r="EF97" i="6"/>
  <c r="FE97" i="6" s="1"/>
  <c r="EG97" i="6"/>
  <c r="DO98" i="6"/>
  <c r="EN98" i="6" s="1"/>
  <c r="DP98" i="6"/>
  <c r="DQ98" i="6"/>
  <c r="EP98" i="6" s="1"/>
  <c r="DS98" i="6"/>
  <c r="ER98" i="6" s="1"/>
  <c r="DT98" i="6"/>
  <c r="ES98" i="6" s="1"/>
  <c r="DU98" i="6"/>
  <c r="ET98" i="6" s="1"/>
  <c r="DV98" i="6"/>
  <c r="EU98" i="6" s="1"/>
  <c r="DW98" i="6"/>
  <c r="EV98" i="6" s="1"/>
  <c r="DX98" i="6"/>
  <c r="EW98" i="6" s="1"/>
  <c r="DY98" i="6"/>
  <c r="EX98" i="6" s="1"/>
  <c r="DZ98" i="6"/>
  <c r="EA98" i="6"/>
  <c r="EZ98" i="6" s="1"/>
  <c r="EC98" i="6"/>
  <c r="FB98" i="6" s="1"/>
  <c r="EE98" i="6"/>
  <c r="FD98" i="6" s="1"/>
  <c r="EF98" i="6"/>
  <c r="FE98" i="6" s="1"/>
  <c r="EG98" i="6"/>
  <c r="DO99" i="6"/>
  <c r="EN99" i="6" s="1"/>
  <c r="DP99" i="6"/>
  <c r="EO99" i="6" s="1"/>
  <c r="DQ99" i="6"/>
  <c r="EP99" i="6" s="1"/>
  <c r="DS99" i="6"/>
  <c r="DT99" i="6"/>
  <c r="ES99" i="6" s="1"/>
  <c r="DU99" i="6"/>
  <c r="ET99" i="6" s="1"/>
  <c r="DV99" i="6"/>
  <c r="EU99" i="6" s="1"/>
  <c r="DW99" i="6"/>
  <c r="EV99" i="6" s="1"/>
  <c r="DX99" i="6"/>
  <c r="EW99" i="6" s="1"/>
  <c r="DY99" i="6"/>
  <c r="EX99" i="6" s="1"/>
  <c r="DZ99" i="6"/>
  <c r="EY99" i="6" s="1"/>
  <c r="EA99" i="6"/>
  <c r="EZ99" i="6" s="1"/>
  <c r="EC99" i="6"/>
  <c r="FB99" i="6" s="1"/>
  <c r="EE99" i="6"/>
  <c r="FD99" i="6" s="1"/>
  <c r="EF99" i="6"/>
  <c r="EG99" i="6"/>
  <c r="FF99" i="6" s="1"/>
  <c r="DO100" i="6"/>
  <c r="DP100" i="6"/>
  <c r="DQ100" i="6"/>
  <c r="EP100" i="6" s="1"/>
  <c r="DS100" i="6"/>
  <c r="ER100" i="6" s="1"/>
  <c r="DT100" i="6"/>
  <c r="ES100" i="6" s="1"/>
  <c r="DU100" i="6"/>
  <c r="ET100" i="6" s="1"/>
  <c r="DV100" i="6"/>
  <c r="EU100" i="6" s="1"/>
  <c r="DW100" i="6"/>
  <c r="EV100" i="6" s="1"/>
  <c r="DX100" i="6"/>
  <c r="EW100" i="6" s="1"/>
  <c r="DY100" i="6"/>
  <c r="EX100" i="6" s="1"/>
  <c r="DZ100" i="6"/>
  <c r="EA100" i="6"/>
  <c r="EZ100" i="6" s="1"/>
  <c r="EC100" i="6"/>
  <c r="FB100" i="6" s="1"/>
  <c r="EE100" i="6"/>
  <c r="FD100" i="6" s="1"/>
  <c r="EF100" i="6"/>
  <c r="FE100" i="6" s="1"/>
  <c r="EG100" i="6"/>
  <c r="EN100" i="6"/>
  <c r="DO101" i="6"/>
  <c r="DP101" i="6"/>
  <c r="DQ101" i="6"/>
  <c r="DS101" i="6"/>
  <c r="ER101" i="6" s="1"/>
  <c r="DT101" i="6"/>
  <c r="ES101" i="6" s="1"/>
  <c r="DU101" i="6"/>
  <c r="ET101" i="6" s="1"/>
  <c r="DV101" i="6"/>
  <c r="EU101" i="6" s="1"/>
  <c r="DW101" i="6"/>
  <c r="EV101" i="6" s="1"/>
  <c r="DX101" i="6"/>
  <c r="EW101" i="6" s="1"/>
  <c r="DY101" i="6"/>
  <c r="EX101" i="6" s="1"/>
  <c r="DZ101" i="6"/>
  <c r="EY101" i="6" s="1"/>
  <c r="EA101" i="6"/>
  <c r="EZ101" i="6" s="1"/>
  <c r="EC101" i="6"/>
  <c r="FB101" i="6" s="1"/>
  <c r="EE101" i="6"/>
  <c r="FD101" i="6" s="1"/>
  <c r="EF101" i="6"/>
  <c r="EG101" i="6"/>
  <c r="FF101" i="6" s="1"/>
  <c r="EN101" i="6"/>
  <c r="EO101" i="6"/>
  <c r="EP101" i="6"/>
  <c r="DO102" i="6"/>
  <c r="EN102" i="6" s="1"/>
  <c r="DP102" i="6"/>
  <c r="EO102" i="6" s="1"/>
  <c r="DQ102" i="6"/>
  <c r="EP102" i="6" s="1"/>
  <c r="DS102" i="6"/>
  <c r="ER102" i="6" s="1"/>
  <c r="DT102" i="6"/>
  <c r="ES102" i="6" s="1"/>
  <c r="DU102" i="6"/>
  <c r="ET102" i="6" s="1"/>
  <c r="DV102" i="6"/>
  <c r="EU102" i="6" s="1"/>
  <c r="DW102" i="6"/>
  <c r="EV102" i="6" s="1"/>
  <c r="DX102" i="6"/>
  <c r="EW102" i="6" s="1"/>
  <c r="DY102" i="6"/>
  <c r="EX102" i="6" s="1"/>
  <c r="DZ102" i="6"/>
  <c r="EY102" i="6" s="1"/>
  <c r="EA102" i="6"/>
  <c r="EZ102" i="6" s="1"/>
  <c r="EC102" i="6"/>
  <c r="FB102" i="6" s="1"/>
  <c r="EE102" i="6"/>
  <c r="FD102" i="6" s="1"/>
  <c r="EF102" i="6"/>
  <c r="FE102" i="6" s="1"/>
  <c r="EG102" i="6"/>
  <c r="DO103" i="6"/>
  <c r="DP103" i="6"/>
  <c r="DQ103" i="6"/>
  <c r="DS103" i="6"/>
  <c r="ER103" i="6" s="1"/>
  <c r="DT103" i="6"/>
  <c r="ES103" i="6" s="1"/>
  <c r="DU103" i="6"/>
  <c r="ET103" i="6" s="1"/>
  <c r="DV103" i="6"/>
  <c r="EU103" i="6" s="1"/>
  <c r="DW103" i="6"/>
  <c r="EV103" i="6" s="1"/>
  <c r="DX103" i="6"/>
  <c r="EW103" i="6" s="1"/>
  <c r="DY103" i="6"/>
  <c r="EX103" i="6" s="1"/>
  <c r="DZ103" i="6"/>
  <c r="EY103" i="6" s="1"/>
  <c r="EA103" i="6"/>
  <c r="EZ103" i="6" s="1"/>
  <c r="EC103" i="6"/>
  <c r="FB103" i="6" s="1"/>
  <c r="EE103" i="6"/>
  <c r="FD103" i="6" s="1"/>
  <c r="EF103" i="6"/>
  <c r="EG103" i="6"/>
  <c r="FF103" i="6" s="1"/>
  <c r="EN103" i="6"/>
  <c r="EO103" i="6"/>
  <c r="EP103" i="6"/>
  <c r="DO104" i="6"/>
  <c r="EN104" i="6" s="1"/>
  <c r="DP104" i="6"/>
  <c r="EO104" i="6" s="1"/>
  <c r="DQ104" i="6"/>
  <c r="EP104" i="6" s="1"/>
  <c r="DS104" i="6"/>
  <c r="DT104" i="6"/>
  <c r="ES104" i="6" s="1"/>
  <c r="DU104" i="6"/>
  <c r="ET104" i="6" s="1"/>
  <c r="DV104" i="6"/>
  <c r="EU104" i="6" s="1"/>
  <c r="DW104" i="6"/>
  <c r="EV104" i="6" s="1"/>
  <c r="DX104" i="6"/>
  <c r="EW104" i="6" s="1"/>
  <c r="DY104" i="6"/>
  <c r="EX104" i="6" s="1"/>
  <c r="DZ104" i="6"/>
  <c r="EY104" i="6" s="1"/>
  <c r="EA104" i="6"/>
  <c r="EZ104" i="6" s="1"/>
  <c r="EC104" i="6"/>
  <c r="FB104" i="6" s="1"/>
  <c r="EE104" i="6"/>
  <c r="FD104" i="6" s="1"/>
  <c r="EF104" i="6"/>
  <c r="FE104" i="6" s="1"/>
  <c r="EG104" i="6"/>
  <c r="DO105" i="6"/>
  <c r="EN105" i="6" s="1"/>
  <c r="DP105" i="6"/>
  <c r="DQ105" i="6"/>
  <c r="EP105" i="6" s="1"/>
  <c r="DS105" i="6"/>
  <c r="ER105" i="6" s="1"/>
  <c r="DT105" i="6"/>
  <c r="ES105" i="6" s="1"/>
  <c r="DU105" i="6"/>
  <c r="ET105" i="6" s="1"/>
  <c r="DV105" i="6"/>
  <c r="EU105" i="6" s="1"/>
  <c r="DW105" i="6"/>
  <c r="EV105" i="6" s="1"/>
  <c r="DX105" i="6"/>
  <c r="EW105" i="6" s="1"/>
  <c r="DY105" i="6"/>
  <c r="EX105" i="6" s="1"/>
  <c r="DZ105" i="6"/>
  <c r="EY105" i="6" s="1"/>
  <c r="EA105" i="6"/>
  <c r="EZ105" i="6" s="1"/>
  <c r="EC105" i="6"/>
  <c r="FB105" i="6" s="1"/>
  <c r="EE105" i="6"/>
  <c r="FD105" i="6" s="1"/>
  <c r="EF105" i="6"/>
  <c r="FE105" i="6" s="1"/>
  <c r="EG105" i="6"/>
  <c r="FF105" i="6" s="1"/>
  <c r="DO106" i="6"/>
  <c r="EN106" i="6" s="1"/>
  <c r="DP106" i="6"/>
  <c r="EO106" i="6" s="1"/>
  <c r="DQ106" i="6"/>
  <c r="EP106" i="6" s="1"/>
  <c r="DS106" i="6"/>
  <c r="ER106" i="6" s="1"/>
  <c r="DT106" i="6"/>
  <c r="ES106" i="6" s="1"/>
  <c r="DU106" i="6"/>
  <c r="ET106" i="6" s="1"/>
  <c r="DV106" i="6"/>
  <c r="EU106" i="6" s="1"/>
  <c r="DW106" i="6"/>
  <c r="EV106" i="6" s="1"/>
  <c r="DX106" i="6"/>
  <c r="EW106" i="6" s="1"/>
  <c r="DY106" i="6"/>
  <c r="EX106" i="6" s="1"/>
  <c r="DZ106" i="6"/>
  <c r="EY106" i="6" s="1"/>
  <c r="EA106" i="6"/>
  <c r="EZ106" i="6" s="1"/>
  <c r="EC106" i="6"/>
  <c r="FB106" i="6" s="1"/>
  <c r="EE106" i="6"/>
  <c r="FD106" i="6" s="1"/>
  <c r="EF106" i="6"/>
  <c r="FE106" i="6" s="1"/>
  <c r="EG106" i="6"/>
  <c r="DO107" i="6"/>
  <c r="DP107" i="6"/>
  <c r="DQ107" i="6"/>
  <c r="EP107" i="6" s="1"/>
  <c r="DS107" i="6"/>
  <c r="ER107" i="6" s="1"/>
  <c r="DT107" i="6"/>
  <c r="ES107" i="6" s="1"/>
  <c r="DU107" i="6"/>
  <c r="ET107" i="6" s="1"/>
  <c r="DV107" i="6"/>
  <c r="EU107" i="6" s="1"/>
  <c r="DW107" i="6"/>
  <c r="EV107" i="6" s="1"/>
  <c r="DX107" i="6"/>
  <c r="EW107" i="6" s="1"/>
  <c r="DY107" i="6"/>
  <c r="DZ107" i="6"/>
  <c r="EY107" i="6" s="1"/>
  <c r="EA107" i="6"/>
  <c r="EZ107" i="6" s="1"/>
  <c r="EC107" i="6"/>
  <c r="FB107" i="6" s="1"/>
  <c r="EE107" i="6"/>
  <c r="FD107" i="6" s="1"/>
  <c r="EF107" i="6"/>
  <c r="EG107" i="6"/>
  <c r="FF107" i="6" s="1"/>
  <c r="EN107" i="6"/>
  <c r="EX107" i="6"/>
  <c r="DO108" i="6"/>
  <c r="EN108" i="6" s="1"/>
  <c r="DP108" i="6"/>
  <c r="EO108" i="6" s="1"/>
  <c r="DQ108" i="6"/>
  <c r="EP108" i="6" s="1"/>
  <c r="DS108" i="6"/>
  <c r="ER108" i="6" s="1"/>
  <c r="DT108" i="6"/>
  <c r="ES108" i="6" s="1"/>
  <c r="DU108" i="6"/>
  <c r="ET108" i="6" s="1"/>
  <c r="DV108" i="6"/>
  <c r="EU108" i="6" s="1"/>
  <c r="DW108" i="6"/>
  <c r="EV108" i="6" s="1"/>
  <c r="DX108" i="6"/>
  <c r="EW108" i="6" s="1"/>
  <c r="DY108" i="6"/>
  <c r="EX108" i="6" s="1"/>
  <c r="DZ108" i="6"/>
  <c r="EY108" i="6" s="1"/>
  <c r="EA108" i="6"/>
  <c r="EZ108" i="6" s="1"/>
  <c r="EC108" i="6"/>
  <c r="FB108" i="6" s="1"/>
  <c r="EE108" i="6"/>
  <c r="FD108" i="6" s="1"/>
  <c r="EF108" i="6"/>
  <c r="FE108" i="6" s="1"/>
  <c r="EG108" i="6"/>
  <c r="DO109" i="6"/>
  <c r="EN109" i="6" s="1"/>
  <c r="DP109" i="6"/>
  <c r="DQ109" i="6"/>
  <c r="EP109" i="6" s="1"/>
  <c r="DS109" i="6"/>
  <c r="ER109" i="6" s="1"/>
  <c r="DT109" i="6"/>
  <c r="ES109" i="6" s="1"/>
  <c r="DU109" i="6"/>
  <c r="ET109" i="6" s="1"/>
  <c r="DV109" i="6"/>
  <c r="EU109" i="6" s="1"/>
  <c r="DW109" i="6"/>
  <c r="EV109" i="6" s="1"/>
  <c r="DX109" i="6"/>
  <c r="EW109" i="6" s="1"/>
  <c r="DY109" i="6"/>
  <c r="DZ109" i="6"/>
  <c r="EY109" i="6" s="1"/>
  <c r="EA109" i="6"/>
  <c r="EZ109" i="6" s="1"/>
  <c r="EC109" i="6"/>
  <c r="FB109" i="6" s="1"/>
  <c r="EE109" i="6"/>
  <c r="FD109" i="6" s="1"/>
  <c r="EF109" i="6"/>
  <c r="EG109" i="6"/>
  <c r="FF109" i="6" s="1"/>
  <c r="DO110" i="6"/>
  <c r="EN110" i="6" s="1"/>
  <c r="DP110" i="6"/>
  <c r="EO110" i="6" s="1"/>
  <c r="DQ110" i="6"/>
  <c r="EP110" i="6" s="1"/>
  <c r="DS110" i="6"/>
  <c r="ER110" i="6" s="1"/>
  <c r="DT110" i="6"/>
  <c r="ES110" i="6" s="1"/>
  <c r="DU110" i="6"/>
  <c r="ET110" i="6" s="1"/>
  <c r="DV110" i="6"/>
  <c r="EU110" i="6" s="1"/>
  <c r="DW110" i="6"/>
  <c r="EV110" i="6" s="1"/>
  <c r="DX110" i="6"/>
  <c r="EW110" i="6" s="1"/>
  <c r="DY110" i="6"/>
  <c r="EX110" i="6" s="1"/>
  <c r="DZ110" i="6"/>
  <c r="EY110" i="6" s="1"/>
  <c r="EA110" i="6"/>
  <c r="EZ110" i="6" s="1"/>
  <c r="EC110" i="6"/>
  <c r="FB110" i="6" s="1"/>
  <c r="EE110" i="6"/>
  <c r="FD110" i="6" s="1"/>
  <c r="EF110" i="6"/>
  <c r="FE110" i="6" s="1"/>
  <c r="EG110" i="6"/>
  <c r="DO111" i="6"/>
  <c r="DP111" i="6"/>
  <c r="DQ111" i="6"/>
  <c r="EP111" i="6" s="1"/>
  <c r="DS111" i="6"/>
  <c r="ER111" i="6" s="1"/>
  <c r="DT111" i="6"/>
  <c r="ES111" i="6" s="1"/>
  <c r="DU111" i="6"/>
  <c r="ET111" i="6" s="1"/>
  <c r="DV111" i="6"/>
  <c r="EU111" i="6" s="1"/>
  <c r="DW111" i="6"/>
  <c r="EV111" i="6" s="1"/>
  <c r="DX111" i="6"/>
  <c r="EW111" i="6" s="1"/>
  <c r="DY111" i="6"/>
  <c r="DZ111" i="6"/>
  <c r="EY111" i="6" s="1"/>
  <c r="EA111" i="6"/>
  <c r="EZ111" i="6" s="1"/>
  <c r="EC111" i="6"/>
  <c r="FB111" i="6" s="1"/>
  <c r="EE111" i="6"/>
  <c r="FD111" i="6" s="1"/>
  <c r="EF111" i="6"/>
  <c r="EG111" i="6"/>
  <c r="FF111" i="6" s="1"/>
  <c r="EN111" i="6"/>
  <c r="DO112" i="6"/>
  <c r="EN112" i="6" s="1"/>
  <c r="DP112" i="6"/>
  <c r="DQ112" i="6"/>
  <c r="EP112" i="6" s="1"/>
  <c r="DS112" i="6"/>
  <c r="ER112" i="6" s="1"/>
  <c r="DT112" i="6"/>
  <c r="ES112" i="6" s="1"/>
  <c r="DU112" i="6"/>
  <c r="ET112" i="6" s="1"/>
  <c r="DV112" i="6"/>
  <c r="EU112" i="6" s="1"/>
  <c r="DW112" i="6"/>
  <c r="EV112" i="6" s="1"/>
  <c r="DX112" i="6"/>
  <c r="EW112" i="6" s="1"/>
  <c r="DY112" i="6"/>
  <c r="EX112" i="6" s="1"/>
  <c r="DZ112" i="6"/>
  <c r="EY112" i="6" s="1"/>
  <c r="EA112" i="6"/>
  <c r="EZ112" i="6" s="1"/>
  <c r="EC112" i="6"/>
  <c r="FB112" i="6" s="1"/>
  <c r="EE112" i="6"/>
  <c r="FD112" i="6" s="1"/>
  <c r="EF112" i="6"/>
  <c r="FE112" i="6" s="1"/>
  <c r="EG112" i="6"/>
  <c r="FF112" i="6" s="1"/>
  <c r="DO113" i="6"/>
  <c r="EN113" i="6" s="1"/>
  <c r="DP113" i="6"/>
  <c r="EO113" i="6" s="1"/>
  <c r="DQ113" i="6"/>
  <c r="EP113" i="6" s="1"/>
  <c r="DS113" i="6"/>
  <c r="DT113" i="6"/>
  <c r="ES113" i="6" s="1"/>
  <c r="DU113" i="6"/>
  <c r="ET113" i="6" s="1"/>
  <c r="DV113" i="6"/>
  <c r="EU113" i="6" s="1"/>
  <c r="DW113" i="6"/>
  <c r="EV113" i="6" s="1"/>
  <c r="DX113" i="6"/>
  <c r="DY113" i="6"/>
  <c r="EX113" i="6" s="1"/>
  <c r="DZ113" i="6"/>
  <c r="EY113" i="6" s="1"/>
  <c r="EA113" i="6"/>
  <c r="EZ113" i="6" s="1"/>
  <c r="EC113" i="6"/>
  <c r="FB113" i="6" s="1"/>
  <c r="EE113" i="6"/>
  <c r="FD113" i="6" s="1"/>
  <c r="EF113" i="6"/>
  <c r="FE113" i="6" s="1"/>
  <c r="EG113" i="6"/>
  <c r="FF113" i="6" s="1"/>
  <c r="DO114" i="6"/>
  <c r="EN114" i="6" s="1"/>
  <c r="DP114" i="6"/>
  <c r="DQ114" i="6"/>
  <c r="EP114" i="6" s="1"/>
  <c r="DS114" i="6"/>
  <c r="ER114" i="6" s="1"/>
  <c r="DT114" i="6"/>
  <c r="ES114" i="6" s="1"/>
  <c r="DU114" i="6"/>
  <c r="ET114" i="6" s="1"/>
  <c r="DV114" i="6"/>
  <c r="DW114" i="6"/>
  <c r="EV114" i="6" s="1"/>
  <c r="DX114" i="6"/>
  <c r="DY114" i="6"/>
  <c r="EX114" i="6" s="1"/>
  <c r="DZ114" i="6"/>
  <c r="EY114" i="6" s="1"/>
  <c r="EA114" i="6"/>
  <c r="EZ114" i="6" s="1"/>
  <c r="EC114" i="6"/>
  <c r="FB114" i="6" s="1"/>
  <c r="EE114" i="6"/>
  <c r="FD114" i="6" s="1"/>
  <c r="EF114" i="6"/>
  <c r="EG114" i="6"/>
  <c r="FF114" i="6" s="1"/>
  <c r="BD30" i="7"/>
  <c r="BB30" i="7"/>
  <c r="EO18" i="1"/>
  <c r="FN18" i="1" s="1"/>
  <c r="EP18" i="1"/>
  <c r="FO18" i="1" s="1"/>
  <c r="EQ18" i="1"/>
  <c r="FP18" i="1" s="1"/>
  <c r="ER18" i="1"/>
  <c r="FQ18" i="1" s="1"/>
  <c r="ES18" i="1"/>
  <c r="FR18" i="1" s="1"/>
  <c r="ET18" i="1"/>
  <c r="FS18" i="1" s="1"/>
  <c r="EU18" i="1"/>
  <c r="FT18" i="1" s="1"/>
  <c r="EV18" i="1"/>
  <c r="FU18" i="1" s="1"/>
  <c r="EW18" i="1"/>
  <c r="FV18" i="1" s="1"/>
  <c r="EX18" i="1"/>
  <c r="FW18" i="1" s="1"/>
  <c r="EY18" i="1"/>
  <c r="FX18" i="1" s="1"/>
  <c r="EZ18" i="1"/>
  <c r="FY18" i="1" s="1"/>
  <c r="FA18" i="1"/>
  <c r="FZ18" i="1" s="1"/>
  <c r="FB18" i="1"/>
  <c r="GA18" i="1" s="1"/>
  <c r="FC18" i="1"/>
  <c r="GB18" i="1" s="1"/>
  <c r="FD18" i="1"/>
  <c r="GC18" i="1" s="1"/>
  <c r="FE18" i="1"/>
  <c r="GD18" i="1" s="1"/>
  <c r="FF18" i="1"/>
  <c r="GE18" i="1" s="1"/>
  <c r="FG18" i="1"/>
  <c r="GF18" i="1" s="1"/>
  <c r="EO19" i="1"/>
  <c r="FN19" i="1" s="1"/>
  <c r="EP19" i="1"/>
  <c r="FO19" i="1" s="1"/>
  <c r="EQ19" i="1"/>
  <c r="FP19" i="1" s="1"/>
  <c r="ER19" i="1"/>
  <c r="FQ19" i="1" s="1"/>
  <c r="ES19" i="1"/>
  <c r="FR19" i="1" s="1"/>
  <c r="ET19" i="1"/>
  <c r="FS19" i="1" s="1"/>
  <c r="EU19" i="1"/>
  <c r="FT19" i="1" s="1"/>
  <c r="EV19" i="1"/>
  <c r="FU19" i="1" s="1"/>
  <c r="EW19" i="1"/>
  <c r="FV19" i="1" s="1"/>
  <c r="EX19" i="1"/>
  <c r="FW19" i="1" s="1"/>
  <c r="EY19" i="1"/>
  <c r="FX19" i="1" s="1"/>
  <c r="EZ19" i="1"/>
  <c r="FY19" i="1" s="1"/>
  <c r="FA19" i="1"/>
  <c r="FZ19" i="1" s="1"/>
  <c r="FB19" i="1"/>
  <c r="GA19" i="1" s="1"/>
  <c r="FC19" i="1"/>
  <c r="GB19" i="1" s="1"/>
  <c r="FD19" i="1"/>
  <c r="GC19" i="1" s="1"/>
  <c r="FE19" i="1"/>
  <c r="GD19" i="1" s="1"/>
  <c r="FF19" i="1"/>
  <c r="GE19" i="1" s="1"/>
  <c r="FG19" i="1"/>
  <c r="GF19" i="1" s="1"/>
  <c r="EO20" i="1"/>
  <c r="FN20" i="1" s="1"/>
  <c r="EP20" i="1"/>
  <c r="FO20" i="1" s="1"/>
  <c r="EQ20" i="1"/>
  <c r="FP20" i="1" s="1"/>
  <c r="ER20" i="1"/>
  <c r="FQ20" i="1" s="1"/>
  <c r="ES20" i="1"/>
  <c r="FR20" i="1" s="1"/>
  <c r="ET20" i="1"/>
  <c r="FS20" i="1" s="1"/>
  <c r="EU20" i="1"/>
  <c r="FT20" i="1" s="1"/>
  <c r="EV20" i="1"/>
  <c r="FU20" i="1" s="1"/>
  <c r="EW20" i="1"/>
  <c r="FV20" i="1" s="1"/>
  <c r="EX20" i="1"/>
  <c r="FW20" i="1" s="1"/>
  <c r="EY20" i="1"/>
  <c r="FX20" i="1" s="1"/>
  <c r="EZ20" i="1"/>
  <c r="FY20" i="1" s="1"/>
  <c r="FA20" i="1"/>
  <c r="FZ20" i="1" s="1"/>
  <c r="FB20" i="1"/>
  <c r="GA20" i="1" s="1"/>
  <c r="FC20" i="1"/>
  <c r="GB20" i="1" s="1"/>
  <c r="FD20" i="1"/>
  <c r="GC20" i="1" s="1"/>
  <c r="FE20" i="1"/>
  <c r="GD20" i="1" s="1"/>
  <c r="FF20" i="1"/>
  <c r="GE20" i="1" s="1"/>
  <c r="FG20" i="1"/>
  <c r="GF20" i="1" s="1"/>
  <c r="EO21" i="1"/>
  <c r="EP21" i="1"/>
  <c r="FO21" i="1" s="1"/>
  <c r="EQ21" i="1"/>
  <c r="FP21" i="1" s="1"/>
  <c r="ER21" i="1"/>
  <c r="FQ21" i="1" s="1"/>
  <c r="ES21" i="1"/>
  <c r="FR21" i="1" s="1"/>
  <c r="ET21" i="1"/>
  <c r="FS21" i="1" s="1"/>
  <c r="EU21" i="1"/>
  <c r="FT21" i="1" s="1"/>
  <c r="EV21" i="1"/>
  <c r="FU21" i="1" s="1"/>
  <c r="EW21" i="1"/>
  <c r="FV21" i="1" s="1"/>
  <c r="EX21" i="1"/>
  <c r="FW21" i="1" s="1"/>
  <c r="EY21" i="1"/>
  <c r="EZ21" i="1"/>
  <c r="FY21" i="1" s="1"/>
  <c r="FA21" i="1"/>
  <c r="FZ21" i="1" s="1"/>
  <c r="FB21" i="1"/>
  <c r="GA21" i="1" s="1"/>
  <c r="FC21" i="1"/>
  <c r="GB21" i="1" s="1"/>
  <c r="FD21" i="1"/>
  <c r="GC21" i="1" s="1"/>
  <c r="FE21" i="1"/>
  <c r="GD21" i="1" s="1"/>
  <c r="FF21" i="1"/>
  <c r="GE21" i="1" s="1"/>
  <c r="FG21" i="1"/>
  <c r="GF21" i="1" s="1"/>
  <c r="EO22" i="1"/>
  <c r="FN22" i="1" s="1"/>
  <c r="EP22" i="1"/>
  <c r="FO22" i="1" s="1"/>
  <c r="EQ22" i="1"/>
  <c r="FP22" i="1" s="1"/>
  <c r="ER22" i="1"/>
  <c r="FQ22" i="1" s="1"/>
  <c r="ES22" i="1"/>
  <c r="FR22" i="1" s="1"/>
  <c r="ET22" i="1"/>
  <c r="FS22" i="1" s="1"/>
  <c r="EU22" i="1"/>
  <c r="FT22" i="1" s="1"/>
  <c r="EV22" i="1"/>
  <c r="FU22" i="1" s="1"/>
  <c r="EW22" i="1"/>
  <c r="FV22" i="1" s="1"/>
  <c r="EX22" i="1"/>
  <c r="FW22" i="1" s="1"/>
  <c r="EY22" i="1"/>
  <c r="FX22" i="1" s="1"/>
  <c r="EZ22" i="1"/>
  <c r="FY22" i="1" s="1"/>
  <c r="FA22" i="1"/>
  <c r="FZ22" i="1" s="1"/>
  <c r="FB22" i="1"/>
  <c r="GA22" i="1" s="1"/>
  <c r="FC22" i="1"/>
  <c r="GB22" i="1" s="1"/>
  <c r="FD22" i="1"/>
  <c r="GC22" i="1" s="1"/>
  <c r="FE22" i="1"/>
  <c r="GD22" i="1" s="1"/>
  <c r="FF22" i="1"/>
  <c r="FG22" i="1"/>
  <c r="GF22" i="1" s="1"/>
  <c r="EO23" i="1"/>
  <c r="FN23" i="1" s="1"/>
  <c r="EP23" i="1"/>
  <c r="FO23" i="1" s="1"/>
  <c r="EQ23" i="1"/>
  <c r="FP23" i="1" s="1"/>
  <c r="ER23" i="1"/>
  <c r="FQ23" i="1" s="1"/>
  <c r="ES23" i="1"/>
  <c r="FR23" i="1" s="1"/>
  <c r="ET23" i="1"/>
  <c r="FS23" i="1" s="1"/>
  <c r="EU23" i="1"/>
  <c r="FT23" i="1" s="1"/>
  <c r="EV23" i="1"/>
  <c r="FU23" i="1" s="1"/>
  <c r="EW23" i="1"/>
  <c r="FV23" i="1" s="1"/>
  <c r="EX23" i="1"/>
  <c r="FW23" i="1" s="1"/>
  <c r="EY23" i="1"/>
  <c r="FX23" i="1" s="1"/>
  <c r="EZ23" i="1"/>
  <c r="FY23" i="1" s="1"/>
  <c r="FA23" i="1"/>
  <c r="FZ23" i="1" s="1"/>
  <c r="FB23" i="1"/>
  <c r="GA23" i="1" s="1"/>
  <c r="FC23" i="1"/>
  <c r="GB23" i="1" s="1"/>
  <c r="FD23" i="1"/>
  <c r="GC23" i="1" s="1"/>
  <c r="FE23" i="1"/>
  <c r="GD23" i="1" s="1"/>
  <c r="FF23" i="1"/>
  <c r="GE23" i="1" s="1"/>
  <c r="FG23" i="1"/>
  <c r="GF23" i="1" s="1"/>
  <c r="EO24" i="1"/>
  <c r="FN24" i="1" s="1"/>
  <c r="EP24" i="1"/>
  <c r="FO24" i="1" s="1"/>
  <c r="EQ24" i="1"/>
  <c r="FP24" i="1" s="1"/>
  <c r="ER24" i="1"/>
  <c r="FQ24" i="1" s="1"/>
  <c r="ES24" i="1"/>
  <c r="FR24" i="1" s="1"/>
  <c r="ET24" i="1"/>
  <c r="FS24" i="1" s="1"/>
  <c r="EU24" i="1"/>
  <c r="FT24" i="1" s="1"/>
  <c r="EV24" i="1"/>
  <c r="FU24" i="1" s="1"/>
  <c r="EW24" i="1"/>
  <c r="FV24" i="1" s="1"/>
  <c r="EX24" i="1"/>
  <c r="FW24" i="1" s="1"/>
  <c r="EY24" i="1"/>
  <c r="FX24" i="1" s="1"/>
  <c r="EZ24" i="1"/>
  <c r="FY24" i="1" s="1"/>
  <c r="FA24" i="1"/>
  <c r="FZ24" i="1" s="1"/>
  <c r="FB24" i="1"/>
  <c r="GA24" i="1" s="1"/>
  <c r="FC24" i="1"/>
  <c r="GB24" i="1" s="1"/>
  <c r="FD24" i="1"/>
  <c r="GC24" i="1" s="1"/>
  <c r="FE24" i="1"/>
  <c r="GD24" i="1" s="1"/>
  <c r="FF24" i="1"/>
  <c r="GE24" i="1" s="1"/>
  <c r="FG24" i="1"/>
  <c r="GF24" i="1" s="1"/>
  <c r="EO25" i="1"/>
  <c r="FN25" i="1" s="1"/>
  <c r="EP25" i="1"/>
  <c r="FO25" i="1" s="1"/>
  <c r="EQ25" i="1"/>
  <c r="FP25" i="1" s="1"/>
  <c r="ER25" i="1"/>
  <c r="FQ25" i="1" s="1"/>
  <c r="ES25" i="1"/>
  <c r="ET25" i="1"/>
  <c r="FS25" i="1" s="1"/>
  <c r="EU25" i="1"/>
  <c r="FT25" i="1" s="1"/>
  <c r="EV25" i="1"/>
  <c r="FU25" i="1" s="1"/>
  <c r="EW25" i="1"/>
  <c r="FV25" i="1" s="1"/>
  <c r="EX25" i="1"/>
  <c r="FW25" i="1" s="1"/>
  <c r="EY25" i="1"/>
  <c r="FX25" i="1" s="1"/>
  <c r="EZ25" i="1"/>
  <c r="FY25" i="1" s="1"/>
  <c r="FA25" i="1"/>
  <c r="FZ25" i="1" s="1"/>
  <c r="FB25" i="1"/>
  <c r="GA25" i="1" s="1"/>
  <c r="FC25" i="1"/>
  <c r="GB25" i="1" s="1"/>
  <c r="FD25" i="1"/>
  <c r="GC25" i="1" s="1"/>
  <c r="FE25" i="1"/>
  <c r="GD25" i="1" s="1"/>
  <c r="FF25" i="1"/>
  <c r="GE25" i="1" s="1"/>
  <c r="FG25" i="1"/>
  <c r="GF25" i="1" s="1"/>
  <c r="EO26" i="1"/>
  <c r="FN26" i="1" s="1"/>
  <c r="EP26" i="1"/>
  <c r="FO26" i="1" s="1"/>
  <c r="EQ26" i="1"/>
  <c r="FP26" i="1" s="1"/>
  <c r="ER26" i="1"/>
  <c r="FQ26" i="1" s="1"/>
  <c r="ES26" i="1"/>
  <c r="FR26" i="1" s="1"/>
  <c r="ET26" i="1"/>
  <c r="FS26" i="1" s="1"/>
  <c r="EU26" i="1"/>
  <c r="FT26" i="1" s="1"/>
  <c r="EV26" i="1"/>
  <c r="FU26" i="1" s="1"/>
  <c r="EW26" i="1"/>
  <c r="FV26" i="1" s="1"/>
  <c r="EX26" i="1"/>
  <c r="EY26" i="1"/>
  <c r="FX26" i="1" s="1"/>
  <c r="EZ26" i="1"/>
  <c r="FY26" i="1" s="1"/>
  <c r="FA26" i="1"/>
  <c r="FZ26" i="1" s="1"/>
  <c r="FB26" i="1"/>
  <c r="GA26" i="1" s="1"/>
  <c r="FC26" i="1"/>
  <c r="GB26" i="1" s="1"/>
  <c r="FD26" i="1"/>
  <c r="GC26" i="1" s="1"/>
  <c r="FE26" i="1"/>
  <c r="GD26" i="1" s="1"/>
  <c r="FF26" i="1"/>
  <c r="GE26" i="1" s="1"/>
  <c r="FG26" i="1"/>
  <c r="GF26" i="1" s="1"/>
  <c r="EO27" i="1"/>
  <c r="FN27" i="1" s="1"/>
  <c r="EP27" i="1"/>
  <c r="FO27" i="1" s="1"/>
  <c r="EQ27" i="1"/>
  <c r="FP27" i="1" s="1"/>
  <c r="ER27" i="1"/>
  <c r="FQ27" i="1" s="1"/>
  <c r="ES27" i="1"/>
  <c r="FR27" i="1" s="1"/>
  <c r="ET27" i="1"/>
  <c r="FS27" i="1" s="1"/>
  <c r="EU27" i="1"/>
  <c r="FT27" i="1" s="1"/>
  <c r="EV27" i="1"/>
  <c r="FU27" i="1" s="1"/>
  <c r="EW27" i="1"/>
  <c r="FV27" i="1" s="1"/>
  <c r="EX27" i="1"/>
  <c r="FW27" i="1" s="1"/>
  <c r="EY27" i="1"/>
  <c r="FX27" i="1" s="1"/>
  <c r="EZ27" i="1"/>
  <c r="FY27" i="1" s="1"/>
  <c r="FA27" i="1"/>
  <c r="FZ27" i="1" s="1"/>
  <c r="FB27" i="1"/>
  <c r="GA27" i="1" s="1"/>
  <c r="FC27" i="1"/>
  <c r="GB27" i="1" s="1"/>
  <c r="FD27" i="1"/>
  <c r="GC27" i="1" s="1"/>
  <c r="FE27" i="1"/>
  <c r="GD27" i="1" s="1"/>
  <c r="FF27" i="1"/>
  <c r="GE27" i="1" s="1"/>
  <c r="FG27" i="1"/>
  <c r="GF27" i="1" s="1"/>
  <c r="EO28" i="1"/>
  <c r="FN28" i="1" s="1"/>
  <c r="EP28" i="1"/>
  <c r="FO28" i="1" s="1"/>
  <c r="EQ28" i="1"/>
  <c r="FP28" i="1" s="1"/>
  <c r="ER28" i="1"/>
  <c r="FQ28" i="1" s="1"/>
  <c r="ES28" i="1"/>
  <c r="ET28" i="1"/>
  <c r="FS28" i="1" s="1"/>
  <c r="EU28" i="1"/>
  <c r="FT28" i="1" s="1"/>
  <c r="EV28" i="1"/>
  <c r="FU28" i="1" s="1"/>
  <c r="EW28" i="1"/>
  <c r="FV28" i="1" s="1"/>
  <c r="EX28" i="1"/>
  <c r="FW28" i="1" s="1"/>
  <c r="EY28" i="1"/>
  <c r="FX28" i="1" s="1"/>
  <c r="EZ28" i="1"/>
  <c r="FY28" i="1" s="1"/>
  <c r="FA28" i="1"/>
  <c r="FZ28" i="1" s="1"/>
  <c r="FB28" i="1"/>
  <c r="GA28" i="1" s="1"/>
  <c r="FC28" i="1"/>
  <c r="GB28" i="1" s="1"/>
  <c r="FD28" i="1"/>
  <c r="GC28" i="1" s="1"/>
  <c r="FE28" i="1"/>
  <c r="GD28" i="1" s="1"/>
  <c r="FF28" i="1"/>
  <c r="GE28" i="1" s="1"/>
  <c r="FG28" i="1"/>
  <c r="GF28" i="1" s="1"/>
  <c r="EO29" i="1"/>
  <c r="FN29" i="1" s="1"/>
  <c r="EP29" i="1"/>
  <c r="FO29" i="1" s="1"/>
  <c r="EQ29" i="1"/>
  <c r="FP29" i="1" s="1"/>
  <c r="ER29" i="1"/>
  <c r="FQ29" i="1" s="1"/>
  <c r="ES29" i="1"/>
  <c r="FR29" i="1" s="1"/>
  <c r="ET29" i="1"/>
  <c r="FS29" i="1" s="1"/>
  <c r="EU29" i="1"/>
  <c r="FT29" i="1" s="1"/>
  <c r="EV29" i="1"/>
  <c r="FU29" i="1" s="1"/>
  <c r="EW29" i="1"/>
  <c r="FV29" i="1" s="1"/>
  <c r="EX29" i="1"/>
  <c r="FW29" i="1" s="1"/>
  <c r="EY29" i="1"/>
  <c r="FX29" i="1" s="1"/>
  <c r="EZ29" i="1"/>
  <c r="FY29" i="1" s="1"/>
  <c r="FA29" i="1"/>
  <c r="FZ29" i="1" s="1"/>
  <c r="FB29" i="1"/>
  <c r="GA29" i="1" s="1"/>
  <c r="FC29" i="1"/>
  <c r="GB29" i="1" s="1"/>
  <c r="FD29" i="1"/>
  <c r="GC29" i="1" s="1"/>
  <c r="FE29" i="1"/>
  <c r="GD29" i="1" s="1"/>
  <c r="FF29" i="1"/>
  <c r="GE29" i="1" s="1"/>
  <c r="FG29" i="1"/>
  <c r="GF29" i="1" s="1"/>
  <c r="EO30" i="1"/>
  <c r="FN30" i="1" s="1"/>
  <c r="EP30" i="1"/>
  <c r="FO30" i="1" s="1"/>
  <c r="EQ30" i="1"/>
  <c r="FP30" i="1" s="1"/>
  <c r="ER30" i="1"/>
  <c r="FQ30" i="1" s="1"/>
  <c r="ES30" i="1"/>
  <c r="FR30" i="1" s="1"/>
  <c r="ET30" i="1"/>
  <c r="FS30" i="1" s="1"/>
  <c r="EU30" i="1"/>
  <c r="FT30" i="1" s="1"/>
  <c r="EV30" i="1"/>
  <c r="FU30" i="1" s="1"/>
  <c r="EW30" i="1"/>
  <c r="FV30" i="1" s="1"/>
  <c r="EX30" i="1"/>
  <c r="EY30" i="1"/>
  <c r="FX30" i="1" s="1"/>
  <c r="EZ30" i="1"/>
  <c r="FY30" i="1" s="1"/>
  <c r="FA30" i="1"/>
  <c r="FZ30" i="1" s="1"/>
  <c r="FB30" i="1"/>
  <c r="GA30" i="1" s="1"/>
  <c r="FC30" i="1"/>
  <c r="GB30" i="1" s="1"/>
  <c r="FD30" i="1"/>
  <c r="GC30" i="1" s="1"/>
  <c r="FE30" i="1"/>
  <c r="GD30" i="1" s="1"/>
  <c r="FF30" i="1"/>
  <c r="FG30" i="1"/>
  <c r="GF30" i="1" s="1"/>
  <c r="EO31" i="1"/>
  <c r="FN31" i="1" s="1"/>
  <c r="EP31" i="1"/>
  <c r="FO31" i="1" s="1"/>
  <c r="EQ31" i="1"/>
  <c r="FP31" i="1" s="1"/>
  <c r="ER31" i="1"/>
  <c r="FQ31" i="1" s="1"/>
  <c r="ES31" i="1"/>
  <c r="FR31" i="1" s="1"/>
  <c r="ET31" i="1"/>
  <c r="FS31" i="1" s="1"/>
  <c r="EU31" i="1"/>
  <c r="FT31" i="1" s="1"/>
  <c r="EV31" i="1"/>
  <c r="FU31" i="1" s="1"/>
  <c r="EW31" i="1"/>
  <c r="FV31" i="1" s="1"/>
  <c r="EX31" i="1"/>
  <c r="FW31" i="1" s="1"/>
  <c r="EY31" i="1"/>
  <c r="FX31" i="1" s="1"/>
  <c r="EZ31" i="1"/>
  <c r="FY31" i="1" s="1"/>
  <c r="FA31" i="1"/>
  <c r="FZ31" i="1" s="1"/>
  <c r="FB31" i="1"/>
  <c r="GA31" i="1" s="1"/>
  <c r="FC31" i="1"/>
  <c r="GB31" i="1" s="1"/>
  <c r="FD31" i="1"/>
  <c r="GC31" i="1" s="1"/>
  <c r="FE31" i="1"/>
  <c r="GD31" i="1" s="1"/>
  <c r="FF31" i="1"/>
  <c r="GE31" i="1" s="1"/>
  <c r="FG31" i="1"/>
  <c r="GF31" i="1" s="1"/>
  <c r="FN10" i="1"/>
  <c r="FO10" i="1"/>
  <c r="FP10" i="1"/>
  <c r="ER10" i="1"/>
  <c r="FQ10" i="1" s="1"/>
  <c r="ES10" i="1"/>
  <c r="FR10" i="1" s="1"/>
  <c r="ET10" i="1"/>
  <c r="FS10" i="1" s="1"/>
  <c r="EU10" i="1"/>
  <c r="FT10" i="1" s="1"/>
  <c r="EV10" i="1"/>
  <c r="FU10" i="1" s="1"/>
  <c r="EW10" i="1"/>
  <c r="FV10" i="1" s="1"/>
  <c r="EX10" i="1"/>
  <c r="EY10" i="1"/>
  <c r="FX10" i="1" s="1"/>
  <c r="EZ10" i="1"/>
  <c r="FY10" i="1" s="1"/>
  <c r="FA10" i="1"/>
  <c r="FZ10" i="1" s="1"/>
  <c r="FB10" i="1"/>
  <c r="GA10" i="1" s="1"/>
  <c r="FC10" i="1"/>
  <c r="GB10" i="1" s="1"/>
  <c r="FD10" i="1"/>
  <c r="GC10" i="1" s="1"/>
  <c r="FE10" i="1"/>
  <c r="GD10" i="1" s="1"/>
  <c r="FF10" i="1"/>
  <c r="GE10" i="1" s="1"/>
  <c r="FG10" i="1"/>
  <c r="GF10" i="1" s="1"/>
  <c r="FN11" i="1"/>
  <c r="FO11" i="1"/>
  <c r="FP11" i="1"/>
  <c r="ER11" i="1"/>
  <c r="FQ11" i="1" s="1"/>
  <c r="ES11" i="1"/>
  <c r="FR11" i="1" s="1"/>
  <c r="ET11" i="1"/>
  <c r="FS11" i="1" s="1"/>
  <c r="EU11" i="1"/>
  <c r="FT11" i="1" s="1"/>
  <c r="EV11" i="1"/>
  <c r="FU11" i="1" s="1"/>
  <c r="EW11" i="1"/>
  <c r="FV11" i="1" s="1"/>
  <c r="EX11" i="1"/>
  <c r="FW11" i="1" s="1"/>
  <c r="EY11" i="1"/>
  <c r="FX11" i="1" s="1"/>
  <c r="EZ11" i="1"/>
  <c r="FY11" i="1" s="1"/>
  <c r="FA11" i="1"/>
  <c r="FZ11" i="1" s="1"/>
  <c r="FB11" i="1"/>
  <c r="GA11" i="1" s="1"/>
  <c r="FC11" i="1"/>
  <c r="GB11" i="1" s="1"/>
  <c r="FD11" i="1"/>
  <c r="GC11" i="1" s="1"/>
  <c r="FE11" i="1"/>
  <c r="GD11" i="1" s="1"/>
  <c r="FF11" i="1"/>
  <c r="GE11" i="1" s="1"/>
  <c r="FG11" i="1"/>
  <c r="GF11" i="1" s="1"/>
  <c r="FN12" i="1"/>
  <c r="FO12" i="1"/>
  <c r="FP12" i="1"/>
  <c r="ER12" i="1"/>
  <c r="FQ12" i="1" s="1"/>
  <c r="ES12" i="1"/>
  <c r="FR12" i="1" s="1"/>
  <c r="ET12" i="1"/>
  <c r="FS12" i="1" s="1"/>
  <c r="EU12" i="1"/>
  <c r="FT12" i="1" s="1"/>
  <c r="EV12" i="1"/>
  <c r="FU12" i="1" s="1"/>
  <c r="EW12" i="1"/>
  <c r="FV12" i="1" s="1"/>
  <c r="EX12" i="1"/>
  <c r="FW12" i="1" s="1"/>
  <c r="EY12" i="1"/>
  <c r="FX12" i="1" s="1"/>
  <c r="EZ12" i="1"/>
  <c r="FY12" i="1" s="1"/>
  <c r="FA12" i="1"/>
  <c r="FZ12" i="1" s="1"/>
  <c r="FB12" i="1"/>
  <c r="GA12" i="1" s="1"/>
  <c r="FC12" i="1"/>
  <c r="GB12" i="1" s="1"/>
  <c r="FD12" i="1"/>
  <c r="GC12" i="1" s="1"/>
  <c r="FE12" i="1"/>
  <c r="GD12" i="1" s="1"/>
  <c r="FF12" i="1"/>
  <c r="GE12" i="1" s="1"/>
  <c r="FG12" i="1"/>
  <c r="GF12" i="1" s="1"/>
  <c r="FN13" i="1"/>
  <c r="FO13" i="1"/>
  <c r="FP13" i="1"/>
  <c r="ER13" i="1"/>
  <c r="FQ13" i="1" s="1"/>
  <c r="ES13" i="1"/>
  <c r="FR13" i="1" s="1"/>
  <c r="ET13" i="1"/>
  <c r="FS13" i="1" s="1"/>
  <c r="EU13" i="1"/>
  <c r="FT13" i="1" s="1"/>
  <c r="EV13" i="1"/>
  <c r="FU13" i="1" s="1"/>
  <c r="EW13" i="1"/>
  <c r="FV13" i="1" s="1"/>
  <c r="EX13" i="1"/>
  <c r="FW13" i="1" s="1"/>
  <c r="EY13" i="1"/>
  <c r="FX13" i="1" s="1"/>
  <c r="EZ13" i="1"/>
  <c r="FY13" i="1" s="1"/>
  <c r="FA13" i="1"/>
  <c r="FZ13" i="1" s="1"/>
  <c r="FB13" i="1"/>
  <c r="GA13" i="1" s="1"/>
  <c r="FC13" i="1"/>
  <c r="GB13" i="1" s="1"/>
  <c r="FD13" i="1"/>
  <c r="GC13" i="1" s="1"/>
  <c r="FE13" i="1"/>
  <c r="GD13" i="1" s="1"/>
  <c r="FF13" i="1"/>
  <c r="GE13" i="1" s="1"/>
  <c r="FG13" i="1"/>
  <c r="GF13" i="1" s="1"/>
  <c r="FN14" i="1"/>
  <c r="FO14" i="1"/>
  <c r="FP14" i="1"/>
  <c r="ER14" i="1"/>
  <c r="FQ14" i="1" s="1"/>
  <c r="ES14" i="1"/>
  <c r="FR14" i="1" s="1"/>
  <c r="ET14" i="1"/>
  <c r="FS14" i="1" s="1"/>
  <c r="EU14" i="1"/>
  <c r="FT14" i="1" s="1"/>
  <c r="EV14" i="1"/>
  <c r="FU14" i="1" s="1"/>
  <c r="EW14" i="1"/>
  <c r="FV14" i="1" s="1"/>
  <c r="EX14" i="1"/>
  <c r="FW14" i="1" s="1"/>
  <c r="EY14" i="1"/>
  <c r="FX14" i="1" s="1"/>
  <c r="EZ14" i="1"/>
  <c r="FY14" i="1" s="1"/>
  <c r="FA14" i="1"/>
  <c r="FZ14" i="1" s="1"/>
  <c r="FB14" i="1"/>
  <c r="GA14" i="1" s="1"/>
  <c r="FC14" i="1"/>
  <c r="GB14" i="1" s="1"/>
  <c r="FD14" i="1"/>
  <c r="GC14" i="1" s="1"/>
  <c r="FE14" i="1"/>
  <c r="GD14" i="1" s="1"/>
  <c r="FF14" i="1"/>
  <c r="GE14" i="1" s="1"/>
  <c r="FG14" i="1"/>
  <c r="GF14" i="1" s="1"/>
  <c r="FN15" i="1"/>
  <c r="FO15" i="1"/>
  <c r="FP15" i="1"/>
  <c r="ER15" i="1"/>
  <c r="FQ15" i="1" s="1"/>
  <c r="ES15" i="1"/>
  <c r="FR15" i="1" s="1"/>
  <c r="ET15" i="1"/>
  <c r="FS15" i="1" s="1"/>
  <c r="EU15" i="1"/>
  <c r="FT15" i="1" s="1"/>
  <c r="EV15" i="1"/>
  <c r="FU15" i="1" s="1"/>
  <c r="EW15" i="1"/>
  <c r="FV15" i="1" s="1"/>
  <c r="EX15" i="1"/>
  <c r="FW15" i="1" s="1"/>
  <c r="EY15" i="1"/>
  <c r="FX15" i="1" s="1"/>
  <c r="EZ15" i="1"/>
  <c r="FY15" i="1" s="1"/>
  <c r="FA15" i="1"/>
  <c r="FZ15" i="1" s="1"/>
  <c r="FB15" i="1"/>
  <c r="GA15" i="1" s="1"/>
  <c r="FC15" i="1"/>
  <c r="GB15" i="1" s="1"/>
  <c r="FD15" i="1"/>
  <c r="GC15" i="1" s="1"/>
  <c r="FE15" i="1"/>
  <c r="GD15" i="1" s="1"/>
  <c r="FF15" i="1"/>
  <c r="GE15" i="1" s="1"/>
  <c r="FG15" i="1"/>
  <c r="GF15" i="1" s="1"/>
  <c r="FN16" i="1"/>
  <c r="FO16" i="1"/>
  <c r="FP16" i="1"/>
  <c r="ER16" i="1"/>
  <c r="FQ16" i="1" s="1"/>
  <c r="ES16" i="1"/>
  <c r="FR16" i="1" s="1"/>
  <c r="ET16" i="1"/>
  <c r="FS16" i="1" s="1"/>
  <c r="EU16" i="1"/>
  <c r="FT16" i="1" s="1"/>
  <c r="EV16" i="1"/>
  <c r="FU16" i="1" s="1"/>
  <c r="EW16" i="1"/>
  <c r="FV16" i="1" s="1"/>
  <c r="EX16" i="1"/>
  <c r="FW16" i="1" s="1"/>
  <c r="EY16" i="1"/>
  <c r="FX16" i="1" s="1"/>
  <c r="EZ16" i="1"/>
  <c r="FY16" i="1" s="1"/>
  <c r="FA16" i="1"/>
  <c r="FZ16" i="1" s="1"/>
  <c r="FB16" i="1"/>
  <c r="GA16" i="1" s="1"/>
  <c r="FC16" i="1"/>
  <c r="GB16" i="1" s="1"/>
  <c r="FD16" i="1"/>
  <c r="GC16" i="1" s="1"/>
  <c r="FE16" i="1"/>
  <c r="GD16" i="1" s="1"/>
  <c r="FF16" i="1"/>
  <c r="GE16" i="1" s="1"/>
  <c r="FG16" i="1"/>
  <c r="GF16" i="1" s="1"/>
  <c r="EO17" i="1"/>
  <c r="FN17" i="1" s="1"/>
  <c r="EP17" i="1"/>
  <c r="FO17" i="1" s="1"/>
  <c r="EQ17" i="1"/>
  <c r="FP17" i="1" s="1"/>
  <c r="ER17" i="1"/>
  <c r="FQ17" i="1" s="1"/>
  <c r="ES17" i="1"/>
  <c r="FR17" i="1" s="1"/>
  <c r="ET17" i="1"/>
  <c r="FS17" i="1" s="1"/>
  <c r="EU17" i="1"/>
  <c r="FT17" i="1" s="1"/>
  <c r="EV17" i="1"/>
  <c r="FU17" i="1" s="1"/>
  <c r="EW17" i="1"/>
  <c r="FV17" i="1" s="1"/>
  <c r="EX17" i="1"/>
  <c r="FW17" i="1" s="1"/>
  <c r="EY17" i="1"/>
  <c r="FX17" i="1" s="1"/>
  <c r="EZ17" i="1"/>
  <c r="FY17" i="1" s="1"/>
  <c r="FA17" i="1"/>
  <c r="FZ17" i="1" s="1"/>
  <c r="FB17" i="1"/>
  <c r="GA17" i="1" s="1"/>
  <c r="FC17" i="1"/>
  <c r="GB17" i="1" s="1"/>
  <c r="FD17" i="1"/>
  <c r="GC17" i="1" s="1"/>
  <c r="FE17" i="1"/>
  <c r="GD17" i="1" s="1"/>
  <c r="FF17" i="1"/>
  <c r="GE17" i="1" s="1"/>
  <c r="FG17" i="1"/>
  <c r="GF17" i="1" s="1"/>
  <c r="EO6" i="1"/>
  <c r="FN6" i="1" s="1"/>
  <c r="EP6" i="1"/>
  <c r="FO6" i="1" s="1"/>
  <c r="EQ6" i="1"/>
  <c r="FP6" i="1" s="1"/>
  <c r="ER6" i="1"/>
  <c r="FQ6" i="1" s="1"/>
  <c r="ES6" i="1"/>
  <c r="FR6" i="1" s="1"/>
  <c r="ET6" i="1"/>
  <c r="FS6" i="1" s="1"/>
  <c r="EU6" i="1"/>
  <c r="FT6" i="1" s="1"/>
  <c r="EV6" i="1"/>
  <c r="FU6" i="1" s="1"/>
  <c r="EW6" i="1"/>
  <c r="FV6" i="1" s="1"/>
  <c r="EX6" i="1"/>
  <c r="EY6" i="1"/>
  <c r="FX6" i="1" s="1"/>
  <c r="EZ6" i="1"/>
  <c r="FY6" i="1" s="1"/>
  <c r="FA6" i="1"/>
  <c r="FZ6" i="1" s="1"/>
  <c r="FB6" i="1"/>
  <c r="GA6" i="1" s="1"/>
  <c r="FC6" i="1"/>
  <c r="GB6" i="1" s="1"/>
  <c r="FD6" i="1"/>
  <c r="GC6" i="1" s="1"/>
  <c r="FE6" i="1"/>
  <c r="GD6" i="1" s="1"/>
  <c r="FF6" i="1"/>
  <c r="FG6" i="1"/>
  <c r="GF6" i="1" s="1"/>
  <c r="FN7" i="1"/>
  <c r="FO7" i="1"/>
  <c r="FP7" i="1"/>
  <c r="ER7" i="1"/>
  <c r="FQ7" i="1" s="1"/>
  <c r="ES7" i="1"/>
  <c r="FR7" i="1" s="1"/>
  <c r="ET7" i="1"/>
  <c r="FS7" i="1" s="1"/>
  <c r="EU7" i="1"/>
  <c r="FT7" i="1" s="1"/>
  <c r="EV7" i="1"/>
  <c r="FU7" i="1" s="1"/>
  <c r="EW7" i="1"/>
  <c r="FV7" i="1" s="1"/>
  <c r="EX7" i="1"/>
  <c r="FW7" i="1" s="1"/>
  <c r="EY7" i="1"/>
  <c r="FX7" i="1" s="1"/>
  <c r="EZ7" i="1"/>
  <c r="FY7" i="1" s="1"/>
  <c r="FA7" i="1"/>
  <c r="FZ7" i="1" s="1"/>
  <c r="FB7" i="1"/>
  <c r="GA7" i="1" s="1"/>
  <c r="FC7" i="1"/>
  <c r="GB7" i="1" s="1"/>
  <c r="FD7" i="1"/>
  <c r="GC7" i="1" s="1"/>
  <c r="FE7" i="1"/>
  <c r="GD7" i="1" s="1"/>
  <c r="FF7" i="1"/>
  <c r="GE7" i="1" s="1"/>
  <c r="FG7" i="1"/>
  <c r="GF7" i="1" s="1"/>
  <c r="FN8" i="1"/>
  <c r="FO8" i="1"/>
  <c r="FP8" i="1"/>
  <c r="ER8" i="1"/>
  <c r="FQ8" i="1" s="1"/>
  <c r="ES8" i="1"/>
  <c r="FR8" i="1" s="1"/>
  <c r="ET8" i="1"/>
  <c r="FS8" i="1" s="1"/>
  <c r="EU8" i="1"/>
  <c r="FT8" i="1" s="1"/>
  <c r="EV8" i="1"/>
  <c r="FU8" i="1" s="1"/>
  <c r="EW8" i="1"/>
  <c r="FV8" i="1" s="1"/>
  <c r="EX8" i="1"/>
  <c r="FW8" i="1" s="1"/>
  <c r="EY8" i="1"/>
  <c r="FX8" i="1" s="1"/>
  <c r="EZ8" i="1"/>
  <c r="FY8" i="1" s="1"/>
  <c r="FA8" i="1"/>
  <c r="FZ8" i="1" s="1"/>
  <c r="FB8" i="1"/>
  <c r="GA8" i="1" s="1"/>
  <c r="FC8" i="1"/>
  <c r="GB8" i="1" s="1"/>
  <c r="FD8" i="1"/>
  <c r="GC8" i="1" s="1"/>
  <c r="FE8" i="1"/>
  <c r="GD8" i="1" s="1"/>
  <c r="FF8" i="1"/>
  <c r="GE8" i="1" s="1"/>
  <c r="FG8" i="1"/>
  <c r="GF8" i="1" s="1"/>
  <c r="FN9" i="1"/>
  <c r="FO9" i="1"/>
  <c r="FP9" i="1"/>
  <c r="ER9" i="1"/>
  <c r="FQ9" i="1" s="1"/>
  <c r="ES9" i="1"/>
  <c r="FR9" i="1" s="1"/>
  <c r="ET9" i="1"/>
  <c r="FS9" i="1" s="1"/>
  <c r="EU9" i="1"/>
  <c r="FT9" i="1" s="1"/>
  <c r="EV9" i="1"/>
  <c r="FU9" i="1" s="1"/>
  <c r="EW9" i="1"/>
  <c r="FV9" i="1" s="1"/>
  <c r="EX9" i="1"/>
  <c r="FW9" i="1" s="1"/>
  <c r="EY9" i="1"/>
  <c r="FX9" i="1" s="1"/>
  <c r="EZ9" i="1"/>
  <c r="FY9" i="1" s="1"/>
  <c r="FA9" i="1"/>
  <c r="FZ9" i="1" s="1"/>
  <c r="FB9" i="1"/>
  <c r="GA9" i="1" s="1"/>
  <c r="FC9" i="1"/>
  <c r="GB9" i="1" s="1"/>
  <c r="FD9" i="1"/>
  <c r="GC9" i="1" s="1"/>
  <c r="FE9" i="1"/>
  <c r="GD9" i="1" s="1"/>
  <c r="FF9" i="1"/>
  <c r="GE9" i="1" s="1"/>
  <c r="FG9" i="1"/>
  <c r="GF9" i="1" s="1"/>
  <c r="BF30" i="7"/>
  <c r="BO30" i="7" s="1"/>
  <c r="BK30" i="7"/>
  <c r="BC30" i="7"/>
  <c r="BL30" i="7" s="1"/>
  <c r="BA30" i="7"/>
  <c r="BJ30" i="7" s="1"/>
  <c r="BE30" i="7"/>
  <c r="BN30" i="7" s="1"/>
  <c r="BG30" i="7"/>
  <c r="BP30" i="7" s="1"/>
  <c r="BA45" i="9"/>
  <c r="BJ45" i="9" s="1"/>
  <c r="BA6" i="9"/>
  <c r="BJ6" i="9" s="1"/>
  <c r="BB6" i="9"/>
  <c r="BK6" i="9" s="1"/>
  <c r="BC6" i="9"/>
  <c r="BL6" i="9" s="1"/>
  <c r="BD6" i="9"/>
  <c r="BM6" i="9" s="1"/>
  <c r="BE6" i="9"/>
  <c r="BN6" i="9" s="1"/>
  <c r="BF6" i="9"/>
  <c r="BO6" i="9" s="1"/>
  <c r="BG6" i="9"/>
  <c r="BP6" i="9" s="1"/>
  <c r="BA5" i="10"/>
  <c r="BB5" i="10"/>
  <c r="BC5" i="10"/>
  <c r="BD5" i="10"/>
  <c r="EE6" i="6"/>
  <c r="EF6" i="6"/>
  <c r="EG6" i="6"/>
  <c r="FF6" i="6" s="1"/>
  <c r="EC6" i="6"/>
  <c r="FB6" i="6" s="1"/>
  <c r="DS6" i="6"/>
  <c r="DT6" i="6"/>
  <c r="ES6" i="6" s="1"/>
  <c r="DU6" i="6"/>
  <c r="ET6" i="6" s="1"/>
  <c r="DV6" i="6"/>
  <c r="EU6" i="6" s="1"/>
  <c r="DW6" i="6"/>
  <c r="EV6" i="6" s="1"/>
  <c r="DX6" i="6"/>
  <c r="DY6" i="6"/>
  <c r="EX6" i="6" s="1"/>
  <c r="DZ6" i="6"/>
  <c r="EY6" i="6" s="1"/>
  <c r="EA6" i="6"/>
  <c r="EZ6" i="6" s="1"/>
  <c r="DO6" i="6"/>
  <c r="DP6" i="6"/>
  <c r="DQ6" i="6"/>
  <c r="A3" i="10" a="1"/>
  <c r="A3" i="10" s="1"/>
  <c r="BA6" i="10"/>
  <c r="BB6" i="10"/>
  <c r="BC6" i="10"/>
  <c r="BD6" i="10"/>
  <c r="BA7" i="10"/>
  <c r="BB7" i="10"/>
  <c r="BC7" i="10"/>
  <c r="BD7" i="10"/>
  <c r="BA8" i="10"/>
  <c r="BB8" i="10"/>
  <c r="BC8" i="10"/>
  <c r="BD8" i="10"/>
  <c r="BA9" i="10"/>
  <c r="BB9" i="10"/>
  <c r="BC9" i="10"/>
  <c r="BD9" i="10"/>
  <c r="BA10" i="10"/>
  <c r="BB10" i="10"/>
  <c r="BC10" i="10"/>
  <c r="BD10" i="10"/>
  <c r="BA11" i="10"/>
  <c r="BB11" i="10"/>
  <c r="BC11" i="10"/>
  <c r="BD11" i="10"/>
  <c r="BA12" i="10"/>
  <c r="BB12" i="10"/>
  <c r="BC12" i="10"/>
  <c r="BD12" i="10"/>
  <c r="BA13" i="10"/>
  <c r="BB13" i="10"/>
  <c r="BC13" i="10"/>
  <c r="BD13" i="10"/>
  <c r="BA14" i="10"/>
  <c r="BB14" i="10"/>
  <c r="BC14" i="10"/>
  <c r="BD14" i="10"/>
  <c r="BA15" i="10"/>
  <c r="BB15" i="10"/>
  <c r="BC15" i="10"/>
  <c r="BD15" i="10"/>
  <c r="BA16" i="10"/>
  <c r="BB16" i="10"/>
  <c r="BC16" i="10"/>
  <c r="BD16" i="10"/>
  <c r="BA17" i="10"/>
  <c r="BB17" i="10"/>
  <c r="BC17" i="10"/>
  <c r="BD17" i="10"/>
  <c r="BA18" i="10"/>
  <c r="BB18" i="10"/>
  <c r="BC18" i="10"/>
  <c r="BD18" i="10"/>
  <c r="BA19" i="10"/>
  <c r="BB19" i="10"/>
  <c r="BC19" i="10"/>
  <c r="BD19" i="10"/>
  <c r="BA20" i="10"/>
  <c r="BB20" i="10"/>
  <c r="BC20" i="10"/>
  <c r="BD20" i="10"/>
  <c r="BA21" i="10"/>
  <c r="BB21" i="10"/>
  <c r="BC21" i="10"/>
  <c r="BD21" i="10"/>
  <c r="BA22" i="10"/>
  <c r="BB22" i="10"/>
  <c r="BC22" i="10"/>
  <c r="BD22" i="10"/>
  <c r="BA23" i="10"/>
  <c r="BB23" i="10"/>
  <c r="BC23" i="10"/>
  <c r="BD23" i="10"/>
  <c r="BA24" i="10"/>
  <c r="BB24" i="10"/>
  <c r="BC24" i="10"/>
  <c r="BD24" i="10"/>
  <c r="BA25" i="10"/>
  <c r="BB25" i="10"/>
  <c r="BC25" i="10"/>
  <c r="BD25" i="10"/>
  <c r="BA26" i="10"/>
  <c r="BB26" i="10"/>
  <c r="BC26" i="10"/>
  <c r="BD26" i="10"/>
  <c r="BA27" i="10"/>
  <c r="BB27" i="10"/>
  <c r="BC27" i="10"/>
  <c r="BD27" i="10"/>
  <c r="BA28" i="10"/>
  <c r="BB28" i="10"/>
  <c r="BC28" i="10"/>
  <c r="BD28" i="10"/>
  <c r="BA29" i="10"/>
  <c r="BB29" i="10"/>
  <c r="BC29" i="10"/>
  <c r="BD29" i="10"/>
  <c r="BA30" i="10"/>
  <c r="BB30" i="10"/>
  <c r="BC30" i="10"/>
  <c r="BD30" i="10"/>
  <c r="BA31" i="10"/>
  <c r="BB31" i="10"/>
  <c r="BC31" i="10"/>
  <c r="BD31" i="10"/>
  <c r="BA32" i="10"/>
  <c r="BB32" i="10"/>
  <c r="BC32" i="10"/>
  <c r="BD32" i="10"/>
  <c r="BA33" i="10"/>
  <c r="BB33" i="10"/>
  <c r="BC33" i="10"/>
  <c r="BD33" i="10"/>
  <c r="BA34" i="10"/>
  <c r="BB34" i="10"/>
  <c r="BC34" i="10"/>
  <c r="BD34" i="10"/>
  <c r="BA35" i="10"/>
  <c r="BB35" i="10"/>
  <c r="BC35" i="10"/>
  <c r="BD35" i="10"/>
  <c r="BA36" i="10"/>
  <c r="BB36" i="10"/>
  <c r="BC36" i="10"/>
  <c r="BD36" i="10"/>
  <c r="BA37" i="10"/>
  <c r="BB37" i="10"/>
  <c r="BC37" i="10"/>
  <c r="BD37" i="10"/>
  <c r="BA38" i="10"/>
  <c r="BB38" i="10"/>
  <c r="BC38" i="10"/>
  <c r="BD38" i="10"/>
  <c r="BA39" i="10"/>
  <c r="BB39" i="10"/>
  <c r="BC39" i="10"/>
  <c r="BD39" i="10"/>
  <c r="BA40" i="10"/>
  <c r="BB40" i="10"/>
  <c r="BC40" i="10"/>
  <c r="BD40" i="10"/>
  <c r="BA41" i="10"/>
  <c r="BB41" i="10"/>
  <c r="BC41" i="10"/>
  <c r="BD41" i="10"/>
  <c r="BA42" i="10"/>
  <c r="BB42" i="10"/>
  <c r="BC42" i="10"/>
  <c r="BD42" i="10"/>
  <c r="BA43" i="10"/>
  <c r="BB43" i="10"/>
  <c r="BC43" i="10"/>
  <c r="BD43" i="10"/>
  <c r="BA44" i="10"/>
  <c r="BB44" i="10"/>
  <c r="BC44" i="10"/>
  <c r="BD44" i="10"/>
  <c r="BA45" i="10"/>
  <c r="BB45" i="10"/>
  <c r="BC45" i="10"/>
  <c r="BD45" i="10"/>
  <c r="BA46" i="10"/>
  <c r="BB46" i="10"/>
  <c r="BC46" i="10"/>
  <c r="BD46" i="10"/>
  <c r="BA47" i="10"/>
  <c r="BB47" i="10"/>
  <c r="BC47" i="10"/>
  <c r="BD47" i="10"/>
  <c r="BA48" i="10"/>
  <c r="BB48" i="10"/>
  <c r="BC48" i="10"/>
  <c r="BD48" i="10"/>
  <c r="BA49" i="10"/>
  <c r="BB49" i="10"/>
  <c r="BC49" i="10"/>
  <c r="BD49" i="10"/>
  <c r="BA50" i="10"/>
  <c r="BB50" i="10"/>
  <c r="BC50" i="10"/>
  <c r="BD50" i="10"/>
  <c r="BA51" i="10"/>
  <c r="BB51" i="10"/>
  <c r="BC51" i="10"/>
  <c r="BD51" i="10"/>
  <c r="BA52" i="10"/>
  <c r="BB52" i="10"/>
  <c r="BC52" i="10"/>
  <c r="BD52" i="10"/>
  <c r="BA53" i="10"/>
  <c r="BB53" i="10"/>
  <c r="BC53" i="10"/>
  <c r="BD53" i="10"/>
  <c r="BA54" i="10"/>
  <c r="BB54" i="10"/>
  <c r="BC54" i="10"/>
  <c r="BD54" i="10"/>
  <c r="BA55" i="10"/>
  <c r="BB55" i="10"/>
  <c r="BC55" i="10"/>
  <c r="BD55" i="10"/>
  <c r="BA56" i="10"/>
  <c r="BB56" i="10"/>
  <c r="BC56" i="10"/>
  <c r="BD56" i="10"/>
  <c r="BA57" i="10"/>
  <c r="BB57" i="10"/>
  <c r="BC57" i="10"/>
  <c r="BD57" i="10"/>
  <c r="BA58" i="10"/>
  <c r="BB58" i="10"/>
  <c r="BC58" i="10"/>
  <c r="BD58" i="10"/>
  <c r="BA59" i="10"/>
  <c r="BB59" i="10"/>
  <c r="BC59" i="10"/>
  <c r="BD59" i="10"/>
  <c r="BA60" i="10"/>
  <c r="BB60" i="10"/>
  <c r="BC60" i="10"/>
  <c r="BD60" i="10"/>
  <c r="BA61" i="10"/>
  <c r="BB61" i="10"/>
  <c r="BC61" i="10"/>
  <c r="BD61" i="10"/>
  <c r="BA62" i="10"/>
  <c r="BB62" i="10"/>
  <c r="BC62" i="10"/>
  <c r="BD62" i="10"/>
  <c r="BA63" i="10"/>
  <c r="BB63" i="10"/>
  <c r="BC63" i="10"/>
  <c r="BD63" i="10"/>
  <c r="BA64" i="10"/>
  <c r="BB64" i="10"/>
  <c r="BC64" i="10"/>
  <c r="BD64" i="10"/>
  <c r="BA65" i="10"/>
  <c r="BB65" i="10"/>
  <c r="BC65" i="10"/>
  <c r="BD65" i="10"/>
  <c r="BA66" i="10"/>
  <c r="BB66" i="10"/>
  <c r="BC66" i="10"/>
  <c r="BD66" i="10"/>
  <c r="BA67" i="10"/>
  <c r="BB67" i="10"/>
  <c r="BC67" i="10"/>
  <c r="BD67" i="10"/>
  <c r="BA68" i="10"/>
  <c r="BB68" i="10"/>
  <c r="BC68" i="10"/>
  <c r="BD68" i="10"/>
  <c r="BA69" i="10"/>
  <c r="BB69" i="10"/>
  <c r="BC69" i="10"/>
  <c r="BD69" i="10"/>
  <c r="BA70" i="10"/>
  <c r="BB70" i="10"/>
  <c r="BC70" i="10"/>
  <c r="BD70" i="10"/>
  <c r="BA71" i="10"/>
  <c r="BB71" i="10"/>
  <c r="BC71" i="10"/>
  <c r="BD71" i="10"/>
  <c r="BA72" i="10"/>
  <c r="BB72" i="10"/>
  <c r="BC72" i="10"/>
  <c r="BD72" i="10"/>
  <c r="BA73" i="10"/>
  <c r="BB73" i="10"/>
  <c r="BC73" i="10"/>
  <c r="BD73" i="10"/>
  <c r="BA74" i="10"/>
  <c r="BB74" i="10"/>
  <c r="BC74" i="10"/>
  <c r="BD74" i="10"/>
  <c r="BA75" i="10"/>
  <c r="BB75" i="10"/>
  <c r="BC75" i="10"/>
  <c r="BD75" i="10"/>
  <c r="BA76" i="10"/>
  <c r="BB76" i="10"/>
  <c r="BC76" i="10"/>
  <c r="BD76" i="10"/>
  <c r="BA77" i="10"/>
  <c r="BB77" i="10"/>
  <c r="BC77" i="10"/>
  <c r="BD77" i="10"/>
  <c r="BA78" i="10"/>
  <c r="BB78" i="10"/>
  <c r="BC78" i="10"/>
  <c r="BD78" i="10"/>
  <c r="BA79" i="10"/>
  <c r="BB79" i="10"/>
  <c r="BC79" i="10"/>
  <c r="BD79" i="10"/>
  <c r="BA80" i="10"/>
  <c r="BB80" i="10"/>
  <c r="BC80" i="10"/>
  <c r="BD80" i="10"/>
  <c r="BA81" i="10"/>
  <c r="BB81" i="10"/>
  <c r="BC81" i="10"/>
  <c r="BD81" i="10"/>
  <c r="BA82" i="10"/>
  <c r="BB82" i="10"/>
  <c r="BC82" i="10"/>
  <c r="BD82" i="10"/>
  <c r="BA83" i="10"/>
  <c r="BB83" i="10"/>
  <c r="BC83" i="10"/>
  <c r="BD83" i="10"/>
  <c r="BA84" i="10"/>
  <c r="BB84" i="10"/>
  <c r="BC84" i="10"/>
  <c r="BD84" i="10"/>
  <c r="BA85" i="10"/>
  <c r="BB85" i="10"/>
  <c r="BC85" i="10"/>
  <c r="BD85" i="10"/>
  <c r="BA86" i="10"/>
  <c r="BB86" i="10"/>
  <c r="BC86" i="10"/>
  <c r="BD86" i="10"/>
  <c r="BA87" i="10"/>
  <c r="BB87" i="10"/>
  <c r="BC87" i="10"/>
  <c r="BD87" i="10"/>
  <c r="BA88" i="10"/>
  <c r="BB88" i="10"/>
  <c r="BC88" i="10"/>
  <c r="BD88" i="10"/>
  <c r="A4" i="9" a="1"/>
  <c r="A4" i="9" s="1"/>
  <c r="BA70" i="9"/>
  <c r="BJ70" i="9" s="1"/>
  <c r="BB70" i="9"/>
  <c r="BK70" i="9" s="1"/>
  <c r="BC70" i="9"/>
  <c r="BL70" i="9" s="1"/>
  <c r="BD70" i="9"/>
  <c r="BM70" i="9" s="1"/>
  <c r="BE70" i="9"/>
  <c r="BN70" i="9" s="1"/>
  <c r="BF70" i="9"/>
  <c r="BO70" i="9" s="1"/>
  <c r="BG70" i="9"/>
  <c r="BP70" i="9" s="1"/>
  <c r="BA71" i="9"/>
  <c r="BJ71" i="9" s="1"/>
  <c r="BB71" i="9"/>
  <c r="BK71" i="9" s="1"/>
  <c r="BC71" i="9"/>
  <c r="BL71" i="9" s="1"/>
  <c r="BD71" i="9"/>
  <c r="BM71" i="9" s="1"/>
  <c r="BE71" i="9"/>
  <c r="BN71" i="9" s="1"/>
  <c r="BF71" i="9"/>
  <c r="BO71" i="9" s="1"/>
  <c r="BG71" i="9"/>
  <c r="BP71" i="9" s="1"/>
  <c r="BA72" i="9"/>
  <c r="BJ72" i="9" s="1"/>
  <c r="BB72" i="9"/>
  <c r="BK72" i="9" s="1"/>
  <c r="BC72" i="9"/>
  <c r="BL72" i="9" s="1"/>
  <c r="BD72" i="9"/>
  <c r="BM72" i="9" s="1"/>
  <c r="BE72" i="9"/>
  <c r="BN72" i="9" s="1"/>
  <c r="BF72" i="9"/>
  <c r="BO72" i="9" s="1"/>
  <c r="BG72" i="9"/>
  <c r="BP72" i="9" s="1"/>
  <c r="BA73" i="9"/>
  <c r="BB73" i="9"/>
  <c r="BK73" i="9" s="1"/>
  <c r="BC73" i="9"/>
  <c r="BL73" i="9" s="1"/>
  <c r="BD73" i="9"/>
  <c r="BM73" i="9" s="1"/>
  <c r="BE73" i="9"/>
  <c r="BN73" i="9" s="1"/>
  <c r="BF73" i="9"/>
  <c r="BO73" i="9" s="1"/>
  <c r="BG73" i="9"/>
  <c r="BP73" i="9" s="1"/>
  <c r="BA74" i="9"/>
  <c r="BJ74" i="9" s="1"/>
  <c r="BB74" i="9"/>
  <c r="BK74" i="9" s="1"/>
  <c r="BC74" i="9"/>
  <c r="BL74" i="9" s="1"/>
  <c r="BD74" i="9"/>
  <c r="BM74" i="9" s="1"/>
  <c r="BE74" i="9"/>
  <c r="BN74" i="9" s="1"/>
  <c r="BF74" i="9"/>
  <c r="BO74" i="9" s="1"/>
  <c r="BG74" i="9"/>
  <c r="BP74" i="9" s="1"/>
  <c r="BA75" i="9"/>
  <c r="BJ75" i="9" s="1"/>
  <c r="BB75" i="9"/>
  <c r="BK75" i="9" s="1"/>
  <c r="BC75" i="9"/>
  <c r="BL75" i="9" s="1"/>
  <c r="BD75" i="9"/>
  <c r="BM75" i="9" s="1"/>
  <c r="BE75" i="9"/>
  <c r="BN75" i="9" s="1"/>
  <c r="BF75" i="9"/>
  <c r="BO75" i="9" s="1"/>
  <c r="BG75" i="9"/>
  <c r="BP75" i="9" s="1"/>
  <c r="BA76" i="9"/>
  <c r="BB76" i="9"/>
  <c r="BK76" i="9" s="1"/>
  <c r="BC76" i="9"/>
  <c r="BL76" i="9" s="1"/>
  <c r="BD76" i="9"/>
  <c r="BM76" i="9" s="1"/>
  <c r="BE76" i="9"/>
  <c r="BN76" i="9" s="1"/>
  <c r="BF76" i="9"/>
  <c r="BO76" i="9" s="1"/>
  <c r="BG76" i="9"/>
  <c r="BP76" i="9" s="1"/>
  <c r="BA77" i="9"/>
  <c r="BJ77" i="9" s="1"/>
  <c r="BB77" i="9"/>
  <c r="BK77" i="9" s="1"/>
  <c r="BC77" i="9"/>
  <c r="BL77" i="9" s="1"/>
  <c r="BD77" i="9"/>
  <c r="BM77" i="9" s="1"/>
  <c r="BE77" i="9"/>
  <c r="BN77" i="9" s="1"/>
  <c r="BF77" i="9"/>
  <c r="BO77" i="9" s="1"/>
  <c r="BG77" i="9"/>
  <c r="BP77" i="9" s="1"/>
  <c r="BA78" i="9"/>
  <c r="BB78" i="9"/>
  <c r="BK78" i="9" s="1"/>
  <c r="BC78" i="9"/>
  <c r="BL78" i="9" s="1"/>
  <c r="BD78" i="9"/>
  <c r="BM78" i="9" s="1"/>
  <c r="BE78" i="9"/>
  <c r="BN78" i="9" s="1"/>
  <c r="BF78" i="9"/>
  <c r="BO78" i="9" s="1"/>
  <c r="BG78" i="9"/>
  <c r="BP78" i="9" s="1"/>
  <c r="BA79" i="9"/>
  <c r="BJ79" i="9" s="1"/>
  <c r="BB79" i="9"/>
  <c r="BK79" i="9" s="1"/>
  <c r="BC79" i="9"/>
  <c r="BD79" i="9"/>
  <c r="BM79" i="9" s="1"/>
  <c r="BE79" i="9"/>
  <c r="BN79" i="9" s="1"/>
  <c r="BF79" i="9"/>
  <c r="BO79" i="9" s="1"/>
  <c r="BG79" i="9"/>
  <c r="BP79" i="9" s="1"/>
  <c r="BA80" i="9"/>
  <c r="BJ80" i="9" s="1"/>
  <c r="BB80" i="9"/>
  <c r="BK80" i="9" s="1"/>
  <c r="BC80" i="9"/>
  <c r="BL80" i="9" s="1"/>
  <c r="BD80" i="9"/>
  <c r="BM80" i="9" s="1"/>
  <c r="BE80" i="9"/>
  <c r="BN80" i="9" s="1"/>
  <c r="BF80" i="9"/>
  <c r="BO80" i="9" s="1"/>
  <c r="BG80" i="9"/>
  <c r="BP80" i="9" s="1"/>
  <c r="BA81" i="9"/>
  <c r="BJ81" i="9" s="1"/>
  <c r="BB81" i="9"/>
  <c r="BK81" i="9" s="1"/>
  <c r="BC81" i="9"/>
  <c r="BL81" i="9" s="1"/>
  <c r="BD81" i="9"/>
  <c r="BM81" i="9" s="1"/>
  <c r="BE81" i="9"/>
  <c r="BN81" i="9" s="1"/>
  <c r="BF81" i="9"/>
  <c r="BO81" i="9" s="1"/>
  <c r="BG81" i="9"/>
  <c r="BA82" i="9"/>
  <c r="BB82" i="9"/>
  <c r="BK82" i="9" s="1"/>
  <c r="BC82" i="9"/>
  <c r="BL82" i="9" s="1"/>
  <c r="BD82" i="9"/>
  <c r="BM82" i="9" s="1"/>
  <c r="BE82" i="9"/>
  <c r="BN82" i="9" s="1"/>
  <c r="BF82" i="9"/>
  <c r="BO82" i="9" s="1"/>
  <c r="BG82" i="9"/>
  <c r="BP82" i="9" s="1"/>
  <c r="BA83" i="9"/>
  <c r="BJ83" i="9" s="1"/>
  <c r="BB83" i="9"/>
  <c r="BC83" i="9"/>
  <c r="BL83" i="9" s="1"/>
  <c r="BD83" i="9"/>
  <c r="BM83" i="9" s="1"/>
  <c r="BE83" i="9"/>
  <c r="BN83" i="9" s="1"/>
  <c r="BF83" i="9"/>
  <c r="BO83" i="9" s="1"/>
  <c r="BG83" i="9"/>
  <c r="BP83" i="9" s="1"/>
  <c r="BA84" i="9"/>
  <c r="BJ84" i="9" s="1"/>
  <c r="BB84" i="9"/>
  <c r="BC84" i="9"/>
  <c r="BL84" i="9" s="1"/>
  <c r="BD84" i="9"/>
  <c r="BM84" i="9" s="1"/>
  <c r="BE84" i="9"/>
  <c r="BN84" i="9" s="1"/>
  <c r="BF84" i="9"/>
  <c r="BO84" i="9" s="1"/>
  <c r="BG84" i="9"/>
  <c r="BP84" i="9" s="1"/>
  <c r="BA85" i="9"/>
  <c r="BJ85" i="9" s="1"/>
  <c r="BB85" i="9"/>
  <c r="BK85" i="9" s="1"/>
  <c r="BC85" i="9"/>
  <c r="BD85" i="9"/>
  <c r="BM85" i="9" s="1"/>
  <c r="BE85" i="9"/>
  <c r="BN85" i="9" s="1"/>
  <c r="BF85" i="9"/>
  <c r="BO85" i="9" s="1"/>
  <c r="BG85" i="9"/>
  <c r="BP85" i="9" s="1"/>
  <c r="BA86" i="9"/>
  <c r="BJ86" i="9" s="1"/>
  <c r="BB86" i="9"/>
  <c r="BK86" i="9" s="1"/>
  <c r="BC86" i="9"/>
  <c r="BL86" i="9" s="1"/>
  <c r="BD86" i="9"/>
  <c r="BM86" i="9" s="1"/>
  <c r="BE86" i="9"/>
  <c r="BN86" i="9" s="1"/>
  <c r="BF86" i="9"/>
  <c r="BO86" i="9" s="1"/>
  <c r="BG86" i="9"/>
  <c r="BP86" i="9" s="1"/>
  <c r="BA87" i="9"/>
  <c r="BJ87" i="9" s="1"/>
  <c r="BB87" i="9"/>
  <c r="BK87" i="9" s="1"/>
  <c r="BC87" i="9"/>
  <c r="BL87" i="9" s="1"/>
  <c r="BD87" i="9"/>
  <c r="BM87" i="9" s="1"/>
  <c r="BE87" i="9"/>
  <c r="BN87" i="9" s="1"/>
  <c r="BF87" i="9"/>
  <c r="BO87" i="9" s="1"/>
  <c r="BG87" i="9"/>
  <c r="BP87" i="9" s="1"/>
  <c r="BA88" i="9"/>
  <c r="BJ88" i="9" s="1"/>
  <c r="BB88" i="9"/>
  <c r="BK88" i="9" s="1"/>
  <c r="BC88" i="9"/>
  <c r="BD88" i="9"/>
  <c r="BM88" i="9" s="1"/>
  <c r="BE88" i="9"/>
  <c r="BN88" i="9" s="1"/>
  <c r="BF88" i="9"/>
  <c r="BO88" i="9" s="1"/>
  <c r="BG88" i="9"/>
  <c r="BP88" i="9" s="1"/>
  <c r="BA89" i="9"/>
  <c r="BJ89" i="9" s="1"/>
  <c r="BB89" i="9"/>
  <c r="BK89" i="9" s="1"/>
  <c r="BC89" i="9"/>
  <c r="BL89" i="9" s="1"/>
  <c r="BD89" i="9"/>
  <c r="BM89" i="9" s="1"/>
  <c r="BE89" i="9"/>
  <c r="BN89" i="9" s="1"/>
  <c r="BF89" i="9"/>
  <c r="BO89" i="9" s="1"/>
  <c r="BG89" i="9"/>
  <c r="BP89" i="9" s="1"/>
  <c r="BA64" i="9"/>
  <c r="BJ64" i="9" s="1"/>
  <c r="BB64" i="9"/>
  <c r="BK64" i="9" s="1"/>
  <c r="BC64" i="9"/>
  <c r="BL64" i="9" s="1"/>
  <c r="BD64" i="9"/>
  <c r="BM64" i="9" s="1"/>
  <c r="BE64" i="9"/>
  <c r="BN64" i="9" s="1"/>
  <c r="BF64" i="9"/>
  <c r="BO64" i="9" s="1"/>
  <c r="BG64" i="9"/>
  <c r="BP64" i="9" s="1"/>
  <c r="BA65" i="9"/>
  <c r="BJ65" i="9" s="1"/>
  <c r="BB65" i="9"/>
  <c r="BK65" i="9" s="1"/>
  <c r="BC65" i="9"/>
  <c r="BL65" i="9" s="1"/>
  <c r="BD65" i="9"/>
  <c r="BM65" i="9" s="1"/>
  <c r="BE65" i="9"/>
  <c r="BN65" i="9" s="1"/>
  <c r="BF65" i="9"/>
  <c r="BO65" i="9" s="1"/>
  <c r="BG65" i="9"/>
  <c r="BP65" i="9" s="1"/>
  <c r="BA66" i="9"/>
  <c r="BJ66" i="9" s="1"/>
  <c r="BB66" i="9"/>
  <c r="BK66" i="9" s="1"/>
  <c r="BC66" i="9"/>
  <c r="BL66" i="9" s="1"/>
  <c r="BD66" i="9"/>
  <c r="BM66" i="9" s="1"/>
  <c r="BE66" i="9"/>
  <c r="BN66" i="9" s="1"/>
  <c r="BF66" i="9"/>
  <c r="BO66" i="9" s="1"/>
  <c r="BG66" i="9"/>
  <c r="BP66" i="9" s="1"/>
  <c r="BA67" i="9"/>
  <c r="BJ67" i="9" s="1"/>
  <c r="BB67" i="9"/>
  <c r="BC67" i="9"/>
  <c r="BL67" i="9" s="1"/>
  <c r="BD67" i="9"/>
  <c r="BM67" i="9" s="1"/>
  <c r="BE67" i="9"/>
  <c r="BN67" i="9" s="1"/>
  <c r="BF67" i="9"/>
  <c r="BO67" i="9" s="1"/>
  <c r="BG67" i="9"/>
  <c r="BP67" i="9" s="1"/>
  <c r="BA68" i="9"/>
  <c r="BJ68" i="9" s="1"/>
  <c r="BB68" i="9"/>
  <c r="BK68" i="9" s="1"/>
  <c r="BC68" i="9"/>
  <c r="BL68" i="9" s="1"/>
  <c r="BD68" i="9"/>
  <c r="BE68" i="9"/>
  <c r="BN68" i="9" s="1"/>
  <c r="BF68" i="9"/>
  <c r="BO68" i="9" s="1"/>
  <c r="BG68" i="9"/>
  <c r="BP68" i="9" s="1"/>
  <c r="BA69" i="9"/>
  <c r="BJ69" i="9" s="1"/>
  <c r="BB69" i="9"/>
  <c r="BK69" i="9" s="1"/>
  <c r="BC69" i="9"/>
  <c r="BL69" i="9" s="1"/>
  <c r="BD69" i="9"/>
  <c r="BM69" i="9" s="1"/>
  <c r="BE69" i="9"/>
  <c r="BN69" i="9" s="1"/>
  <c r="BF69" i="9"/>
  <c r="BO69" i="9" s="1"/>
  <c r="BG69" i="9"/>
  <c r="BP69" i="9" s="1"/>
  <c r="BA51" i="9"/>
  <c r="BJ51" i="9" s="1"/>
  <c r="BB51" i="9"/>
  <c r="BK51" i="9" s="1"/>
  <c r="BC51" i="9"/>
  <c r="BL51" i="9" s="1"/>
  <c r="BD51" i="9"/>
  <c r="BM51" i="9" s="1"/>
  <c r="BE51" i="9"/>
  <c r="BN51" i="9" s="1"/>
  <c r="BF51" i="9"/>
  <c r="BO51" i="9" s="1"/>
  <c r="BG51" i="9"/>
  <c r="BP51" i="9" s="1"/>
  <c r="BA52" i="9"/>
  <c r="BJ52" i="9" s="1"/>
  <c r="BB52" i="9"/>
  <c r="BK52" i="9" s="1"/>
  <c r="BC52" i="9"/>
  <c r="BL52" i="9" s="1"/>
  <c r="BD52" i="9"/>
  <c r="BM52" i="9" s="1"/>
  <c r="BE52" i="9"/>
  <c r="BN52" i="9" s="1"/>
  <c r="BF52" i="9"/>
  <c r="BO52" i="9" s="1"/>
  <c r="BG52" i="9"/>
  <c r="BP52" i="9" s="1"/>
  <c r="BA53" i="9"/>
  <c r="BJ53" i="9" s="1"/>
  <c r="BB53" i="9"/>
  <c r="BK53" i="9" s="1"/>
  <c r="BC53" i="9"/>
  <c r="BL53" i="9" s="1"/>
  <c r="BD53" i="9"/>
  <c r="BM53" i="9" s="1"/>
  <c r="BE53" i="9"/>
  <c r="BN53" i="9" s="1"/>
  <c r="BF53" i="9"/>
  <c r="BO53" i="9" s="1"/>
  <c r="BG53" i="9"/>
  <c r="BP53" i="9" s="1"/>
  <c r="BA54" i="9"/>
  <c r="BJ54" i="9" s="1"/>
  <c r="BB54" i="9"/>
  <c r="BK54" i="9" s="1"/>
  <c r="BC54" i="9"/>
  <c r="BL54" i="9" s="1"/>
  <c r="BD54" i="9"/>
  <c r="BM54" i="9" s="1"/>
  <c r="BE54" i="9"/>
  <c r="BF54" i="9"/>
  <c r="BO54" i="9" s="1"/>
  <c r="BG54" i="9"/>
  <c r="BP54" i="9" s="1"/>
  <c r="BA55" i="9"/>
  <c r="BB55" i="9"/>
  <c r="BK55" i="9" s="1"/>
  <c r="BC55" i="9"/>
  <c r="BL55" i="9" s="1"/>
  <c r="BD55" i="9"/>
  <c r="BM55" i="9" s="1"/>
  <c r="BE55" i="9"/>
  <c r="BN55" i="9" s="1"/>
  <c r="BF55" i="9"/>
  <c r="BO55" i="9" s="1"/>
  <c r="BG55" i="9"/>
  <c r="BP55" i="9" s="1"/>
  <c r="BA56" i="9"/>
  <c r="BB56" i="9"/>
  <c r="BK56" i="9" s="1"/>
  <c r="BC56" i="9"/>
  <c r="BL56" i="9" s="1"/>
  <c r="BD56" i="9"/>
  <c r="BM56" i="9" s="1"/>
  <c r="BE56" i="9"/>
  <c r="BN56" i="9" s="1"/>
  <c r="BF56" i="9"/>
  <c r="BO56" i="9" s="1"/>
  <c r="BG56" i="9"/>
  <c r="BP56" i="9" s="1"/>
  <c r="BA57" i="9"/>
  <c r="BJ57" i="9" s="1"/>
  <c r="BB57" i="9"/>
  <c r="BK57" i="9" s="1"/>
  <c r="BC57" i="9"/>
  <c r="BL57" i="9" s="1"/>
  <c r="BD57" i="9"/>
  <c r="BM57" i="9" s="1"/>
  <c r="BE57" i="9"/>
  <c r="BN57" i="9" s="1"/>
  <c r="BF57" i="9"/>
  <c r="BO57" i="9" s="1"/>
  <c r="BG57" i="9"/>
  <c r="BP57" i="9" s="1"/>
  <c r="BA58" i="9"/>
  <c r="BJ58" i="9" s="1"/>
  <c r="BB58" i="9"/>
  <c r="BK58" i="9" s="1"/>
  <c r="BC58" i="9"/>
  <c r="BL58" i="9" s="1"/>
  <c r="BD58" i="9"/>
  <c r="BM58" i="9" s="1"/>
  <c r="BE58" i="9"/>
  <c r="BN58" i="9" s="1"/>
  <c r="BF58" i="9"/>
  <c r="BO58" i="9" s="1"/>
  <c r="BG58" i="9"/>
  <c r="BP58" i="9" s="1"/>
  <c r="BA59" i="9"/>
  <c r="BJ59" i="9" s="1"/>
  <c r="BB59" i="9"/>
  <c r="BK59" i="9" s="1"/>
  <c r="BC59" i="9"/>
  <c r="BL59" i="9" s="1"/>
  <c r="BD59" i="9"/>
  <c r="BM59" i="9" s="1"/>
  <c r="BE59" i="9"/>
  <c r="BN59" i="9" s="1"/>
  <c r="BF59" i="9"/>
  <c r="BO59" i="9" s="1"/>
  <c r="BG59" i="9"/>
  <c r="BP59" i="9" s="1"/>
  <c r="BA60" i="9"/>
  <c r="BJ60" i="9" s="1"/>
  <c r="BB60" i="9"/>
  <c r="BK60" i="9" s="1"/>
  <c r="BC60" i="9"/>
  <c r="BL60" i="9" s="1"/>
  <c r="BD60" i="9"/>
  <c r="BM60" i="9" s="1"/>
  <c r="BE60" i="9"/>
  <c r="BN60" i="9" s="1"/>
  <c r="BF60" i="9"/>
  <c r="BO60" i="9" s="1"/>
  <c r="BG60" i="9"/>
  <c r="BP60" i="9" s="1"/>
  <c r="BA61" i="9"/>
  <c r="BB61" i="9"/>
  <c r="BK61" i="9" s="1"/>
  <c r="BC61" i="9"/>
  <c r="BL61" i="9" s="1"/>
  <c r="BD61" i="9"/>
  <c r="BM61" i="9" s="1"/>
  <c r="BE61" i="9"/>
  <c r="BN61" i="9" s="1"/>
  <c r="BF61" i="9"/>
  <c r="BO61" i="9" s="1"/>
  <c r="BG61" i="9"/>
  <c r="BP61" i="9" s="1"/>
  <c r="BA62" i="9"/>
  <c r="BB62" i="9"/>
  <c r="BK62" i="9" s="1"/>
  <c r="BC62" i="9"/>
  <c r="BL62" i="9" s="1"/>
  <c r="BD62" i="9"/>
  <c r="BM62" i="9" s="1"/>
  <c r="BE62" i="9"/>
  <c r="BN62" i="9" s="1"/>
  <c r="BF62" i="9"/>
  <c r="BO62" i="9" s="1"/>
  <c r="BG62" i="9"/>
  <c r="BP62" i="9" s="1"/>
  <c r="BA63" i="9"/>
  <c r="BB63" i="9"/>
  <c r="BK63" i="9" s="1"/>
  <c r="BC63" i="9"/>
  <c r="BL63" i="9" s="1"/>
  <c r="BD63" i="9"/>
  <c r="BM63" i="9" s="1"/>
  <c r="BE63" i="9"/>
  <c r="BN63" i="9" s="1"/>
  <c r="BF63" i="9"/>
  <c r="BO63" i="9" s="1"/>
  <c r="BG63" i="9"/>
  <c r="BP63" i="9" s="1"/>
  <c r="BA41" i="9"/>
  <c r="BB41" i="9"/>
  <c r="BK41" i="9" s="1"/>
  <c r="BC41" i="9"/>
  <c r="BL41" i="9" s="1"/>
  <c r="BD41" i="9"/>
  <c r="BM41" i="9" s="1"/>
  <c r="BE41" i="9"/>
  <c r="BN41" i="9" s="1"/>
  <c r="BF41" i="9"/>
  <c r="BO41" i="9" s="1"/>
  <c r="BG41" i="9"/>
  <c r="BP41" i="9" s="1"/>
  <c r="BA42" i="9"/>
  <c r="BJ42" i="9" s="1"/>
  <c r="BB42" i="9"/>
  <c r="BK42" i="9" s="1"/>
  <c r="BC42" i="9"/>
  <c r="BL42" i="9" s="1"/>
  <c r="BD42" i="9"/>
  <c r="BM42" i="9" s="1"/>
  <c r="BE42" i="9"/>
  <c r="BN42" i="9" s="1"/>
  <c r="BF42" i="9"/>
  <c r="BO42" i="9" s="1"/>
  <c r="BG42" i="9"/>
  <c r="BP42" i="9" s="1"/>
  <c r="BA43" i="9"/>
  <c r="BJ43" i="9" s="1"/>
  <c r="BB43" i="9"/>
  <c r="BK43" i="9" s="1"/>
  <c r="BC43" i="9"/>
  <c r="BL43" i="9" s="1"/>
  <c r="BD43" i="9"/>
  <c r="BM43" i="9" s="1"/>
  <c r="BE43" i="9"/>
  <c r="BN43" i="9" s="1"/>
  <c r="BF43" i="9"/>
  <c r="BO43" i="9" s="1"/>
  <c r="BG43" i="9"/>
  <c r="BP43" i="9" s="1"/>
  <c r="BA44" i="9"/>
  <c r="BJ44" i="9" s="1"/>
  <c r="BB44" i="9"/>
  <c r="BK44" i="9" s="1"/>
  <c r="BC44" i="9"/>
  <c r="BL44" i="9" s="1"/>
  <c r="BD44" i="9"/>
  <c r="BM44" i="9" s="1"/>
  <c r="BE44" i="9"/>
  <c r="BN44" i="9" s="1"/>
  <c r="BF44" i="9"/>
  <c r="BO44" i="9" s="1"/>
  <c r="BG44" i="9"/>
  <c r="BP44" i="9" s="1"/>
  <c r="BB45" i="9"/>
  <c r="BK45" i="9" s="1"/>
  <c r="BC45" i="9"/>
  <c r="BL45" i="9" s="1"/>
  <c r="BD45" i="9"/>
  <c r="BM45" i="9" s="1"/>
  <c r="BE45" i="9"/>
  <c r="BN45" i="9" s="1"/>
  <c r="BF45" i="9"/>
  <c r="BO45" i="9" s="1"/>
  <c r="BG45" i="9"/>
  <c r="BP45" i="9" s="1"/>
  <c r="BA46" i="9"/>
  <c r="BB46" i="9"/>
  <c r="BK46" i="9" s="1"/>
  <c r="BC46" i="9"/>
  <c r="BL46" i="9" s="1"/>
  <c r="BD46" i="9"/>
  <c r="BM46" i="9" s="1"/>
  <c r="BE46" i="9"/>
  <c r="BN46" i="9" s="1"/>
  <c r="BF46" i="9"/>
  <c r="BO46" i="9" s="1"/>
  <c r="BG46" i="9"/>
  <c r="BP46" i="9" s="1"/>
  <c r="BA47" i="9"/>
  <c r="BB47" i="9"/>
  <c r="BK47" i="9" s="1"/>
  <c r="BC47" i="9"/>
  <c r="BL47" i="9" s="1"/>
  <c r="BD47" i="9"/>
  <c r="BM47" i="9" s="1"/>
  <c r="BE47" i="9"/>
  <c r="BN47" i="9" s="1"/>
  <c r="BF47" i="9"/>
  <c r="BO47" i="9" s="1"/>
  <c r="BG47" i="9"/>
  <c r="BP47" i="9" s="1"/>
  <c r="BA48" i="9"/>
  <c r="BB48" i="9"/>
  <c r="BK48" i="9" s="1"/>
  <c r="BC48" i="9"/>
  <c r="BL48" i="9" s="1"/>
  <c r="BD48" i="9"/>
  <c r="BM48" i="9" s="1"/>
  <c r="BE48" i="9"/>
  <c r="BN48" i="9" s="1"/>
  <c r="BF48" i="9"/>
  <c r="BO48" i="9" s="1"/>
  <c r="BG48" i="9"/>
  <c r="BP48" i="9" s="1"/>
  <c r="BA49" i="9"/>
  <c r="BB49" i="9"/>
  <c r="BK49" i="9" s="1"/>
  <c r="BC49" i="9"/>
  <c r="BL49" i="9" s="1"/>
  <c r="BD49" i="9"/>
  <c r="BM49" i="9" s="1"/>
  <c r="BE49" i="9"/>
  <c r="BN49" i="9" s="1"/>
  <c r="BF49" i="9"/>
  <c r="BO49" i="9" s="1"/>
  <c r="BG49" i="9"/>
  <c r="BP49" i="9" s="1"/>
  <c r="BA50" i="9"/>
  <c r="BJ50" i="9" s="1"/>
  <c r="BB50" i="9"/>
  <c r="BK50" i="9" s="1"/>
  <c r="BC50" i="9"/>
  <c r="BL50" i="9" s="1"/>
  <c r="BD50" i="9"/>
  <c r="BM50" i="9" s="1"/>
  <c r="BE50" i="9"/>
  <c r="BN50" i="9" s="1"/>
  <c r="BF50" i="9"/>
  <c r="BO50" i="9" s="1"/>
  <c r="BG50" i="9"/>
  <c r="BP50" i="9" s="1"/>
  <c r="BA32" i="9"/>
  <c r="BJ32" i="9" s="1"/>
  <c r="BB32" i="9"/>
  <c r="BK32" i="9" s="1"/>
  <c r="BC32" i="9"/>
  <c r="BL32" i="9" s="1"/>
  <c r="BD32" i="9"/>
  <c r="BM32" i="9" s="1"/>
  <c r="BE32" i="9"/>
  <c r="BN32" i="9" s="1"/>
  <c r="BF32" i="9"/>
  <c r="BG32" i="9"/>
  <c r="BP32" i="9" s="1"/>
  <c r="BA33" i="9"/>
  <c r="BJ33" i="9" s="1"/>
  <c r="BB33" i="9"/>
  <c r="BK33" i="9" s="1"/>
  <c r="BC33" i="9"/>
  <c r="BL33" i="9" s="1"/>
  <c r="BD33" i="9"/>
  <c r="BM33" i="9" s="1"/>
  <c r="BE33" i="9"/>
  <c r="BN33" i="9" s="1"/>
  <c r="BF33" i="9"/>
  <c r="BO33" i="9" s="1"/>
  <c r="BG33" i="9"/>
  <c r="BP33" i="9" s="1"/>
  <c r="BA34" i="9"/>
  <c r="BJ34" i="9" s="1"/>
  <c r="BB34" i="9"/>
  <c r="BK34" i="9" s="1"/>
  <c r="BC34" i="9"/>
  <c r="BL34" i="9" s="1"/>
  <c r="BD34" i="9"/>
  <c r="BM34" i="9" s="1"/>
  <c r="BE34" i="9"/>
  <c r="BN34" i="9" s="1"/>
  <c r="BF34" i="9"/>
  <c r="BO34" i="9" s="1"/>
  <c r="BG34" i="9"/>
  <c r="BP34" i="9" s="1"/>
  <c r="BA35" i="9"/>
  <c r="BJ35" i="9" s="1"/>
  <c r="BB35" i="9"/>
  <c r="BK35" i="9" s="1"/>
  <c r="BC35" i="9"/>
  <c r="BL35" i="9" s="1"/>
  <c r="BD35" i="9"/>
  <c r="BM35" i="9" s="1"/>
  <c r="BE35" i="9"/>
  <c r="BN35" i="9" s="1"/>
  <c r="BF35" i="9"/>
  <c r="BO35" i="9" s="1"/>
  <c r="BG35" i="9"/>
  <c r="BP35" i="9" s="1"/>
  <c r="BA36" i="9"/>
  <c r="BB36" i="9"/>
  <c r="BK36" i="9" s="1"/>
  <c r="BC36" i="9"/>
  <c r="BL36" i="9" s="1"/>
  <c r="BD36" i="9"/>
  <c r="BM36" i="9" s="1"/>
  <c r="BE36" i="9"/>
  <c r="BN36" i="9" s="1"/>
  <c r="BF36" i="9"/>
  <c r="BO36" i="9" s="1"/>
  <c r="BG36" i="9"/>
  <c r="BP36" i="9" s="1"/>
  <c r="BA37" i="9"/>
  <c r="BB37" i="9"/>
  <c r="BK37" i="9" s="1"/>
  <c r="BC37" i="9"/>
  <c r="BL37" i="9" s="1"/>
  <c r="BD37" i="9"/>
  <c r="BM37" i="9" s="1"/>
  <c r="BE37" i="9"/>
  <c r="BN37" i="9" s="1"/>
  <c r="BF37" i="9"/>
  <c r="BO37" i="9" s="1"/>
  <c r="BG37" i="9"/>
  <c r="BP37" i="9" s="1"/>
  <c r="BA38" i="9"/>
  <c r="BJ38" i="9" s="1"/>
  <c r="BB38" i="9"/>
  <c r="BK38" i="9" s="1"/>
  <c r="BC38" i="9"/>
  <c r="BL38" i="9" s="1"/>
  <c r="BD38" i="9"/>
  <c r="BM38" i="9" s="1"/>
  <c r="BE38" i="9"/>
  <c r="BN38" i="9" s="1"/>
  <c r="BF38" i="9"/>
  <c r="BO38" i="9" s="1"/>
  <c r="BG38" i="9"/>
  <c r="BP38" i="9" s="1"/>
  <c r="BA39" i="9"/>
  <c r="BB39" i="9"/>
  <c r="BK39" i="9" s="1"/>
  <c r="BC39" i="9"/>
  <c r="BL39" i="9" s="1"/>
  <c r="BD39" i="9"/>
  <c r="BM39" i="9" s="1"/>
  <c r="BE39" i="9"/>
  <c r="BN39" i="9" s="1"/>
  <c r="BF39" i="9"/>
  <c r="BO39" i="9" s="1"/>
  <c r="BG39" i="9"/>
  <c r="BP39" i="9" s="1"/>
  <c r="BA40" i="9"/>
  <c r="BJ40" i="9" s="1"/>
  <c r="BB40" i="9"/>
  <c r="BK40" i="9" s="1"/>
  <c r="BC40" i="9"/>
  <c r="BL40" i="9" s="1"/>
  <c r="BD40" i="9"/>
  <c r="BM40" i="9" s="1"/>
  <c r="BE40" i="9"/>
  <c r="BN40" i="9" s="1"/>
  <c r="BF40" i="9"/>
  <c r="BO40" i="9" s="1"/>
  <c r="BG40" i="9"/>
  <c r="BP40" i="9" s="1"/>
  <c r="BA23" i="9"/>
  <c r="BJ23" i="9" s="1"/>
  <c r="BB23" i="9"/>
  <c r="BK23" i="9" s="1"/>
  <c r="BC23" i="9"/>
  <c r="BL23" i="9" s="1"/>
  <c r="BD23" i="9"/>
  <c r="BM23" i="9" s="1"/>
  <c r="BE23" i="9"/>
  <c r="BN23" i="9" s="1"/>
  <c r="BF23" i="9"/>
  <c r="BO23" i="9" s="1"/>
  <c r="BG23" i="9"/>
  <c r="BP23" i="9" s="1"/>
  <c r="BA24" i="9"/>
  <c r="BJ24" i="9" s="1"/>
  <c r="BB24" i="9"/>
  <c r="BK24" i="9" s="1"/>
  <c r="BC24" i="9"/>
  <c r="BL24" i="9" s="1"/>
  <c r="BD24" i="9"/>
  <c r="BM24" i="9" s="1"/>
  <c r="BE24" i="9"/>
  <c r="BN24" i="9" s="1"/>
  <c r="BF24" i="9"/>
  <c r="BO24" i="9" s="1"/>
  <c r="BG24" i="9"/>
  <c r="BP24" i="9" s="1"/>
  <c r="BA25" i="9"/>
  <c r="BJ25" i="9" s="1"/>
  <c r="BB25" i="9"/>
  <c r="BC25" i="9"/>
  <c r="BL25" i="9" s="1"/>
  <c r="BD25" i="9"/>
  <c r="BM25" i="9" s="1"/>
  <c r="BE25" i="9"/>
  <c r="BN25" i="9" s="1"/>
  <c r="BF25" i="9"/>
  <c r="BO25" i="9" s="1"/>
  <c r="BG25" i="9"/>
  <c r="BP25" i="9" s="1"/>
  <c r="BA26" i="9"/>
  <c r="BJ26" i="9" s="1"/>
  <c r="BB26" i="9"/>
  <c r="BK26" i="9" s="1"/>
  <c r="BC26" i="9"/>
  <c r="BL26" i="9" s="1"/>
  <c r="BD26" i="9"/>
  <c r="BM26" i="9" s="1"/>
  <c r="BE26" i="9"/>
  <c r="BN26" i="9" s="1"/>
  <c r="BF26" i="9"/>
  <c r="BO26" i="9" s="1"/>
  <c r="BG26" i="9"/>
  <c r="BP26" i="9" s="1"/>
  <c r="BA27" i="9"/>
  <c r="BB27" i="9"/>
  <c r="BK27" i="9" s="1"/>
  <c r="BC27" i="9"/>
  <c r="BL27" i="9" s="1"/>
  <c r="BD27" i="9"/>
  <c r="BM27" i="9" s="1"/>
  <c r="BE27" i="9"/>
  <c r="BN27" i="9" s="1"/>
  <c r="BF27" i="9"/>
  <c r="BO27" i="9" s="1"/>
  <c r="BG27" i="9"/>
  <c r="BP27" i="9" s="1"/>
  <c r="BA28" i="9"/>
  <c r="BB28" i="9"/>
  <c r="BK28" i="9" s="1"/>
  <c r="BC28" i="9"/>
  <c r="BL28" i="9" s="1"/>
  <c r="BD28" i="9"/>
  <c r="BM28" i="9" s="1"/>
  <c r="BE28" i="9"/>
  <c r="BN28" i="9" s="1"/>
  <c r="BF28" i="9"/>
  <c r="BO28" i="9" s="1"/>
  <c r="BG28" i="9"/>
  <c r="BP28" i="9" s="1"/>
  <c r="BA29" i="9"/>
  <c r="BB29" i="9"/>
  <c r="BK29" i="9" s="1"/>
  <c r="BC29" i="9"/>
  <c r="BL29" i="9" s="1"/>
  <c r="BD29" i="9"/>
  <c r="BM29" i="9" s="1"/>
  <c r="BE29" i="9"/>
  <c r="BN29" i="9" s="1"/>
  <c r="BF29" i="9"/>
  <c r="BO29" i="9" s="1"/>
  <c r="BG29" i="9"/>
  <c r="BP29" i="9" s="1"/>
  <c r="BA30" i="9"/>
  <c r="BJ30" i="9" s="1"/>
  <c r="BB30" i="9"/>
  <c r="BK30" i="9" s="1"/>
  <c r="BC30" i="9"/>
  <c r="BL30" i="9" s="1"/>
  <c r="BD30" i="9"/>
  <c r="BM30" i="9" s="1"/>
  <c r="BE30" i="9"/>
  <c r="BN30" i="9" s="1"/>
  <c r="BF30" i="9"/>
  <c r="BG30" i="9"/>
  <c r="BP30" i="9" s="1"/>
  <c r="BA31" i="9"/>
  <c r="BB31" i="9"/>
  <c r="BK31" i="9" s="1"/>
  <c r="BC31" i="9"/>
  <c r="BL31" i="9" s="1"/>
  <c r="BD31" i="9"/>
  <c r="BM31" i="9" s="1"/>
  <c r="BE31" i="9"/>
  <c r="BN31" i="9" s="1"/>
  <c r="BF31" i="9"/>
  <c r="BO31" i="9" s="1"/>
  <c r="BG31" i="9"/>
  <c r="BP31" i="9" s="1"/>
  <c r="BA7" i="9"/>
  <c r="BJ7" i="9" s="1"/>
  <c r="BB7" i="9"/>
  <c r="BC7" i="9"/>
  <c r="BL7" i="9" s="1"/>
  <c r="BD7" i="9"/>
  <c r="BM7" i="9" s="1"/>
  <c r="BE7" i="9"/>
  <c r="BN7" i="9" s="1"/>
  <c r="BF7" i="9"/>
  <c r="BO7" i="9" s="1"/>
  <c r="BG7" i="9"/>
  <c r="BP7" i="9" s="1"/>
  <c r="BA8" i="9"/>
  <c r="BJ8" i="9" s="1"/>
  <c r="BB8" i="9"/>
  <c r="BC8" i="9"/>
  <c r="BL8" i="9" s="1"/>
  <c r="BD8" i="9"/>
  <c r="BM8" i="9" s="1"/>
  <c r="BE8" i="9"/>
  <c r="BN8" i="9" s="1"/>
  <c r="BF8" i="9"/>
  <c r="BO8" i="9" s="1"/>
  <c r="BG8" i="9"/>
  <c r="BP8" i="9" s="1"/>
  <c r="BA9" i="9"/>
  <c r="BJ9" i="9" s="1"/>
  <c r="BB9" i="9"/>
  <c r="BK9" i="9" s="1"/>
  <c r="BC9" i="9"/>
  <c r="BL9" i="9" s="1"/>
  <c r="BD9" i="9"/>
  <c r="BM9" i="9" s="1"/>
  <c r="BE9" i="9"/>
  <c r="BN9" i="9" s="1"/>
  <c r="BF9" i="9"/>
  <c r="BO9" i="9" s="1"/>
  <c r="BG9" i="9"/>
  <c r="BP9" i="9" s="1"/>
  <c r="BA10" i="9"/>
  <c r="BJ10" i="9" s="1"/>
  <c r="BB10" i="9"/>
  <c r="BK10" i="9" s="1"/>
  <c r="BC10" i="9"/>
  <c r="BL10" i="9" s="1"/>
  <c r="BD10" i="9"/>
  <c r="BM10" i="9" s="1"/>
  <c r="BE10" i="9"/>
  <c r="BN10" i="9" s="1"/>
  <c r="BF10" i="9"/>
  <c r="BO10" i="9" s="1"/>
  <c r="BG10" i="9"/>
  <c r="BP10" i="9" s="1"/>
  <c r="BA11" i="9"/>
  <c r="BB11" i="9"/>
  <c r="BK11" i="9" s="1"/>
  <c r="BC11" i="9"/>
  <c r="BL11" i="9" s="1"/>
  <c r="BD11" i="9"/>
  <c r="BM11" i="9" s="1"/>
  <c r="BE11" i="9"/>
  <c r="BN11" i="9" s="1"/>
  <c r="BF11" i="9"/>
  <c r="BO11" i="9" s="1"/>
  <c r="BG11" i="9"/>
  <c r="BP11" i="9" s="1"/>
  <c r="BA12" i="9"/>
  <c r="BB12" i="9"/>
  <c r="BK12" i="9" s="1"/>
  <c r="BC12" i="9"/>
  <c r="BL12" i="9" s="1"/>
  <c r="BD12" i="9"/>
  <c r="BM12" i="9" s="1"/>
  <c r="BE12" i="9"/>
  <c r="BN12" i="9" s="1"/>
  <c r="BF12" i="9"/>
  <c r="BO12" i="9" s="1"/>
  <c r="BG12" i="9"/>
  <c r="BP12" i="9" s="1"/>
  <c r="BA13" i="9"/>
  <c r="BJ13" i="9" s="1"/>
  <c r="BB13" i="9"/>
  <c r="BK13" i="9" s="1"/>
  <c r="BC13" i="9"/>
  <c r="BL13" i="9" s="1"/>
  <c r="BD13" i="9"/>
  <c r="BM13" i="9" s="1"/>
  <c r="BE13" i="9"/>
  <c r="BN13" i="9" s="1"/>
  <c r="BF13" i="9"/>
  <c r="BO13" i="9" s="1"/>
  <c r="BG13" i="9"/>
  <c r="BP13" i="9" s="1"/>
  <c r="BA14" i="9"/>
  <c r="BB14" i="9"/>
  <c r="BK14" i="9" s="1"/>
  <c r="BC14" i="9"/>
  <c r="BL14" i="9" s="1"/>
  <c r="BD14" i="9"/>
  <c r="BM14" i="9" s="1"/>
  <c r="BE14" i="9"/>
  <c r="BN14" i="9" s="1"/>
  <c r="BF14" i="9"/>
  <c r="BO14" i="9" s="1"/>
  <c r="BG14" i="9"/>
  <c r="BP14" i="9" s="1"/>
  <c r="BA15" i="9"/>
  <c r="BJ15" i="9" s="1"/>
  <c r="BB15" i="9"/>
  <c r="BK15" i="9" s="1"/>
  <c r="BC15" i="9"/>
  <c r="BL15" i="9" s="1"/>
  <c r="BD15" i="9"/>
  <c r="BM15" i="9" s="1"/>
  <c r="BE15" i="9"/>
  <c r="BN15" i="9" s="1"/>
  <c r="BF15" i="9"/>
  <c r="BO15" i="9" s="1"/>
  <c r="BG15" i="9"/>
  <c r="BP15" i="9" s="1"/>
  <c r="BA16" i="9"/>
  <c r="BJ16" i="9" s="1"/>
  <c r="BB16" i="9"/>
  <c r="BK16" i="9" s="1"/>
  <c r="BC16" i="9"/>
  <c r="BL16" i="9" s="1"/>
  <c r="BD16" i="9"/>
  <c r="BM16" i="9" s="1"/>
  <c r="BE16" i="9"/>
  <c r="BN16" i="9" s="1"/>
  <c r="BF16" i="9"/>
  <c r="BO16" i="9" s="1"/>
  <c r="BG16" i="9"/>
  <c r="BP16" i="9" s="1"/>
  <c r="BA17" i="9"/>
  <c r="BJ17" i="9" s="1"/>
  <c r="BB17" i="9"/>
  <c r="BK17" i="9" s="1"/>
  <c r="BC17" i="9"/>
  <c r="BD17" i="9"/>
  <c r="BM17" i="9" s="1"/>
  <c r="BE17" i="9"/>
  <c r="BN17" i="9" s="1"/>
  <c r="BF17" i="9"/>
  <c r="BO17" i="9" s="1"/>
  <c r="BG17" i="9"/>
  <c r="BP17" i="9" s="1"/>
  <c r="BA18" i="9"/>
  <c r="BJ18" i="9" s="1"/>
  <c r="BB18" i="9"/>
  <c r="BK18" i="9" s="1"/>
  <c r="BC18" i="9"/>
  <c r="BL18" i="9" s="1"/>
  <c r="BD18" i="9"/>
  <c r="BM18" i="9" s="1"/>
  <c r="BE18" i="9"/>
  <c r="BN18" i="9" s="1"/>
  <c r="BF18" i="9"/>
  <c r="BO18" i="9" s="1"/>
  <c r="BG18" i="9"/>
  <c r="BP18" i="9" s="1"/>
  <c r="BA19" i="9"/>
  <c r="BB19" i="9"/>
  <c r="BK19" i="9" s="1"/>
  <c r="BC19" i="9"/>
  <c r="BL19" i="9" s="1"/>
  <c r="BD19" i="9"/>
  <c r="BM19" i="9" s="1"/>
  <c r="BE19" i="9"/>
  <c r="BN19" i="9" s="1"/>
  <c r="BF19" i="9"/>
  <c r="BO19" i="9" s="1"/>
  <c r="BG19" i="9"/>
  <c r="BP19" i="9" s="1"/>
  <c r="BA20" i="9"/>
  <c r="BB20" i="9"/>
  <c r="BK20" i="9" s="1"/>
  <c r="BC20" i="9"/>
  <c r="BL20" i="9" s="1"/>
  <c r="BD20" i="9"/>
  <c r="BM20" i="9" s="1"/>
  <c r="BE20" i="9"/>
  <c r="BN20" i="9" s="1"/>
  <c r="BF20" i="9"/>
  <c r="BO20" i="9" s="1"/>
  <c r="BG20" i="9"/>
  <c r="BP20" i="9" s="1"/>
  <c r="BA21" i="9"/>
  <c r="BB21" i="9"/>
  <c r="BK21" i="9" s="1"/>
  <c r="BC21" i="9"/>
  <c r="BL21" i="9" s="1"/>
  <c r="BD21" i="9"/>
  <c r="BM21" i="9" s="1"/>
  <c r="BE21" i="9"/>
  <c r="BN21" i="9" s="1"/>
  <c r="BF21" i="9"/>
  <c r="BO21" i="9" s="1"/>
  <c r="BG21" i="9"/>
  <c r="BP21" i="9" s="1"/>
  <c r="BA22" i="9"/>
  <c r="BJ22" i="9" s="1"/>
  <c r="BB22" i="9"/>
  <c r="BK22" i="9" s="1"/>
  <c r="BC22" i="9"/>
  <c r="BL22" i="9" s="1"/>
  <c r="BD22" i="9"/>
  <c r="BM22" i="9" s="1"/>
  <c r="BE22" i="9"/>
  <c r="BN22" i="9" s="1"/>
  <c r="BF22" i="9"/>
  <c r="BO22" i="9" s="1"/>
  <c r="BG22" i="9"/>
  <c r="BP22" i="9" s="1"/>
  <c r="DO81" i="6"/>
  <c r="EN81" i="6" s="1"/>
  <c r="DP81" i="6"/>
  <c r="EO81" i="6" s="1"/>
  <c r="DQ81" i="6"/>
  <c r="EP81" i="6" s="1"/>
  <c r="DS81" i="6"/>
  <c r="ER81" i="6" s="1"/>
  <c r="DT81" i="6"/>
  <c r="ES81" i="6" s="1"/>
  <c r="DU81" i="6"/>
  <c r="ET81" i="6" s="1"/>
  <c r="DV81" i="6"/>
  <c r="EU81" i="6" s="1"/>
  <c r="DW81" i="6"/>
  <c r="EV81" i="6" s="1"/>
  <c r="DX81" i="6"/>
  <c r="EW81" i="6" s="1"/>
  <c r="DY81" i="6"/>
  <c r="EX81" i="6" s="1"/>
  <c r="DZ81" i="6"/>
  <c r="EY81" i="6" s="1"/>
  <c r="EA81" i="6"/>
  <c r="EZ81" i="6" s="1"/>
  <c r="EC81" i="6"/>
  <c r="FB81" i="6" s="1"/>
  <c r="EE81" i="6"/>
  <c r="FD81" i="6" s="1"/>
  <c r="EF81" i="6"/>
  <c r="FE81" i="6" s="1"/>
  <c r="EG81" i="6"/>
  <c r="DO82" i="6"/>
  <c r="EN82" i="6" s="1"/>
  <c r="DP82" i="6"/>
  <c r="EO82" i="6" s="1"/>
  <c r="DQ82" i="6"/>
  <c r="EP82" i="6" s="1"/>
  <c r="DS82" i="6"/>
  <c r="ER82" i="6" s="1"/>
  <c r="DT82" i="6"/>
  <c r="ES82" i="6" s="1"/>
  <c r="DU82" i="6"/>
  <c r="ET82" i="6" s="1"/>
  <c r="DV82" i="6"/>
  <c r="EU82" i="6" s="1"/>
  <c r="DW82" i="6"/>
  <c r="EV82" i="6" s="1"/>
  <c r="DX82" i="6"/>
  <c r="EW82" i="6" s="1"/>
  <c r="DY82" i="6"/>
  <c r="EX82" i="6" s="1"/>
  <c r="DZ82" i="6"/>
  <c r="EY82" i="6" s="1"/>
  <c r="EA82" i="6"/>
  <c r="EZ82" i="6" s="1"/>
  <c r="EC82" i="6"/>
  <c r="FB82" i="6" s="1"/>
  <c r="EE82" i="6"/>
  <c r="FD82" i="6" s="1"/>
  <c r="EF82" i="6"/>
  <c r="FE82" i="6" s="1"/>
  <c r="EG82" i="6"/>
  <c r="FF82" i="6" s="1"/>
  <c r="DO83" i="6"/>
  <c r="EN83" i="6" s="1"/>
  <c r="DP83" i="6"/>
  <c r="EO83" i="6" s="1"/>
  <c r="DQ83" i="6"/>
  <c r="EP83" i="6" s="1"/>
  <c r="DS83" i="6"/>
  <c r="ER83" i="6" s="1"/>
  <c r="DT83" i="6"/>
  <c r="ES83" i="6" s="1"/>
  <c r="DU83" i="6"/>
  <c r="ET83" i="6" s="1"/>
  <c r="DV83" i="6"/>
  <c r="EU83" i="6" s="1"/>
  <c r="DW83" i="6"/>
  <c r="EV83" i="6" s="1"/>
  <c r="DX83" i="6"/>
  <c r="EW83" i="6" s="1"/>
  <c r="DY83" i="6"/>
  <c r="EX83" i="6" s="1"/>
  <c r="DZ83" i="6"/>
  <c r="EY83" i="6" s="1"/>
  <c r="EA83" i="6"/>
  <c r="EZ83" i="6" s="1"/>
  <c r="EC83" i="6"/>
  <c r="FB83" i="6" s="1"/>
  <c r="EE83" i="6"/>
  <c r="FD83" i="6" s="1"/>
  <c r="EF83" i="6"/>
  <c r="FE83" i="6" s="1"/>
  <c r="EG83" i="6"/>
  <c r="DO84" i="6"/>
  <c r="EN84" i="6" s="1"/>
  <c r="DP84" i="6"/>
  <c r="EO84" i="6" s="1"/>
  <c r="DQ84" i="6"/>
  <c r="EP84" i="6" s="1"/>
  <c r="DS84" i="6"/>
  <c r="ER84" i="6" s="1"/>
  <c r="DT84" i="6"/>
  <c r="DU84" i="6"/>
  <c r="ET84" i="6" s="1"/>
  <c r="DV84" i="6"/>
  <c r="EU84" i="6" s="1"/>
  <c r="DW84" i="6"/>
  <c r="EV84" i="6" s="1"/>
  <c r="DX84" i="6"/>
  <c r="EW84" i="6" s="1"/>
  <c r="DY84" i="6"/>
  <c r="EX84" i="6" s="1"/>
  <c r="DZ84" i="6"/>
  <c r="EY84" i="6" s="1"/>
  <c r="EA84" i="6"/>
  <c r="EZ84" i="6" s="1"/>
  <c r="EC84" i="6"/>
  <c r="FB84" i="6" s="1"/>
  <c r="EE84" i="6"/>
  <c r="FD84" i="6" s="1"/>
  <c r="EF84" i="6"/>
  <c r="FE84" i="6" s="1"/>
  <c r="EG84" i="6"/>
  <c r="FF84" i="6" s="1"/>
  <c r="DO85" i="6"/>
  <c r="DP85" i="6"/>
  <c r="EO85" i="6" s="1"/>
  <c r="DQ85" i="6"/>
  <c r="EP85" i="6" s="1"/>
  <c r="DS85" i="6"/>
  <c r="ER85" i="6" s="1"/>
  <c r="DT85" i="6"/>
  <c r="ES85" i="6" s="1"/>
  <c r="DU85" i="6"/>
  <c r="ET85" i="6" s="1"/>
  <c r="DV85" i="6"/>
  <c r="EU85" i="6" s="1"/>
  <c r="DW85" i="6"/>
  <c r="EV85" i="6" s="1"/>
  <c r="DX85" i="6"/>
  <c r="EW85" i="6" s="1"/>
  <c r="DY85" i="6"/>
  <c r="EX85" i="6" s="1"/>
  <c r="DZ85" i="6"/>
  <c r="EY85" i="6" s="1"/>
  <c r="EA85" i="6"/>
  <c r="EZ85" i="6" s="1"/>
  <c r="EC85" i="6"/>
  <c r="FB85" i="6" s="1"/>
  <c r="EE85" i="6"/>
  <c r="FD85" i="6" s="1"/>
  <c r="EF85" i="6"/>
  <c r="FE85" i="6" s="1"/>
  <c r="EG85" i="6"/>
  <c r="EN85" i="6"/>
  <c r="DO86" i="6"/>
  <c r="EN86" i="6" s="1"/>
  <c r="DP86" i="6"/>
  <c r="EO86" i="6" s="1"/>
  <c r="DQ86" i="6"/>
  <c r="EP86" i="6" s="1"/>
  <c r="DS86" i="6"/>
  <c r="DT86" i="6"/>
  <c r="ES86" i="6" s="1"/>
  <c r="DU86" i="6"/>
  <c r="ET86" i="6" s="1"/>
  <c r="DV86" i="6"/>
  <c r="EU86" i="6" s="1"/>
  <c r="DW86" i="6"/>
  <c r="EV86" i="6" s="1"/>
  <c r="DX86" i="6"/>
  <c r="EW86" i="6" s="1"/>
  <c r="DY86" i="6"/>
  <c r="EX86" i="6" s="1"/>
  <c r="DZ86" i="6"/>
  <c r="EY86" i="6" s="1"/>
  <c r="EA86" i="6"/>
  <c r="EZ86" i="6" s="1"/>
  <c r="EC86" i="6"/>
  <c r="FB86" i="6" s="1"/>
  <c r="EE86" i="6"/>
  <c r="FD86" i="6" s="1"/>
  <c r="EF86" i="6"/>
  <c r="EG86" i="6"/>
  <c r="FF86" i="6" s="1"/>
  <c r="DO87" i="6"/>
  <c r="DP87" i="6"/>
  <c r="EO87" i="6" s="1"/>
  <c r="DQ87" i="6"/>
  <c r="EP87" i="6" s="1"/>
  <c r="DS87" i="6"/>
  <c r="ER87" i="6" s="1"/>
  <c r="DT87" i="6"/>
  <c r="ES87" i="6" s="1"/>
  <c r="DU87" i="6"/>
  <c r="ET87" i="6" s="1"/>
  <c r="DV87" i="6"/>
  <c r="EU87" i="6" s="1"/>
  <c r="DW87" i="6"/>
  <c r="EV87" i="6" s="1"/>
  <c r="DX87" i="6"/>
  <c r="EW87" i="6" s="1"/>
  <c r="DY87" i="6"/>
  <c r="EX87" i="6" s="1"/>
  <c r="DZ87" i="6"/>
  <c r="EY87" i="6" s="1"/>
  <c r="EA87" i="6"/>
  <c r="EZ87" i="6" s="1"/>
  <c r="EC87" i="6"/>
  <c r="FB87" i="6" s="1"/>
  <c r="EE87" i="6"/>
  <c r="FD87" i="6" s="1"/>
  <c r="EF87" i="6"/>
  <c r="FE87" i="6" s="1"/>
  <c r="EG87" i="6"/>
  <c r="EN87" i="6"/>
  <c r="DO88" i="6"/>
  <c r="EN88" i="6" s="1"/>
  <c r="DP88" i="6"/>
  <c r="EO88" i="6" s="1"/>
  <c r="DQ88" i="6"/>
  <c r="EP88" i="6" s="1"/>
  <c r="DS88" i="6"/>
  <c r="ER88" i="6" s="1"/>
  <c r="DT88" i="6"/>
  <c r="ES88" i="6" s="1"/>
  <c r="DU88" i="6"/>
  <c r="DV88" i="6"/>
  <c r="EU88" i="6" s="1"/>
  <c r="DW88" i="6"/>
  <c r="EV88" i="6" s="1"/>
  <c r="DX88" i="6"/>
  <c r="EW88" i="6" s="1"/>
  <c r="DY88" i="6"/>
  <c r="EX88" i="6" s="1"/>
  <c r="DZ88" i="6"/>
  <c r="EY88" i="6" s="1"/>
  <c r="EA88" i="6"/>
  <c r="EZ88" i="6" s="1"/>
  <c r="EC88" i="6"/>
  <c r="FB88" i="6" s="1"/>
  <c r="EE88" i="6"/>
  <c r="FD88" i="6" s="1"/>
  <c r="EF88" i="6"/>
  <c r="EG88" i="6"/>
  <c r="FF88" i="6" s="1"/>
  <c r="DO89" i="6"/>
  <c r="EN89" i="6" s="1"/>
  <c r="DP89" i="6"/>
  <c r="EO89" i="6" s="1"/>
  <c r="DQ89" i="6"/>
  <c r="EP89" i="6" s="1"/>
  <c r="DS89" i="6"/>
  <c r="ER89" i="6" s="1"/>
  <c r="DT89" i="6"/>
  <c r="ES89" i="6" s="1"/>
  <c r="DU89" i="6"/>
  <c r="ET89" i="6" s="1"/>
  <c r="DV89" i="6"/>
  <c r="EU89" i="6" s="1"/>
  <c r="DW89" i="6"/>
  <c r="EV89" i="6" s="1"/>
  <c r="DX89" i="6"/>
  <c r="EW89" i="6" s="1"/>
  <c r="DY89" i="6"/>
  <c r="DZ89" i="6"/>
  <c r="EY89" i="6" s="1"/>
  <c r="EA89" i="6"/>
  <c r="EZ89" i="6" s="1"/>
  <c r="EC89" i="6"/>
  <c r="FB89" i="6" s="1"/>
  <c r="EE89" i="6"/>
  <c r="FD89" i="6" s="1"/>
  <c r="EF89" i="6"/>
  <c r="FE89" i="6" s="1"/>
  <c r="EG89" i="6"/>
  <c r="DO65" i="6"/>
  <c r="EN65" i="6" s="1"/>
  <c r="DP65" i="6"/>
  <c r="DQ65" i="6"/>
  <c r="EP65" i="6" s="1"/>
  <c r="DS65" i="6"/>
  <c r="ER65" i="6" s="1"/>
  <c r="DT65" i="6"/>
  <c r="ES65" i="6" s="1"/>
  <c r="DU65" i="6"/>
  <c r="ET65" i="6" s="1"/>
  <c r="DV65" i="6"/>
  <c r="EU65" i="6" s="1"/>
  <c r="DW65" i="6"/>
  <c r="EV65" i="6" s="1"/>
  <c r="DX65" i="6"/>
  <c r="EW65" i="6" s="1"/>
  <c r="DY65" i="6"/>
  <c r="EX65" i="6" s="1"/>
  <c r="DZ65" i="6"/>
  <c r="EY65" i="6" s="1"/>
  <c r="EA65" i="6"/>
  <c r="EZ65" i="6" s="1"/>
  <c r="EC65" i="6"/>
  <c r="FB65" i="6" s="1"/>
  <c r="EE65" i="6"/>
  <c r="FD65" i="6" s="1"/>
  <c r="EF65" i="6"/>
  <c r="EG65" i="6"/>
  <c r="FF65" i="6" s="1"/>
  <c r="DO66" i="6"/>
  <c r="EN66" i="6" s="1"/>
  <c r="DP66" i="6"/>
  <c r="EO66" i="6" s="1"/>
  <c r="DQ66" i="6"/>
  <c r="EP66" i="6" s="1"/>
  <c r="DS66" i="6"/>
  <c r="ER66" i="6" s="1"/>
  <c r="DT66" i="6"/>
  <c r="ES66" i="6" s="1"/>
  <c r="DU66" i="6"/>
  <c r="ET66" i="6" s="1"/>
  <c r="DV66" i="6"/>
  <c r="EU66" i="6" s="1"/>
  <c r="DW66" i="6"/>
  <c r="EV66" i="6" s="1"/>
  <c r="DX66" i="6"/>
  <c r="EW66" i="6" s="1"/>
  <c r="DY66" i="6"/>
  <c r="EX66" i="6" s="1"/>
  <c r="DZ66" i="6"/>
  <c r="EY66" i="6" s="1"/>
  <c r="EA66" i="6"/>
  <c r="EZ66" i="6" s="1"/>
  <c r="EC66" i="6"/>
  <c r="FB66" i="6" s="1"/>
  <c r="EE66" i="6"/>
  <c r="FD66" i="6" s="1"/>
  <c r="EF66" i="6"/>
  <c r="EG66" i="6"/>
  <c r="FF66" i="6" s="1"/>
  <c r="DO67" i="6"/>
  <c r="EN67" i="6" s="1"/>
  <c r="DP67" i="6"/>
  <c r="DQ67" i="6"/>
  <c r="EP67" i="6" s="1"/>
  <c r="DS67" i="6"/>
  <c r="ER67" i="6" s="1"/>
  <c r="DT67" i="6"/>
  <c r="ES67" i="6" s="1"/>
  <c r="DU67" i="6"/>
  <c r="ET67" i="6" s="1"/>
  <c r="DV67" i="6"/>
  <c r="EU67" i="6" s="1"/>
  <c r="DW67" i="6"/>
  <c r="EV67" i="6" s="1"/>
  <c r="DX67" i="6"/>
  <c r="EW67" i="6" s="1"/>
  <c r="DY67" i="6"/>
  <c r="DZ67" i="6"/>
  <c r="EY67" i="6" s="1"/>
  <c r="EA67" i="6"/>
  <c r="EZ67" i="6" s="1"/>
  <c r="EC67" i="6"/>
  <c r="FB67" i="6" s="1"/>
  <c r="EE67" i="6"/>
  <c r="FD67" i="6" s="1"/>
  <c r="EF67" i="6"/>
  <c r="EG67" i="6"/>
  <c r="FF67" i="6" s="1"/>
  <c r="DO68" i="6"/>
  <c r="EN68" i="6" s="1"/>
  <c r="DP68" i="6"/>
  <c r="EO68" i="6" s="1"/>
  <c r="DQ68" i="6"/>
  <c r="EP68" i="6" s="1"/>
  <c r="DS68" i="6"/>
  <c r="ER68" i="6" s="1"/>
  <c r="DT68" i="6"/>
  <c r="ES68" i="6" s="1"/>
  <c r="DU68" i="6"/>
  <c r="ET68" i="6" s="1"/>
  <c r="DV68" i="6"/>
  <c r="EU68" i="6" s="1"/>
  <c r="DW68" i="6"/>
  <c r="EV68" i="6" s="1"/>
  <c r="DX68" i="6"/>
  <c r="EW68" i="6" s="1"/>
  <c r="DY68" i="6"/>
  <c r="EX68" i="6" s="1"/>
  <c r="DZ68" i="6"/>
  <c r="EY68" i="6" s="1"/>
  <c r="EA68" i="6"/>
  <c r="EZ68" i="6" s="1"/>
  <c r="EC68" i="6"/>
  <c r="FB68" i="6" s="1"/>
  <c r="EE68" i="6"/>
  <c r="FD68" i="6" s="1"/>
  <c r="EF68" i="6"/>
  <c r="FE68" i="6" s="1"/>
  <c r="EG68" i="6"/>
  <c r="FF68" i="6" s="1"/>
  <c r="DO69" i="6"/>
  <c r="EN69" i="6" s="1"/>
  <c r="DP69" i="6"/>
  <c r="EO69" i="6" s="1"/>
  <c r="DQ69" i="6"/>
  <c r="EP69" i="6" s="1"/>
  <c r="DS69" i="6"/>
  <c r="ER69" i="6" s="1"/>
  <c r="DT69" i="6"/>
  <c r="ES69" i="6" s="1"/>
  <c r="DU69" i="6"/>
  <c r="ET69" i="6" s="1"/>
  <c r="DV69" i="6"/>
  <c r="EU69" i="6" s="1"/>
  <c r="DW69" i="6"/>
  <c r="EV69" i="6" s="1"/>
  <c r="DX69" i="6"/>
  <c r="EW69" i="6" s="1"/>
  <c r="DY69" i="6"/>
  <c r="EX69" i="6" s="1"/>
  <c r="DZ69" i="6"/>
  <c r="EY69" i="6" s="1"/>
  <c r="EA69" i="6"/>
  <c r="EZ69" i="6" s="1"/>
  <c r="EC69" i="6"/>
  <c r="FB69" i="6" s="1"/>
  <c r="EE69" i="6"/>
  <c r="FD69" i="6" s="1"/>
  <c r="EF69" i="6"/>
  <c r="EG69" i="6"/>
  <c r="FF69" i="6" s="1"/>
  <c r="DO70" i="6"/>
  <c r="EN70" i="6" s="1"/>
  <c r="DP70" i="6"/>
  <c r="EO70" i="6" s="1"/>
  <c r="DQ70" i="6"/>
  <c r="EP70" i="6" s="1"/>
  <c r="DS70" i="6"/>
  <c r="DT70" i="6"/>
  <c r="ES70" i="6" s="1"/>
  <c r="DU70" i="6"/>
  <c r="ET70" i="6" s="1"/>
  <c r="DV70" i="6"/>
  <c r="EU70" i="6" s="1"/>
  <c r="DW70" i="6"/>
  <c r="EV70" i="6" s="1"/>
  <c r="DX70" i="6"/>
  <c r="EW70" i="6" s="1"/>
  <c r="DY70" i="6"/>
  <c r="EX70" i="6" s="1"/>
  <c r="DZ70" i="6"/>
  <c r="EY70" i="6" s="1"/>
  <c r="EA70" i="6"/>
  <c r="EZ70" i="6" s="1"/>
  <c r="EC70" i="6"/>
  <c r="FB70" i="6" s="1"/>
  <c r="EE70" i="6"/>
  <c r="FD70" i="6" s="1"/>
  <c r="EF70" i="6"/>
  <c r="FE70" i="6" s="1"/>
  <c r="EG70" i="6"/>
  <c r="FF70" i="6" s="1"/>
  <c r="DO71" i="6"/>
  <c r="EN71" i="6" s="1"/>
  <c r="DP71" i="6"/>
  <c r="EO71" i="6" s="1"/>
  <c r="DQ71" i="6"/>
  <c r="EP71" i="6" s="1"/>
  <c r="DS71" i="6"/>
  <c r="ER71" i="6" s="1"/>
  <c r="DT71" i="6"/>
  <c r="ES71" i="6" s="1"/>
  <c r="DU71" i="6"/>
  <c r="DV71" i="6"/>
  <c r="EU71" i="6" s="1"/>
  <c r="DW71" i="6"/>
  <c r="EV71" i="6" s="1"/>
  <c r="DX71" i="6"/>
  <c r="EW71" i="6" s="1"/>
  <c r="DY71" i="6"/>
  <c r="EX71" i="6" s="1"/>
  <c r="DZ71" i="6"/>
  <c r="EY71" i="6" s="1"/>
  <c r="EA71" i="6"/>
  <c r="EZ71" i="6" s="1"/>
  <c r="EC71" i="6"/>
  <c r="FB71" i="6" s="1"/>
  <c r="EE71" i="6"/>
  <c r="FD71" i="6" s="1"/>
  <c r="EF71" i="6"/>
  <c r="EG71" i="6"/>
  <c r="FF71" i="6" s="1"/>
  <c r="DO72" i="6"/>
  <c r="EN72" i="6" s="1"/>
  <c r="DP72" i="6"/>
  <c r="EO72" i="6" s="1"/>
  <c r="DQ72" i="6"/>
  <c r="EP72" i="6" s="1"/>
  <c r="DS72" i="6"/>
  <c r="DT72" i="6"/>
  <c r="ES72" i="6" s="1"/>
  <c r="DU72" i="6"/>
  <c r="ET72" i="6" s="1"/>
  <c r="DV72" i="6"/>
  <c r="EU72" i="6" s="1"/>
  <c r="DW72" i="6"/>
  <c r="EV72" i="6" s="1"/>
  <c r="DX72" i="6"/>
  <c r="EW72" i="6" s="1"/>
  <c r="DY72" i="6"/>
  <c r="EX72" i="6" s="1"/>
  <c r="DZ72" i="6"/>
  <c r="EY72" i="6" s="1"/>
  <c r="EA72" i="6"/>
  <c r="EZ72" i="6" s="1"/>
  <c r="EC72" i="6"/>
  <c r="FB72" i="6" s="1"/>
  <c r="EE72" i="6"/>
  <c r="FD72" i="6" s="1"/>
  <c r="EF72" i="6"/>
  <c r="EG72" i="6"/>
  <c r="FF72" i="6" s="1"/>
  <c r="DO73" i="6"/>
  <c r="DP73" i="6"/>
  <c r="EO73" i="6" s="1"/>
  <c r="DQ73" i="6"/>
  <c r="EP73" i="6" s="1"/>
  <c r="DS73" i="6"/>
  <c r="ER73" i="6" s="1"/>
  <c r="DT73" i="6"/>
  <c r="ES73" i="6" s="1"/>
  <c r="DU73" i="6"/>
  <c r="DV73" i="6"/>
  <c r="EU73" i="6" s="1"/>
  <c r="DW73" i="6"/>
  <c r="EV73" i="6" s="1"/>
  <c r="DX73" i="6"/>
  <c r="EW73" i="6" s="1"/>
  <c r="DY73" i="6"/>
  <c r="DZ73" i="6"/>
  <c r="EY73" i="6" s="1"/>
  <c r="EA73" i="6"/>
  <c r="EZ73" i="6" s="1"/>
  <c r="EC73" i="6"/>
  <c r="FB73" i="6" s="1"/>
  <c r="EE73" i="6"/>
  <c r="FD73" i="6" s="1"/>
  <c r="EF73" i="6"/>
  <c r="EG73" i="6"/>
  <c r="FF73" i="6" s="1"/>
  <c r="EN73" i="6"/>
  <c r="DO74" i="6"/>
  <c r="DP74" i="6"/>
  <c r="EO74" i="6" s="1"/>
  <c r="DQ74" i="6"/>
  <c r="EP74" i="6" s="1"/>
  <c r="DS74" i="6"/>
  <c r="DT74" i="6"/>
  <c r="ES74" i="6" s="1"/>
  <c r="DU74" i="6"/>
  <c r="ET74" i="6" s="1"/>
  <c r="DV74" i="6"/>
  <c r="EU74" i="6" s="1"/>
  <c r="DW74" i="6"/>
  <c r="EV74" i="6" s="1"/>
  <c r="DX74" i="6"/>
  <c r="EW74" i="6" s="1"/>
  <c r="DY74" i="6"/>
  <c r="EX74" i="6" s="1"/>
  <c r="DZ74" i="6"/>
  <c r="EY74" i="6" s="1"/>
  <c r="EA74" i="6"/>
  <c r="EZ74" i="6" s="1"/>
  <c r="EC74" i="6"/>
  <c r="FB74" i="6" s="1"/>
  <c r="EE74" i="6"/>
  <c r="FD74" i="6" s="1"/>
  <c r="EF74" i="6"/>
  <c r="EG74" i="6"/>
  <c r="FF74" i="6" s="1"/>
  <c r="EN74" i="6"/>
  <c r="DO75" i="6"/>
  <c r="EN75" i="6" s="1"/>
  <c r="DP75" i="6"/>
  <c r="EO75" i="6" s="1"/>
  <c r="DQ75" i="6"/>
  <c r="EP75" i="6" s="1"/>
  <c r="DS75" i="6"/>
  <c r="ER75" i="6" s="1"/>
  <c r="DT75" i="6"/>
  <c r="ES75" i="6" s="1"/>
  <c r="DU75" i="6"/>
  <c r="DV75" i="6"/>
  <c r="EU75" i="6" s="1"/>
  <c r="DW75" i="6"/>
  <c r="EV75" i="6" s="1"/>
  <c r="DX75" i="6"/>
  <c r="EW75" i="6" s="1"/>
  <c r="DY75" i="6"/>
  <c r="EX75" i="6" s="1"/>
  <c r="DZ75" i="6"/>
  <c r="EY75" i="6" s="1"/>
  <c r="EA75" i="6"/>
  <c r="EZ75" i="6" s="1"/>
  <c r="EC75" i="6"/>
  <c r="FB75" i="6" s="1"/>
  <c r="EE75" i="6"/>
  <c r="FD75" i="6" s="1"/>
  <c r="EF75" i="6"/>
  <c r="EG75" i="6"/>
  <c r="FF75" i="6" s="1"/>
  <c r="DO76" i="6"/>
  <c r="EN76" i="6" s="1"/>
  <c r="DP76" i="6"/>
  <c r="EO76" i="6" s="1"/>
  <c r="DQ76" i="6"/>
  <c r="EP76" i="6" s="1"/>
  <c r="DS76" i="6"/>
  <c r="ER76" i="6" s="1"/>
  <c r="DT76" i="6"/>
  <c r="ES76" i="6" s="1"/>
  <c r="DU76" i="6"/>
  <c r="ET76" i="6" s="1"/>
  <c r="DV76" i="6"/>
  <c r="EU76" i="6" s="1"/>
  <c r="DW76" i="6"/>
  <c r="EV76" i="6" s="1"/>
  <c r="DX76" i="6"/>
  <c r="EW76" i="6" s="1"/>
  <c r="DY76" i="6"/>
  <c r="EX76" i="6" s="1"/>
  <c r="DZ76" i="6"/>
  <c r="EY76" i="6" s="1"/>
  <c r="EA76" i="6"/>
  <c r="EZ76" i="6" s="1"/>
  <c r="EC76" i="6"/>
  <c r="FB76" i="6" s="1"/>
  <c r="EE76" i="6"/>
  <c r="FD76" i="6" s="1"/>
  <c r="EF76" i="6"/>
  <c r="FE76" i="6" s="1"/>
  <c r="EG76" i="6"/>
  <c r="FF76" i="6" s="1"/>
  <c r="DO77" i="6"/>
  <c r="EN77" i="6" s="1"/>
  <c r="DP77" i="6"/>
  <c r="EO77" i="6" s="1"/>
  <c r="DQ77" i="6"/>
  <c r="EP77" i="6" s="1"/>
  <c r="DS77" i="6"/>
  <c r="ER77" i="6" s="1"/>
  <c r="DT77" i="6"/>
  <c r="ES77" i="6" s="1"/>
  <c r="DU77" i="6"/>
  <c r="DV77" i="6"/>
  <c r="EU77" i="6" s="1"/>
  <c r="DW77" i="6"/>
  <c r="EV77" i="6" s="1"/>
  <c r="DX77" i="6"/>
  <c r="EW77" i="6" s="1"/>
  <c r="DY77" i="6"/>
  <c r="EX77" i="6" s="1"/>
  <c r="DZ77" i="6"/>
  <c r="EY77" i="6" s="1"/>
  <c r="EA77" i="6"/>
  <c r="EZ77" i="6" s="1"/>
  <c r="EC77" i="6"/>
  <c r="FB77" i="6" s="1"/>
  <c r="EE77" i="6"/>
  <c r="FD77" i="6" s="1"/>
  <c r="EF77" i="6"/>
  <c r="EG77" i="6"/>
  <c r="FF77" i="6" s="1"/>
  <c r="DO78" i="6"/>
  <c r="EN78" i="6" s="1"/>
  <c r="DP78" i="6"/>
  <c r="EO78" i="6" s="1"/>
  <c r="DQ78" i="6"/>
  <c r="EP78" i="6" s="1"/>
  <c r="DS78" i="6"/>
  <c r="ER78" i="6" s="1"/>
  <c r="DT78" i="6"/>
  <c r="ES78" i="6" s="1"/>
  <c r="DU78" i="6"/>
  <c r="ET78" i="6" s="1"/>
  <c r="DV78" i="6"/>
  <c r="EU78" i="6" s="1"/>
  <c r="DW78" i="6"/>
  <c r="EV78" i="6" s="1"/>
  <c r="DX78" i="6"/>
  <c r="EW78" i="6" s="1"/>
  <c r="DY78" i="6"/>
  <c r="EX78" i="6" s="1"/>
  <c r="DZ78" i="6"/>
  <c r="EY78" i="6" s="1"/>
  <c r="EA78" i="6"/>
  <c r="EZ78" i="6" s="1"/>
  <c r="EC78" i="6"/>
  <c r="FB78" i="6" s="1"/>
  <c r="EE78" i="6"/>
  <c r="FD78" i="6" s="1"/>
  <c r="EF78" i="6"/>
  <c r="FE78" i="6" s="1"/>
  <c r="EG78" i="6"/>
  <c r="DO79" i="6"/>
  <c r="EN79" i="6" s="1"/>
  <c r="DP79" i="6"/>
  <c r="EO79" i="6" s="1"/>
  <c r="DQ79" i="6"/>
  <c r="EP79" i="6" s="1"/>
  <c r="DS79" i="6"/>
  <c r="ER79" i="6" s="1"/>
  <c r="DT79" i="6"/>
  <c r="ES79" i="6" s="1"/>
  <c r="DU79" i="6"/>
  <c r="DV79" i="6"/>
  <c r="EU79" i="6" s="1"/>
  <c r="DW79" i="6"/>
  <c r="EV79" i="6" s="1"/>
  <c r="DX79" i="6"/>
  <c r="EW79" i="6" s="1"/>
  <c r="DY79" i="6"/>
  <c r="EX79" i="6" s="1"/>
  <c r="DZ79" i="6"/>
  <c r="EY79" i="6" s="1"/>
  <c r="EA79" i="6"/>
  <c r="EZ79" i="6" s="1"/>
  <c r="EC79" i="6"/>
  <c r="FB79" i="6" s="1"/>
  <c r="EE79" i="6"/>
  <c r="FD79" i="6" s="1"/>
  <c r="EF79" i="6"/>
  <c r="EG79" i="6"/>
  <c r="FF79" i="6" s="1"/>
  <c r="DO80" i="6"/>
  <c r="DP80" i="6"/>
  <c r="EO80" i="6" s="1"/>
  <c r="DQ80" i="6"/>
  <c r="EP80" i="6" s="1"/>
  <c r="DS80" i="6"/>
  <c r="DT80" i="6"/>
  <c r="ES80" i="6" s="1"/>
  <c r="DU80" i="6"/>
  <c r="ET80" i="6" s="1"/>
  <c r="DV80" i="6"/>
  <c r="EU80" i="6" s="1"/>
  <c r="DW80" i="6"/>
  <c r="EV80" i="6" s="1"/>
  <c r="DX80" i="6"/>
  <c r="EW80" i="6" s="1"/>
  <c r="DY80" i="6"/>
  <c r="EX80" i="6" s="1"/>
  <c r="DZ80" i="6"/>
  <c r="EY80" i="6" s="1"/>
  <c r="EA80" i="6"/>
  <c r="EZ80" i="6" s="1"/>
  <c r="EC80" i="6"/>
  <c r="FB80" i="6" s="1"/>
  <c r="EE80" i="6"/>
  <c r="FD80" i="6" s="1"/>
  <c r="EF80" i="6"/>
  <c r="FE80" i="6" s="1"/>
  <c r="EG80" i="6"/>
  <c r="FF80" i="6" s="1"/>
  <c r="EN80" i="6"/>
  <c r="DO50" i="6"/>
  <c r="EN50" i="6" s="1"/>
  <c r="DP50" i="6"/>
  <c r="EO50" i="6" s="1"/>
  <c r="DQ50" i="6"/>
  <c r="EP50" i="6" s="1"/>
  <c r="DS50" i="6"/>
  <c r="ER50" i="6" s="1"/>
  <c r="DT50" i="6"/>
  <c r="ES50" i="6" s="1"/>
  <c r="DU50" i="6"/>
  <c r="ET50" i="6" s="1"/>
  <c r="DV50" i="6"/>
  <c r="DW50" i="6"/>
  <c r="EV50" i="6" s="1"/>
  <c r="DX50" i="6"/>
  <c r="DY50" i="6"/>
  <c r="EX50" i="6" s="1"/>
  <c r="DZ50" i="6"/>
  <c r="EY50" i="6" s="1"/>
  <c r="EA50" i="6"/>
  <c r="EZ50" i="6" s="1"/>
  <c r="EC50" i="6"/>
  <c r="FB50" i="6" s="1"/>
  <c r="EE50" i="6"/>
  <c r="FD50" i="6" s="1"/>
  <c r="EF50" i="6"/>
  <c r="EG50" i="6"/>
  <c r="FF50" i="6" s="1"/>
  <c r="DO51" i="6"/>
  <c r="EN51" i="6" s="1"/>
  <c r="DP51" i="6"/>
  <c r="EO51" i="6" s="1"/>
  <c r="DQ51" i="6"/>
  <c r="EP51" i="6" s="1"/>
  <c r="DS51" i="6"/>
  <c r="ER51" i="6" s="1"/>
  <c r="DT51" i="6"/>
  <c r="ES51" i="6" s="1"/>
  <c r="DU51" i="6"/>
  <c r="ET51" i="6" s="1"/>
  <c r="DV51" i="6"/>
  <c r="EU51" i="6" s="1"/>
  <c r="DW51" i="6"/>
  <c r="EV51" i="6" s="1"/>
  <c r="DX51" i="6"/>
  <c r="EW51" i="6" s="1"/>
  <c r="DY51" i="6"/>
  <c r="EX51" i="6" s="1"/>
  <c r="DZ51" i="6"/>
  <c r="EY51" i="6" s="1"/>
  <c r="EA51" i="6"/>
  <c r="EZ51" i="6" s="1"/>
  <c r="EC51" i="6"/>
  <c r="FB51" i="6" s="1"/>
  <c r="EE51" i="6"/>
  <c r="FD51" i="6" s="1"/>
  <c r="EF51" i="6"/>
  <c r="EG51" i="6"/>
  <c r="FF51" i="6" s="1"/>
  <c r="DO52" i="6"/>
  <c r="EN52" i="6" s="1"/>
  <c r="DP52" i="6"/>
  <c r="DQ52" i="6"/>
  <c r="EP52" i="6" s="1"/>
  <c r="DS52" i="6"/>
  <c r="ER52" i="6" s="1"/>
  <c r="DT52" i="6"/>
  <c r="ES52" i="6" s="1"/>
  <c r="DU52" i="6"/>
  <c r="ET52" i="6" s="1"/>
  <c r="DV52" i="6"/>
  <c r="DW52" i="6"/>
  <c r="EV52" i="6" s="1"/>
  <c r="DX52" i="6"/>
  <c r="DY52" i="6"/>
  <c r="EX52" i="6" s="1"/>
  <c r="DZ52" i="6"/>
  <c r="EY52" i="6" s="1"/>
  <c r="EA52" i="6"/>
  <c r="EZ52" i="6" s="1"/>
  <c r="EC52" i="6"/>
  <c r="FB52" i="6" s="1"/>
  <c r="EE52" i="6"/>
  <c r="FD52" i="6" s="1"/>
  <c r="EF52" i="6"/>
  <c r="EG52" i="6"/>
  <c r="FF52" i="6" s="1"/>
  <c r="DO53" i="6"/>
  <c r="EN53" i="6" s="1"/>
  <c r="DP53" i="6"/>
  <c r="EO53" i="6" s="1"/>
  <c r="DQ53" i="6"/>
  <c r="EP53" i="6" s="1"/>
  <c r="DS53" i="6"/>
  <c r="ER53" i="6" s="1"/>
  <c r="DT53" i="6"/>
  <c r="ES53" i="6" s="1"/>
  <c r="DU53" i="6"/>
  <c r="ET53" i="6" s="1"/>
  <c r="DV53" i="6"/>
  <c r="EU53" i="6" s="1"/>
  <c r="DW53" i="6"/>
  <c r="EV53" i="6" s="1"/>
  <c r="DX53" i="6"/>
  <c r="EW53" i="6" s="1"/>
  <c r="DY53" i="6"/>
  <c r="EX53" i="6" s="1"/>
  <c r="DZ53" i="6"/>
  <c r="EY53" i="6" s="1"/>
  <c r="EA53" i="6"/>
  <c r="EZ53" i="6" s="1"/>
  <c r="EC53" i="6"/>
  <c r="FB53" i="6" s="1"/>
  <c r="EE53" i="6"/>
  <c r="FD53" i="6" s="1"/>
  <c r="EF53" i="6"/>
  <c r="FE53" i="6" s="1"/>
  <c r="EG53" i="6"/>
  <c r="DO54" i="6"/>
  <c r="DP54" i="6"/>
  <c r="EO54" i="6" s="1"/>
  <c r="DQ54" i="6"/>
  <c r="EP54" i="6" s="1"/>
  <c r="DS54" i="6"/>
  <c r="ER54" i="6" s="1"/>
  <c r="DT54" i="6"/>
  <c r="ES54" i="6" s="1"/>
  <c r="DU54" i="6"/>
  <c r="ET54" i="6" s="1"/>
  <c r="DV54" i="6"/>
  <c r="DW54" i="6"/>
  <c r="EV54" i="6" s="1"/>
  <c r="DX54" i="6"/>
  <c r="DY54" i="6"/>
  <c r="EX54" i="6" s="1"/>
  <c r="DZ54" i="6"/>
  <c r="EY54" i="6" s="1"/>
  <c r="EA54" i="6"/>
  <c r="EZ54" i="6" s="1"/>
  <c r="EC54" i="6"/>
  <c r="FB54" i="6" s="1"/>
  <c r="EE54" i="6"/>
  <c r="FD54" i="6" s="1"/>
  <c r="EF54" i="6"/>
  <c r="EG54" i="6"/>
  <c r="FF54" i="6" s="1"/>
  <c r="DO55" i="6"/>
  <c r="EN55" i="6" s="1"/>
  <c r="DP55" i="6"/>
  <c r="EO55" i="6" s="1"/>
  <c r="DQ55" i="6"/>
  <c r="EP55" i="6" s="1"/>
  <c r="DS55" i="6"/>
  <c r="ER55" i="6" s="1"/>
  <c r="DT55" i="6"/>
  <c r="ES55" i="6" s="1"/>
  <c r="DU55" i="6"/>
  <c r="ET55" i="6" s="1"/>
  <c r="DV55" i="6"/>
  <c r="EU55" i="6" s="1"/>
  <c r="DW55" i="6"/>
  <c r="EV55" i="6" s="1"/>
  <c r="DX55" i="6"/>
  <c r="EW55" i="6" s="1"/>
  <c r="DY55" i="6"/>
  <c r="EX55" i="6" s="1"/>
  <c r="DZ55" i="6"/>
  <c r="EY55" i="6" s="1"/>
  <c r="EA55" i="6"/>
  <c r="EZ55" i="6" s="1"/>
  <c r="EC55" i="6"/>
  <c r="FB55" i="6" s="1"/>
  <c r="EE55" i="6"/>
  <c r="FD55" i="6" s="1"/>
  <c r="EF55" i="6"/>
  <c r="FE55" i="6" s="1"/>
  <c r="EG55" i="6"/>
  <c r="FF55" i="6" s="1"/>
  <c r="DO56" i="6"/>
  <c r="EN56" i="6" s="1"/>
  <c r="DP56" i="6"/>
  <c r="EO56" i="6" s="1"/>
  <c r="DQ56" i="6"/>
  <c r="EP56" i="6" s="1"/>
  <c r="DS56" i="6"/>
  <c r="ER56" i="6" s="1"/>
  <c r="DT56" i="6"/>
  <c r="ES56" i="6" s="1"/>
  <c r="DU56" i="6"/>
  <c r="ET56" i="6" s="1"/>
  <c r="DV56" i="6"/>
  <c r="DW56" i="6"/>
  <c r="EV56" i="6" s="1"/>
  <c r="DX56" i="6"/>
  <c r="DY56" i="6"/>
  <c r="EX56" i="6" s="1"/>
  <c r="DZ56" i="6"/>
  <c r="EY56" i="6" s="1"/>
  <c r="EA56" i="6"/>
  <c r="EZ56" i="6" s="1"/>
  <c r="EC56" i="6"/>
  <c r="FB56" i="6" s="1"/>
  <c r="EE56" i="6"/>
  <c r="FD56" i="6" s="1"/>
  <c r="EF56" i="6"/>
  <c r="EG56" i="6"/>
  <c r="FF56" i="6" s="1"/>
  <c r="DO57" i="6"/>
  <c r="DP57" i="6"/>
  <c r="EO57" i="6" s="1"/>
  <c r="DQ57" i="6"/>
  <c r="EP57" i="6" s="1"/>
  <c r="DS57" i="6"/>
  <c r="ER57" i="6" s="1"/>
  <c r="DT57" i="6"/>
  <c r="ES57" i="6" s="1"/>
  <c r="DU57" i="6"/>
  <c r="ET57" i="6" s="1"/>
  <c r="DV57" i="6"/>
  <c r="EU57" i="6" s="1"/>
  <c r="DW57" i="6"/>
  <c r="EV57" i="6" s="1"/>
  <c r="DX57" i="6"/>
  <c r="EW57" i="6" s="1"/>
  <c r="DY57" i="6"/>
  <c r="EX57" i="6" s="1"/>
  <c r="DZ57" i="6"/>
  <c r="EY57" i="6" s="1"/>
  <c r="EA57" i="6"/>
  <c r="EZ57" i="6" s="1"/>
  <c r="EC57" i="6"/>
  <c r="FB57" i="6" s="1"/>
  <c r="EE57" i="6"/>
  <c r="FD57" i="6" s="1"/>
  <c r="EF57" i="6"/>
  <c r="EG57" i="6"/>
  <c r="FF57" i="6" s="1"/>
  <c r="EN57" i="6"/>
  <c r="DO58" i="6"/>
  <c r="EN58" i="6" s="1"/>
  <c r="DP58" i="6"/>
  <c r="EO58" i="6" s="1"/>
  <c r="DQ58" i="6"/>
  <c r="EP58" i="6" s="1"/>
  <c r="DS58" i="6"/>
  <c r="ER58" i="6" s="1"/>
  <c r="DT58" i="6"/>
  <c r="ES58" i="6" s="1"/>
  <c r="DU58" i="6"/>
  <c r="ET58" i="6" s="1"/>
  <c r="DV58" i="6"/>
  <c r="DW58" i="6"/>
  <c r="EV58" i="6" s="1"/>
  <c r="DX58" i="6"/>
  <c r="DY58" i="6"/>
  <c r="EX58" i="6" s="1"/>
  <c r="DZ58" i="6"/>
  <c r="EY58" i="6" s="1"/>
  <c r="EA58" i="6"/>
  <c r="EZ58" i="6" s="1"/>
  <c r="EC58" i="6"/>
  <c r="FB58" i="6" s="1"/>
  <c r="EE58" i="6"/>
  <c r="FD58" i="6" s="1"/>
  <c r="EF58" i="6"/>
  <c r="EG58" i="6"/>
  <c r="FF58" i="6" s="1"/>
  <c r="DO59" i="6"/>
  <c r="DP59" i="6"/>
  <c r="EO59" i="6" s="1"/>
  <c r="DQ59" i="6"/>
  <c r="EP59" i="6" s="1"/>
  <c r="DS59" i="6"/>
  <c r="ER59" i="6" s="1"/>
  <c r="DT59" i="6"/>
  <c r="ES59" i="6" s="1"/>
  <c r="DU59" i="6"/>
  <c r="ET59" i="6" s="1"/>
  <c r="DV59" i="6"/>
  <c r="EU59" i="6" s="1"/>
  <c r="DW59" i="6"/>
  <c r="EV59" i="6" s="1"/>
  <c r="DX59" i="6"/>
  <c r="EW59" i="6" s="1"/>
  <c r="DY59" i="6"/>
  <c r="EX59" i="6" s="1"/>
  <c r="DZ59" i="6"/>
  <c r="EY59" i="6" s="1"/>
  <c r="EA59" i="6"/>
  <c r="EC59" i="6"/>
  <c r="FB59" i="6" s="1"/>
  <c r="EE59" i="6"/>
  <c r="FD59" i="6" s="1"/>
  <c r="EF59" i="6"/>
  <c r="EG59" i="6"/>
  <c r="FF59" i="6" s="1"/>
  <c r="EN59" i="6"/>
  <c r="DO60" i="6"/>
  <c r="EN60" i="6" s="1"/>
  <c r="DP60" i="6"/>
  <c r="EO60" i="6" s="1"/>
  <c r="DQ60" i="6"/>
  <c r="EP60" i="6" s="1"/>
  <c r="DS60" i="6"/>
  <c r="ER60" i="6" s="1"/>
  <c r="DT60" i="6"/>
  <c r="ES60" i="6" s="1"/>
  <c r="DU60" i="6"/>
  <c r="ET60" i="6" s="1"/>
  <c r="DV60" i="6"/>
  <c r="DW60" i="6"/>
  <c r="EV60" i="6" s="1"/>
  <c r="DX60" i="6"/>
  <c r="DY60" i="6"/>
  <c r="EX60" i="6" s="1"/>
  <c r="DZ60" i="6"/>
  <c r="EY60" i="6" s="1"/>
  <c r="EA60" i="6"/>
  <c r="EZ60" i="6" s="1"/>
  <c r="EC60" i="6"/>
  <c r="FB60" i="6" s="1"/>
  <c r="EE60" i="6"/>
  <c r="FD60" i="6" s="1"/>
  <c r="EF60" i="6"/>
  <c r="EG60" i="6"/>
  <c r="FF60" i="6" s="1"/>
  <c r="DO61" i="6"/>
  <c r="EN61" i="6" s="1"/>
  <c r="DP61" i="6"/>
  <c r="EO61" i="6" s="1"/>
  <c r="DQ61" i="6"/>
  <c r="EP61" i="6" s="1"/>
  <c r="DS61" i="6"/>
  <c r="ER61" i="6" s="1"/>
  <c r="DT61" i="6"/>
  <c r="ES61" i="6" s="1"/>
  <c r="DU61" i="6"/>
  <c r="ET61" i="6" s="1"/>
  <c r="DV61" i="6"/>
  <c r="EU61" i="6" s="1"/>
  <c r="DW61" i="6"/>
  <c r="EV61" i="6" s="1"/>
  <c r="DX61" i="6"/>
  <c r="EW61" i="6" s="1"/>
  <c r="DY61" i="6"/>
  <c r="EX61" i="6" s="1"/>
  <c r="DZ61" i="6"/>
  <c r="EY61" i="6" s="1"/>
  <c r="EA61" i="6"/>
  <c r="EZ61" i="6" s="1"/>
  <c r="EC61" i="6"/>
  <c r="FB61" i="6" s="1"/>
  <c r="EE61" i="6"/>
  <c r="FD61" i="6" s="1"/>
  <c r="EF61" i="6"/>
  <c r="FE61" i="6" s="1"/>
  <c r="EG61" i="6"/>
  <c r="DO62" i="6"/>
  <c r="EN62" i="6" s="1"/>
  <c r="DP62" i="6"/>
  <c r="DQ62" i="6"/>
  <c r="EP62" i="6" s="1"/>
  <c r="DS62" i="6"/>
  <c r="ER62" i="6" s="1"/>
  <c r="DT62" i="6"/>
  <c r="ES62" i="6" s="1"/>
  <c r="DU62" i="6"/>
  <c r="ET62" i="6" s="1"/>
  <c r="DV62" i="6"/>
  <c r="DW62" i="6"/>
  <c r="EV62" i="6" s="1"/>
  <c r="DX62" i="6"/>
  <c r="DY62" i="6"/>
  <c r="EX62" i="6" s="1"/>
  <c r="DZ62" i="6"/>
  <c r="EY62" i="6" s="1"/>
  <c r="EA62" i="6"/>
  <c r="EZ62" i="6" s="1"/>
  <c r="EC62" i="6"/>
  <c r="FB62" i="6" s="1"/>
  <c r="EE62" i="6"/>
  <c r="FD62" i="6" s="1"/>
  <c r="EF62" i="6"/>
  <c r="EG62" i="6"/>
  <c r="FF62" i="6" s="1"/>
  <c r="DO63" i="6"/>
  <c r="EN63" i="6" s="1"/>
  <c r="DP63" i="6"/>
  <c r="EO63" i="6" s="1"/>
  <c r="DQ63" i="6"/>
  <c r="EP63" i="6" s="1"/>
  <c r="DS63" i="6"/>
  <c r="ER63" i="6" s="1"/>
  <c r="DT63" i="6"/>
  <c r="ES63" i="6" s="1"/>
  <c r="DU63" i="6"/>
  <c r="ET63" i="6" s="1"/>
  <c r="DV63" i="6"/>
  <c r="EU63" i="6" s="1"/>
  <c r="DW63" i="6"/>
  <c r="EV63" i="6" s="1"/>
  <c r="DX63" i="6"/>
  <c r="EW63" i="6" s="1"/>
  <c r="DY63" i="6"/>
  <c r="EX63" i="6" s="1"/>
  <c r="DZ63" i="6"/>
  <c r="EY63" i="6" s="1"/>
  <c r="EA63" i="6"/>
  <c r="EZ63" i="6" s="1"/>
  <c r="EC63" i="6"/>
  <c r="FB63" i="6" s="1"/>
  <c r="EE63" i="6"/>
  <c r="FD63" i="6" s="1"/>
  <c r="EF63" i="6"/>
  <c r="EG63" i="6"/>
  <c r="FF63" i="6" s="1"/>
  <c r="DO64" i="6"/>
  <c r="EN64" i="6" s="1"/>
  <c r="DP64" i="6"/>
  <c r="EO64" i="6" s="1"/>
  <c r="DQ64" i="6"/>
  <c r="EP64" i="6" s="1"/>
  <c r="DS64" i="6"/>
  <c r="ER64" i="6" s="1"/>
  <c r="DT64" i="6"/>
  <c r="ES64" i="6" s="1"/>
  <c r="DU64" i="6"/>
  <c r="ET64" i="6" s="1"/>
  <c r="DV64" i="6"/>
  <c r="DW64" i="6"/>
  <c r="EV64" i="6" s="1"/>
  <c r="DX64" i="6"/>
  <c r="DY64" i="6"/>
  <c r="EX64" i="6" s="1"/>
  <c r="DZ64" i="6"/>
  <c r="EY64" i="6" s="1"/>
  <c r="EA64" i="6"/>
  <c r="EZ64" i="6" s="1"/>
  <c r="EC64" i="6"/>
  <c r="FB64" i="6" s="1"/>
  <c r="EE64" i="6"/>
  <c r="FD64" i="6" s="1"/>
  <c r="EF64" i="6"/>
  <c r="EG64" i="6"/>
  <c r="FF64" i="6" s="1"/>
  <c r="DO33" i="6"/>
  <c r="EN33" i="6" s="1"/>
  <c r="DP33" i="6"/>
  <c r="DQ33" i="6"/>
  <c r="EP33" i="6" s="1"/>
  <c r="DS33" i="6"/>
  <c r="ER33" i="6" s="1"/>
  <c r="DT33" i="6"/>
  <c r="ES33" i="6" s="1"/>
  <c r="DU33" i="6"/>
  <c r="ET33" i="6" s="1"/>
  <c r="DV33" i="6"/>
  <c r="EU33" i="6" s="1"/>
  <c r="DW33" i="6"/>
  <c r="DX33" i="6"/>
  <c r="EW33" i="6" s="1"/>
  <c r="DY33" i="6"/>
  <c r="EX33" i="6" s="1"/>
  <c r="DZ33" i="6"/>
  <c r="EY33" i="6" s="1"/>
  <c r="EA33" i="6"/>
  <c r="EZ33" i="6" s="1"/>
  <c r="EC33" i="6"/>
  <c r="EE33" i="6"/>
  <c r="FD33" i="6" s="1"/>
  <c r="EF33" i="6"/>
  <c r="FE33" i="6" s="1"/>
  <c r="EG33" i="6"/>
  <c r="DO34" i="6"/>
  <c r="DP34" i="6"/>
  <c r="DQ34" i="6"/>
  <c r="EP34" i="6" s="1"/>
  <c r="DS34" i="6"/>
  <c r="ER34" i="6" s="1"/>
  <c r="DT34" i="6"/>
  <c r="ES34" i="6" s="1"/>
  <c r="DU34" i="6"/>
  <c r="ET34" i="6" s="1"/>
  <c r="DV34" i="6"/>
  <c r="EU34" i="6" s="1"/>
  <c r="DW34" i="6"/>
  <c r="EV34" i="6" s="1"/>
  <c r="DX34" i="6"/>
  <c r="EW34" i="6" s="1"/>
  <c r="DY34" i="6"/>
  <c r="DZ34" i="6"/>
  <c r="EY34" i="6" s="1"/>
  <c r="EA34" i="6"/>
  <c r="EZ34" i="6" s="1"/>
  <c r="EC34" i="6"/>
  <c r="FB34" i="6" s="1"/>
  <c r="EE34" i="6"/>
  <c r="FD34" i="6" s="1"/>
  <c r="EF34" i="6"/>
  <c r="EG34" i="6"/>
  <c r="FF34" i="6" s="1"/>
  <c r="EN34" i="6"/>
  <c r="DO35" i="6"/>
  <c r="DP35" i="6"/>
  <c r="DQ35" i="6"/>
  <c r="EP35" i="6" s="1"/>
  <c r="DS35" i="6"/>
  <c r="ER35" i="6" s="1"/>
  <c r="DT35" i="6"/>
  <c r="ES35" i="6" s="1"/>
  <c r="DU35" i="6"/>
  <c r="ET35" i="6" s="1"/>
  <c r="DV35" i="6"/>
  <c r="EU35" i="6" s="1"/>
  <c r="DW35" i="6"/>
  <c r="DX35" i="6"/>
  <c r="EW35" i="6" s="1"/>
  <c r="DY35" i="6"/>
  <c r="DZ35" i="6"/>
  <c r="EY35" i="6" s="1"/>
  <c r="EA35" i="6"/>
  <c r="EZ35" i="6" s="1"/>
  <c r="EC35" i="6"/>
  <c r="FB35" i="6" s="1"/>
  <c r="EE35" i="6"/>
  <c r="FD35" i="6" s="1"/>
  <c r="EF35" i="6"/>
  <c r="FE35" i="6" s="1"/>
  <c r="EG35" i="6"/>
  <c r="EN35" i="6"/>
  <c r="DO36" i="6"/>
  <c r="EN36" i="6" s="1"/>
  <c r="DP36" i="6"/>
  <c r="EO36" i="6" s="1"/>
  <c r="DQ36" i="6"/>
  <c r="EP36" i="6" s="1"/>
  <c r="DS36" i="6"/>
  <c r="ER36" i="6" s="1"/>
  <c r="DT36" i="6"/>
  <c r="ES36" i="6" s="1"/>
  <c r="DU36" i="6"/>
  <c r="ET36" i="6" s="1"/>
  <c r="DV36" i="6"/>
  <c r="EU36" i="6" s="1"/>
  <c r="DW36" i="6"/>
  <c r="EV36" i="6" s="1"/>
  <c r="DX36" i="6"/>
  <c r="EW36" i="6" s="1"/>
  <c r="DY36" i="6"/>
  <c r="EX36" i="6" s="1"/>
  <c r="DZ36" i="6"/>
  <c r="EY36" i="6" s="1"/>
  <c r="EA36" i="6"/>
  <c r="EZ36" i="6" s="1"/>
  <c r="EC36" i="6"/>
  <c r="FB36" i="6" s="1"/>
  <c r="EE36" i="6"/>
  <c r="FD36" i="6" s="1"/>
  <c r="EF36" i="6"/>
  <c r="FE36" i="6" s="1"/>
  <c r="EG36" i="6"/>
  <c r="DO37" i="6"/>
  <c r="DP37" i="6"/>
  <c r="DQ37" i="6"/>
  <c r="EP37" i="6" s="1"/>
  <c r="DS37" i="6"/>
  <c r="ER37" i="6" s="1"/>
  <c r="DT37" i="6"/>
  <c r="ES37" i="6" s="1"/>
  <c r="DU37" i="6"/>
  <c r="ET37" i="6" s="1"/>
  <c r="DV37" i="6"/>
  <c r="EU37" i="6" s="1"/>
  <c r="DW37" i="6"/>
  <c r="DX37" i="6"/>
  <c r="EW37" i="6" s="1"/>
  <c r="DY37" i="6"/>
  <c r="DZ37" i="6"/>
  <c r="EY37" i="6" s="1"/>
  <c r="EA37" i="6"/>
  <c r="EZ37" i="6" s="1"/>
  <c r="EC37" i="6"/>
  <c r="FB37" i="6" s="1"/>
  <c r="EE37" i="6"/>
  <c r="FD37" i="6" s="1"/>
  <c r="EF37" i="6"/>
  <c r="FE37" i="6" s="1"/>
  <c r="EG37" i="6"/>
  <c r="EN37" i="6"/>
  <c r="DO38" i="6"/>
  <c r="EN38" i="6" s="1"/>
  <c r="DP38" i="6"/>
  <c r="EO38" i="6" s="1"/>
  <c r="DQ38" i="6"/>
  <c r="EP38" i="6" s="1"/>
  <c r="DS38" i="6"/>
  <c r="ER38" i="6" s="1"/>
  <c r="DT38" i="6"/>
  <c r="ES38" i="6" s="1"/>
  <c r="DU38" i="6"/>
  <c r="ET38" i="6" s="1"/>
  <c r="DV38" i="6"/>
  <c r="EU38" i="6" s="1"/>
  <c r="DW38" i="6"/>
  <c r="EV38" i="6" s="1"/>
  <c r="DX38" i="6"/>
  <c r="EW38" i="6" s="1"/>
  <c r="DY38" i="6"/>
  <c r="EX38" i="6" s="1"/>
  <c r="DZ38" i="6"/>
  <c r="EY38" i="6" s="1"/>
  <c r="EA38" i="6"/>
  <c r="EZ38" i="6" s="1"/>
  <c r="EC38" i="6"/>
  <c r="FB38" i="6" s="1"/>
  <c r="EE38" i="6"/>
  <c r="FD38" i="6" s="1"/>
  <c r="EF38" i="6"/>
  <c r="FE38" i="6" s="1"/>
  <c r="EG38" i="6"/>
  <c r="DO39" i="6"/>
  <c r="DP39" i="6"/>
  <c r="DQ39" i="6"/>
  <c r="EP39" i="6" s="1"/>
  <c r="DS39" i="6"/>
  <c r="ER39" i="6" s="1"/>
  <c r="DT39" i="6"/>
  <c r="ES39" i="6" s="1"/>
  <c r="DU39" i="6"/>
  <c r="ET39" i="6" s="1"/>
  <c r="DV39" i="6"/>
  <c r="EU39" i="6" s="1"/>
  <c r="DW39" i="6"/>
  <c r="DX39" i="6"/>
  <c r="EW39" i="6" s="1"/>
  <c r="DY39" i="6"/>
  <c r="DZ39" i="6"/>
  <c r="EY39" i="6" s="1"/>
  <c r="EA39" i="6"/>
  <c r="EZ39" i="6" s="1"/>
  <c r="EC39" i="6"/>
  <c r="FB39" i="6" s="1"/>
  <c r="EE39" i="6"/>
  <c r="FD39" i="6" s="1"/>
  <c r="EF39" i="6"/>
  <c r="FE39" i="6" s="1"/>
  <c r="EG39" i="6"/>
  <c r="EN39" i="6"/>
  <c r="DO40" i="6"/>
  <c r="EN40" i="6" s="1"/>
  <c r="DP40" i="6"/>
  <c r="EO40" i="6" s="1"/>
  <c r="DQ40" i="6"/>
  <c r="EP40" i="6" s="1"/>
  <c r="DS40" i="6"/>
  <c r="ER40" i="6" s="1"/>
  <c r="DT40" i="6"/>
  <c r="ES40" i="6" s="1"/>
  <c r="DU40" i="6"/>
  <c r="ET40" i="6" s="1"/>
  <c r="DV40" i="6"/>
  <c r="EU40" i="6" s="1"/>
  <c r="DW40" i="6"/>
  <c r="EV40" i="6" s="1"/>
  <c r="DX40" i="6"/>
  <c r="EW40" i="6" s="1"/>
  <c r="DY40" i="6"/>
  <c r="EX40" i="6" s="1"/>
  <c r="DZ40" i="6"/>
  <c r="EY40" i="6" s="1"/>
  <c r="EA40" i="6"/>
  <c r="EZ40" i="6" s="1"/>
  <c r="EC40" i="6"/>
  <c r="FB40" i="6" s="1"/>
  <c r="EE40" i="6"/>
  <c r="FD40" i="6" s="1"/>
  <c r="EF40" i="6"/>
  <c r="FE40" i="6" s="1"/>
  <c r="EG40" i="6"/>
  <c r="FF40" i="6" s="1"/>
  <c r="DO41" i="6"/>
  <c r="EN41" i="6" s="1"/>
  <c r="DP41" i="6"/>
  <c r="DQ41" i="6"/>
  <c r="EP41" i="6" s="1"/>
  <c r="DS41" i="6"/>
  <c r="ER41" i="6" s="1"/>
  <c r="DT41" i="6"/>
  <c r="ES41" i="6" s="1"/>
  <c r="DU41" i="6"/>
  <c r="ET41" i="6" s="1"/>
  <c r="DV41" i="6"/>
  <c r="EU41" i="6" s="1"/>
  <c r="DW41" i="6"/>
  <c r="DX41" i="6"/>
  <c r="EW41" i="6" s="1"/>
  <c r="DY41" i="6"/>
  <c r="DZ41" i="6"/>
  <c r="EY41" i="6" s="1"/>
  <c r="EA41" i="6"/>
  <c r="EZ41" i="6" s="1"/>
  <c r="EC41" i="6"/>
  <c r="FB41" i="6" s="1"/>
  <c r="EE41" i="6"/>
  <c r="FD41" i="6" s="1"/>
  <c r="EF41" i="6"/>
  <c r="FE41" i="6" s="1"/>
  <c r="EG41" i="6"/>
  <c r="DO42" i="6"/>
  <c r="EN42" i="6" s="1"/>
  <c r="DP42" i="6"/>
  <c r="EO42" i="6" s="1"/>
  <c r="DQ42" i="6"/>
  <c r="EP42" i="6" s="1"/>
  <c r="DS42" i="6"/>
  <c r="ER42" i="6" s="1"/>
  <c r="DT42" i="6"/>
  <c r="ES42" i="6" s="1"/>
  <c r="DU42" i="6"/>
  <c r="ET42" i="6" s="1"/>
  <c r="DV42" i="6"/>
  <c r="EU42" i="6" s="1"/>
  <c r="DW42" i="6"/>
  <c r="EV42" i="6" s="1"/>
  <c r="DX42" i="6"/>
  <c r="EW42" i="6" s="1"/>
  <c r="DY42" i="6"/>
  <c r="EX42" i="6" s="1"/>
  <c r="DZ42" i="6"/>
  <c r="EY42" i="6" s="1"/>
  <c r="EA42" i="6"/>
  <c r="EZ42" i="6" s="1"/>
  <c r="EC42" i="6"/>
  <c r="FB42" i="6" s="1"/>
  <c r="EE42" i="6"/>
  <c r="FD42" i="6" s="1"/>
  <c r="EF42" i="6"/>
  <c r="FE42" i="6" s="1"/>
  <c r="EG42" i="6"/>
  <c r="FF42" i="6" s="1"/>
  <c r="DO43" i="6"/>
  <c r="EN43" i="6" s="1"/>
  <c r="DP43" i="6"/>
  <c r="DQ43" i="6"/>
  <c r="EP43" i="6" s="1"/>
  <c r="DS43" i="6"/>
  <c r="ER43" i="6" s="1"/>
  <c r="DT43" i="6"/>
  <c r="ES43" i="6" s="1"/>
  <c r="DU43" i="6"/>
  <c r="ET43" i="6" s="1"/>
  <c r="DV43" i="6"/>
  <c r="EU43" i="6" s="1"/>
  <c r="DW43" i="6"/>
  <c r="DX43" i="6"/>
  <c r="EW43" i="6" s="1"/>
  <c r="DY43" i="6"/>
  <c r="DZ43" i="6"/>
  <c r="EY43" i="6" s="1"/>
  <c r="EA43" i="6"/>
  <c r="EZ43" i="6" s="1"/>
  <c r="EC43" i="6"/>
  <c r="FB43" i="6" s="1"/>
  <c r="EE43" i="6"/>
  <c r="FD43" i="6" s="1"/>
  <c r="EF43" i="6"/>
  <c r="FE43" i="6" s="1"/>
  <c r="EG43" i="6"/>
  <c r="DO44" i="6"/>
  <c r="EN44" i="6" s="1"/>
  <c r="DP44" i="6"/>
  <c r="EO44" i="6" s="1"/>
  <c r="DQ44" i="6"/>
  <c r="EP44" i="6" s="1"/>
  <c r="DS44" i="6"/>
  <c r="ER44" i="6" s="1"/>
  <c r="DT44" i="6"/>
  <c r="ES44" i="6" s="1"/>
  <c r="DU44" i="6"/>
  <c r="ET44" i="6" s="1"/>
  <c r="DV44" i="6"/>
  <c r="EU44" i="6" s="1"/>
  <c r="DW44" i="6"/>
  <c r="EV44" i="6" s="1"/>
  <c r="DX44" i="6"/>
  <c r="EW44" i="6" s="1"/>
  <c r="DY44" i="6"/>
  <c r="EX44" i="6" s="1"/>
  <c r="DZ44" i="6"/>
  <c r="EY44" i="6" s="1"/>
  <c r="EA44" i="6"/>
  <c r="EZ44" i="6" s="1"/>
  <c r="EC44" i="6"/>
  <c r="FB44" i="6" s="1"/>
  <c r="EE44" i="6"/>
  <c r="FD44" i="6" s="1"/>
  <c r="EF44" i="6"/>
  <c r="FE44" i="6" s="1"/>
  <c r="EG44" i="6"/>
  <c r="FF44" i="6" s="1"/>
  <c r="DO45" i="6"/>
  <c r="EN45" i="6" s="1"/>
  <c r="DP45" i="6"/>
  <c r="DQ45" i="6"/>
  <c r="EP45" i="6" s="1"/>
  <c r="DS45" i="6"/>
  <c r="ER45" i="6" s="1"/>
  <c r="DT45" i="6"/>
  <c r="ES45" i="6" s="1"/>
  <c r="DU45" i="6"/>
  <c r="ET45" i="6" s="1"/>
  <c r="DV45" i="6"/>
  <c r="EU45" i="6" s="1"/>
  <c r="DW45" i="6"/>
  <c r="DX45" i="6"/>
  <c r="EW45" i="6" s="1"/>
  <c r="DY45" i="6"/>
  <c r="DZ45" i="6"/>
  <c r="EY45" i="6" s="1"/>
  <c r="EA45" i="6"/>
  <c r="EZ45" i="6" s="1"/>
  <c r="EC45" i="6"/>
  <c r="FB45" i="6" s="1"/>
  <c r="EE45" i="6"/>
  <c r="FD45" i="6" s="1"/>
  <c r="EF45" i="6"/>
  <c r="FE45" i="6" s="1"/>
  <c r="EG45" i="6"/>
  <c r="DO46" i="6"/>
  <c r="EN46" i="6" s="1"/>
  <c r="DP46" i="6"/>
  <c r="EO46" i="6" s="1"/>
  <c r="DQ46" i="6"/>
  <c r="EP46" i="6" s="1"/>
  <c r="DS46" i="6"/>
  <c r="ER46" i="6" s="1"/>
  <c r="DT46" i="6"/>
  <c r="ES46" i="6" s="1"/>
  <c r="DU46" i="6"/>
  <c r="ET46" i="6" s="1"/>
  <c r="DV46" i="6"/>
  <c r="EU46" i="6" s="1"/>
  <c r="DW46" i="6"/>
  <c r="EV46" i="6" s="1"/>
  <c r="DX46" i="6"/>
  <c r="EW46" i="6" s="1"/>
  <c r="DY46" i="6"/>
  <c r="EX46" i="6" s="1"/>
  <c r="DZ46" i="6"/>
  <c r="EY46" i="6" s="1"/>
  <c r="EA46" i="6"/>
  <c r="EZ46" i="6" s="1"/>
  <c r="EC46" i="6"/>
  <c r="FB46" i="6" s="1"/>
  <c r="EE46" i="6"/>
  <c r="FD46" i="6" s="1"/>
  <c r="EF46" i="6"/>
  <c r="FE46" i="6" s="1"/>
  <c r="EG46" i="6"/>
  <c r="FF46" i="6" s="1"/>
  <c r="DO47" i="6"/>
  <c r="EN47" i="6" s="1"/>
  <c r="DP47" i="6"/>
  <c r="DQ47" i="6"/>
  <c r="EP47" i="6" s="1"/>
  <c r="DS47" i="6"/>
  <c r="ER47" i="6" s="1"/>
  <c r="DT47" i="6"/>
  <c r="ES47" i="6" s="1"/>
  <c r="DU47" i="6"/>
  <c r="ET47" i="6" s="1"/>
  <c r="DV47" i="6"/>
  <c r="EU47" i="6" s="1"/>
  <c r="DW47" i="6"/>
  <c r="DX47" i="6"/>
  <c r="EW47" i="6" s="1"/>
  <c r="DY47" i="6"/>
  <c r="DZ47" i="6"/>
  <c r="EY47" i="6" s="1"/>
  <c r="EA47" i="6"/>
  <c r="EZ47" i="6" s="1"/>
  <c r="EC47" i="6"/>
  <c r="FB47" i="6" s="1"/>
  <c r="EE47" i="6"/>
  <c r="FD47" i="6" s="1"/>
  <c r="EF47" i="6"/>
  <c r="FE47" i="6" s="1"/>
  <c r="EG47" i="6"/>
  <c r="DO48" i="6"/>
  <c r="EN48" i="6" s="1"/>
  <c r="DP48" i="6"/>
  <c r="EO48" i="6" s="1"/>
  <c r="DQ48" i="6"/>
  <c r="EP48" i="6" s="1"/>
  <c r="DS48" i="6"/>
  <c r="ER48" i="6" s="1"/>
  <c r="DT48" i="6"/>
  <c r="ES48" i="6" s="1"/>
  <c r="DU48" i="6"/>
  <c r="ET48" i="6" s="1"/>
  <c r="DV48" i="6"/>
  <c r="EU48" i="6" s="1"/>
  <c r="DW48" i="6"/>
  <c r="EV48" i="6" s="1"/>
  <c r="DX48" i="6"/>
  <c r="EW48" i="6" s="1"/>
  <c r="DY48" i="6"/>
  <c r="EX48" i="6" s="1"/>
  <c r="DZ48" i="6"/>
  <c r="EY48" i="6" s="1"/>
  <c r="EA48" i="6"/>
  <c r="EZ48" i="6" s="1"/>
  <c r="EC48" i="6"/>
  <c r="FB48" i="6" s="1"/>
  <c r="EE48" i="6"/>
  <c r="FD48" i="6" s="1"/>
  <c r="EF48" i="6"/>
  <c r="EG48" i="6"/>
  <c r="FF48" i="6" s="1"/>
  <c r="DO49" i="6"/>
  <c r="EN49" i="6" s="1"/>
  <c r="DP49" i="6"/>
  <c r="DQ49" i="6"/>
  <c r="EP49" i="6" s="1"/>
  <c r="DS49" i="6"/>
  <c r="ER49" i="6" s="1"/>
  <c r="DT49" i="6"/>
  <c r="ES49" i="6" s="1"/>
  <c r="DU49" i="6"/>
  <c r="ET49" i="6" s="1"/>
  <c r="DV49" i="6"/>
  <c r="EU49" i="6" s="1"/>
  <c r="DW49" i="6"/>
  <c r="DX49" i="6"/>
  <c r="EW49" i="6" s="1"/>
  <c r="DY49" i="6"/>
  <c r="DZ49" i="6"/>
  <c r="EY49" i="6" s="1"/>
  <c r="EA49" i="6"/>
  <c r="EZ49" i="6" s="1"/>
  <c r="EC49" i="6"/>
  <c r="FB49" i="6" s="1"/>
  <c r="EE49" i="6"/>
  <c r="FD49" i="6" s="1"/>
  <c r="EF49" i="6"/>
  <c r="FE49" i="6" s="1"/>
  <c r="EG49" i="6"/>
  <c r="EP6" i="6"/>
  <c r="DO7" i="6"/>
  <c r="EN7" i="6" s="1"/>
  <c r="DP7" i="6"/>
  <c r="EO7" i="6" s="1"/>
  <c r="DQ7" i="6"/>
  <c r="EP7" i="6" s="1"/>
  <c r="DS7" i="6"/>
  <c r="ER7" i="6" s="1"/>
  <c r="DT7" i="6"/>
  <c r="DU7" i="6"/>
  <c r="ET7" i="6" s="1"/>
  <c r="DV7" i="6"/>
  <c r="EU7" i="6" s="1"/>
  <c r="DW7" i="6"/>
  <c r="EV7" i="6" s="1"/>
  <c r="DX7" i="6"/>
  <c r="EW7" i="6" s="1"/>
  <c r="DY7" i="6"/>
  <c r="EX7" i="6" s="1"/>
  <c r="DZ7" i="6"/>
  <c r="EY7" i="6" s="1"/>
  <c r="EA7" i="6"/>
  <c r="EZ7" i="6" s="1"/>
  <c r="EC7" i="6"/>
  <c r="FB7" i="6" s="1"/>
  <c r="EE7" i="6"/>
  <c r="FD7" i="6" s="1"/>
  <c r="EF7" i="6"/>
  <c r="FE7" i="6" s="1"/>
  <c r="EG7" i="6"/>
  <c r="FF7" i="6" s="1"/>
  <c r="DO8" i="6"/>
  <c r="EN8" i="6" s="1"/>
  <c r="DP8" i="6"/>
  <c r="DQ8" i="6"/>
  <c r="EP8" i="6" s="1"/>
  <c r="DS8" i="6"/>
  <c r="ER8" i="6" s="1"/>
  <c r="DT8" i="6"/>
  <c r="ES8" i="6" s="1"/>
  <c r="DU8" i="6"/>
  <c r="ET8" i="6" s="1"/>
  <c r="DV8" i="6"/>
  <c r="EU8" i="6" s="1"/>
  <c r="DW8" i="6"/>
  <c r="EV8" i="6" s="1"/>
  <c r="DX8" i="6"/>
  <c r="DY8" i="6"/>
  <c r="EX8" i="6" s="1"/>
  <c r="DZ8" i="6"/>
  <c r="EY8" i="6" s="1"/>
  <c r="EA8" i="6"/>
  <c r="EZ8" i="6" s="1"/>
  <c r="EC8" i="6"/>
  <c r="FB8" i="6" s="1"/>
  <c r="EE8" i="6"/>
  <c r="FD8" i="6" s="1"/>
  <c r="EF8" i="6"/>
  <c r="EG8" i="6"/>
  <c r="FF8" i="6" s="1"/>
  <c r="DO9" i="6"/>
  <c r="EN9" i="6" s="1"/>
  <c r="DP9" i="6"/>
  <c r="EO9" i="6" s="1"/>
  <c r="DQ9" i="6"/>
  <c r="EP9" i="6" s="1"/>
  <c r="DS9" i="6"/>
  <c r="ER9" i="6" s="1"/>
  <c r="DT9" i="6"/>
  <c r="DU9" i="6"/>
  <c r="ET9" i="6" s="1"/>
  <c r="DV9" i="6"/>
  <c r="EU9" i="6" s="1"/>
  <c r="DW9" i="6"/>
  <c r="EV9" i="6" s="1"/>
  <c r="DX9" i="6"/>
  <c r="EW9" i="6" s="1"/>
  <c r="DY9" i="6"/>
  <c r="EX9" i="6" s="1"/>
  <c r="DZ9" i="6"/>
  <c r="EY9" i="6" s="1"/>
  <c r="EA9" i="6"/>
  <c r="EZ9" i="6" s="1"/>
  <c r="EC9" i="6"/>
  <c r="FB9" i="6" s="1"/>
  <c r="EE9" i="6"/>
  <c r="FD9" i="6" s="1"/>
  <c r="EF9" i="6"/>
  <c r="EG9" i="6"/>
  <c r="FF9" i="6" s="1"/>
  <c r="DO10" i="6"/>
  <c r="EN10" i="6" s="1"/>
  <c r="DP10" i="6"/>
  <c r="EO10" i="6" s="1"/>
  <c r="DQ10" i="6"/>
  <c r="EP10" i="6" s="1"/>
  <c r="DS10" i="6"/>
  <c r="DT10" i="6"/>
  <c r="ES10" i="6" s="1"/>
  <c r="DU10" i="6"/>
  <c r="ET10" i="6" s="1"/>
  <c r="DV10" i="6"/>
  <c r="EU10" i="6" s="1"/>
  <c r="DW10" i="6"/>
  <c r="EV10" i="6" s="1"/>
  <c r="DX10" i="6"/>
  <c r="DY10" i="6"/>
  <c r="EX10" i="6" s="1"/>
  <c r="DZ10" i="6"/>
  <c r="EY10" i="6" s="1"/>
  <c r="EA10" i="6"/>
  <c r="EZ10" i="6" s="1"/>
  <c r="EC10" i="6"/>
  <c r="FB10" i="6" s="1"/>
  <c r="EE10" i="6"/>
  <c r="FD10" i="6" s="1"/>
  <c r="EF10" i="6"/>
  <c r="EG10" i="6"/>
  <c r="FF10" i="6" s="1"/>
  <c r="DO11" i="6"/>
  <c r="EN11" i="6" s="1"/>
  <c r="DP11" i="6"/>
  <c r="EO11" i="6" s="1"/>
  <c r="DQ11" i="6"/>
  <c r="EP11" i="6" s="1"/>
  <c r="DS11" i="6"/>
  <c r="ER11" i="6" s="1"/>
  <c r="DT11" i="6"/>
  <c r="DU11" i="6"/>
  <c r="ET11" i="6" s="1"/>
  <c r="DV11" i="6"/>
  <c r="EU11" i="6" s="1"/>
  <c r="DW11" i="6"/>
  <c r="EV11" i="6" s="1"/>
  <c r="DX11" i="6"/>
  <c r="EW11" i="6" s="1"/>
  <c r="DY11" i="6"/>
  <c r="EX11" i="6" s="1"/>
  <c r="DZ11" i="6"/>
  <c r="EY11" i="6" s="1"/>
  <c r="EA11" i="6"/>
  <c r="EZ11" i="6" s="1"/>
  <c r="EC11" i="6"/>
  <c r="FB11" i="6" s="1"/>
  <c r="EE11" i="6"/>
  <c r="FD11" i="6" s="1"/>
  <c r="EF11" i="6"/>
  <c r="FE11" i="6" s="1"/>
  <c r="EG11" i="6"/>
  <c r="FF11" i="6" s="1"/>
  <c r="DO12" i="6"/>
  <c r="EN12" i="6" s="1"/>
  <c r="DP12" i="6"/>
  <c r="EO12" i="6" s="1"/>
  <c r="DQ12" i="6"/>
  <c r="EP12" i="6" s="1"/>
  <c r="DS12" i="6"/>
  <c r="DT12" i="6"/>
  <c r="ES12" i="6" s="1"/>
  <c r="DU12" i="6"/>
  <c r="ET12" i="6" s="1"/>
  <c r="DV12" i="6"/>
  <c r="EU12" i="6" s="1"/>
  <c r="DW12" i="6"/>
  <c r="EV12" i="6" s="1"/>
  <c r="DX12" i="6"/>
  <c r="DY12" i="6"/>
  <c r="EX12" i="6" s="1"/>
  <c r="DZ12" i="6"/>
  <c r="EY12" i="6" s="1"/>
  <c r="EA12" i="6"/>
  <c r="EZ12" i="6" s="1"/>
  <c r="EC12" i="6"/>
  <c r="FB12" i="6" s="1"/>
  <c r="EE12" i="6"/>
  <c r="FD12" i="6" s="1"/>
  <c r="EF12" i="6"/>
  <c r="EG12" i="6"/>
  <c r="FF12" i="6" s="1"/>
  <c r="DO13" i="6"/>
  <c r="EN13" i="6" s="1"/>
  <c r="DP13" i="6"/>
  <c r="EO13" i="6" s="1"/>
  <c r="DQ13" i="6"/>
  <c r="EP13" i="6" s="1"/>
  <c r="DS13" i="6"/>
  <c r="ER13" i="6" s="1"/>
  <c r="DT13" i="6"/>
  <c r="DU13" i="6"/>
  <c r="ET13" i="6" s="1"/>
  <c r="DV13" i="6"/>
  <c r="EU13" i="6" s="1"/>
  <c r="DW13" i="6"/>
  <c r="EV13" i="6" s="1"/>
  <c r="DX13" i="6"/>
  <c r="EW13" i="6" s="1"/>
  <c r="DY13" i="6"/>
  <c r="EX13" i="6" s="1"/>
  <c r="DZ13" i="6"/>
  <c r="EY13" i="6" s="1"/>
  <c r="EA13" i="6"/>
  <c r="EZ13" i="6" s="1"/>
  <c r="EC13" i="6"/>
  <c r="FB13" i="6" s="1"/>
  <c r="EE13" i="6"/>
  <c r="FD13" i="6" s="1"/>
  <c r="EF13" i="6"/>
  <c r="FE13" i="6" s="1"/>
  <c r="EG13" i="6"/>
  <c r="FF13" i="6" s="1"/>
  <c r="DO14" i="6"/>
  <c r="EN14" i="6" s="1"/>
  <c r="DP14" i="6"/>
  <c r="DQ14" i="6"/>
  <c r="EP14" i="6" s="1"/>
  <c r="DS14" i="6"/>
  <c r="ER14" i="6" s="1"/>
  <c r="DT14" i="6"/>
  <c r="DU14" i="6"/>
  <c r="ET14" i="6" s="1"/>
  <c r="DV14" i="6"/>
  <c r="EU14" i="6" s="1"/>
  <c r="DW14" i="6"/>
  <c r="EV14" i="6" s="1"/>
  <c r="DX14" i="6"/>
  <c r="DY14" i="6"/>
  <c r="EX14" i="6" s="1"/>
  <c r="DZ14" i="6"/>
  <c r="EY14" i="6" s="1"/>
  <c r="EA14" i="6"/>
  <c r="EZ14" i="6" s="1"/>
  <c r="EC14" i="6"/>
  <c r="FB14" i="6" s="1"/>
  <c r="EE14" i="6"/>
  <c r="FD14" i="6" s="1"/>
  <c r="EF14" i="6"/>
  <c r="EG14" i="6"/>
  <c r="FF14" i="6" s="1"/>
  <c r="DO15" i="6"/>
  <c r="EN15" i="6" s="1"/>
  <c r="DP15" i="6"/>
  <c r="EO15" i="6" s="1"/>
  <c r="DQ15" i="6"/>
  <c r="EP15" i="6" s="1"/>
  <c r="DS15" i="6"/>
  <c r="ER15" i="6" s="1"/>
  <c r="DT15" i="6"/>
  <c r="DU15" i="6"/>
  <c r="ET15" i="6" s="1"/>
  <c r="DV15" i="6"/>
  <c r="EU15" i="6" s="1"/>
  <c r="DW15" i="6"/>
  <c r="EV15" i="6" s="1"/>
  <c r="DX15" i="6"/>
  <c r="EW15" i="6" s="1"/>
  <c r="DY15" i="6"/>
  <c r="EX15" i="6" s="1"/>
  <c r="DZ15" i="6"/>
  <c r="EY15" i="6" s="1"/>
  <c r="EA15" i="6"/>
  <c r="EZ15" i="6" s="1"/>
  <c r="EC15" i="6"/>
  <c r="FB15" i="6" s="1"/>
  <c r="EE15" i="6"/>
  <c r="FD15" i="6" s="1"/>
  <c r="EF15" i="6"/>
  <c r="EG15" i="6"/>
  <c r="FF15" i="6" s="1"/>
  <c r="DO16" i="6"/>
  <c r="EN16" i="6" s="1"/>
  <c r="DP16" i="6"/>
  <c r="EO16" i="6" s="1"/>
  <c r="DQ16" i="6"/>
  <c r="EP16" i="6" s="1"/>
  <c r="DS16" i="6"/>
  <c r="ER16" i="6" s="1"/>
  <c r="DT16" i="6"/>
  <c r="ES16" i="6" s="1"/>
  <c r="DU16" i="6"/>
  <c r="DV16" i="6"/>
  <c r="EU16" i="6" s="1"/>
  <c r="DW16" i="6"/>
  <c r="EV16" i="6" s="1"/>
  <c r="DX16" i="6"/>
  <c r="DY16" i="6"/>
  <c r="EX16" i="6" s="1"/>
  <c r="DZ16" i="6"/>
  <c r="EY16" i="6" s="1"/>
  <c r="EA16" i="6"/>
  <c r="EZ16" i="6" s="1"/>
  <c r="EC16" i="6"/>
  <c r="FB16" i="6" s="1"/>
  <c r="EE16" i="6"/>
  <c r="FD16" i="6" s="1"/>
  <c r="EF16" i="6"/>
  <c r="FE16" i="6" s="1"/>
  <c r="EG16" i="6"/>
  <c r="FF16" i="6" s="1"/>
  <c r="DO17" i="6"/>
  <c r="EN17" i="6" s="1"/>
  <c r="DP17" i="6"/>
  <c r="EO17" i="6" s="1"/>
  <c r="DQ17" i="6"/>
  <c r="EP17" i="6" s="1"/>
  <c r="DS17" i="6"/>
  <c r="ER17" i="6" s="1"/>
  <c r="DT17" i="6"/>
  <c r="DU17" i="6"/>
  <c r="ET17" i="6" s="1"/>
  <c r="DV17" i="6"/>
  <c r="EU17" i="6" s="1"/>
  <c r="DW17" i="6"/>
  <c r="EV17" i="6" s="1"/>
  <c r="DX17" i="6"/>
  <c r="EW17" i="6" s="1"/>
  <c r="DY17" i="6"/>
  <c r="EX17" i="6" s="1"/>
  <c r="DZ17" i="6"/>
  <c r="EY17" i="6" s="1"/>
  <c r="EA17" i="6"/>
  <c r="EZ17" i="6" s="1"/>
  <c r="EC17" i="6"/>
  <c r="FB17" i="6" s="1"/>
  <c r="EE17" i="6"/>
  <c r="FD17" i="6" s="1"/>
  <c r="EF17" i="6"/>
  <c r="FE17" i="6" s="1"/>
  <c r="EG17" i="6"/>
  <c r="DO18" i="6"/>
  <c r="EN18" i="6" s="1"/>
  <c r="DP18" i="6"/>
  <c r="DQ18" i="6"/>
  <c r="EP18" i="6" s="1"/>
  <c r="DS18" i="6"/>
  <c r="ER18" i="6" s="1"/>
  <c r="DT18" i="6"/>
  <c r="ES18" i="6" s="1"/>
  <c r="DU18" i="6"/>
  <c r="ET18" i="6" s="1"/>
  <c r="DV18" i="6"/>
  <c r="EU18" i="6" s="1"/>
  <c r="DW18" i="6"/>
  <c r="EV18" i="6" s="1"/>
  <c r="DX18" i="6"/>
  <c r="DY18" i="6"/>
  <c r="EX18" i="6" s="1"/>
  <c r="DZ18" i="6"/>
  <c r="EY18" i="6" s="1"/>
  <c r="EA18" i="6"/>
  <c r="EZ18" i="6" s="1"/>
  <c r="EC18" i="6"/>
  <c r="FB18" i="6" s="1"/>
  <c r="EE18" i="6"/>
  <c r="FD18" i="6" s="1"/>
  <c r="EF18" i="6"/>
  <c r="FE18" i="6" s="1"/>
  <c r="EG18" i="6"/>
  <c r="FF18" i="6" s="1"/>
  <c r="EN19" i="6"/>
  <c r="EO19" i="6"/>
  <c r="EP19" i="6"/>
  <c r="DS19" i="6"/>
  <c r="ER19" i="6" s="1"/>
  <c r="DT19" i="6"/>
  <c r="DU19" i="6"/>
  <c r="ET19" i="6" s="1"/>
  <c r="DV19" i="6"/>
  <c r="EU19" i="6" s="1"/>
  <c r="DW19" i="6"/>
  <c r="EV19" i="6" s="1"/>
  <c r="DX19" i="6"/>
  <c r="EW19" i="6" s="1"/>
  <c r="DY19" i="6"/>
  <c r="EX19" i="6" s="1"/>
  <c r="DZ19" i="6"/>
  <c r="EY19" i="6" s="1"/>
  <c r="EA19" i="6"/>
  <c r="EZ19" i="6" s="1"/>
  <c r="EC19" i="6"/>
  <c r="FB19" i="6" s="1"/>
  <c r="EE19" i="6"/>
  <c r="FD19" i="6" s="1"/>
  <c r="EF19" i="6"/>
  <c r="FE19" i="6" s="1"/>
  <c r="EG19" i="6"/>
  <c r="FF19" i="6" s="1"/>
  <c r="EN20" i="6"/>
  <c r="EO20" i="6"/>
  <c r="EP20" i="6"/>
  <c r="DS20" i="6"/>
  <c r="ER20" i="6" s="1"/>
  <c r="DT20" i="6"/>
  <c r="ES20" i="6" s="1"/>
  <c r="DU20" i="6"/>
  <c r="ET20" i="6" s="1"/>
  <c r="DV20" i="6"/>
  <c r="EU20" i="6" s="1"/>
  <c r="DW20" i="6"/>
  <c r="EV20" i="6" s="1"/>
  <c r="DX20" i="6"/>
  <c r="DY20" i="6"/>
  <c r="EX20" i="6" s="1"/>
  <c r="DZ20" i="6"/>
  <c r="EY20" i="6" s="1"/>
  <c r="EA20" i="6"/>
  <c r="EZ20" i="6" s="1"/>
  <c r="EC20" i="6"/>
  <c r="FB20" i="6" s="1"/>
  <c r="EE20" i="6"/>
  <c r="FD20" i="6" s="1"/>
  <c r="EF20" i="6"/>
  <c r="FE20" i="6" s="1"/>
  <c r="EG20" i="6"/>
  <c r="EN21" i="6"/>
  <c r="EO21" i="6"/>
  <c r="EP21" i="6"/>
  <c r="DS21" i="6"/>
  <c r="ER21" i="6" s="1"/>
  <c r="DT21" i="6"/>
  <c r="DU21" i="6"/>
  <c r="ET21" i="6" s="1"/>
  <c r="DV21" i="6"/>
  <c r="EU21" i="6" s="1"/>
  <c r="DW21" i="6"/>
  <c r="EV21" i="6" s="1"/>
  <c r="DX21" i="6"/>
  <c r="EW21" i="6" s="1"/>
  <c r="DY21" i="6"/>
  <c r="EX21" i="6" s="1"/>
  <c r="DZ21" i="6"/>
  <c r="EY21" i="6" s="1"/>
  <c r="EA21" i="6"/>
  <c r="EZ21" i="6" s="1"/>
  <c r="EC21" i="6"/>
  <c r="FB21" i="6" s="1"/>
  <c r="EE21" i="6"/>
  <c r="FD21" i="6" s="1"/>
  <c r="EF21" i="6"/>
  <c r="EG21" i="6"/>
  <c r="FF21" i="6" s="1"/>
  <c r="EN22" i="6"/>
  <c r="EO22" i="6"/>
  <c r="EP22" i="6"/>
  <c r="DS22" i="6"/>
  <c r="DT22" i="6"/>
  <c r="ES22" i="6" s="1"/>
  <c r="DU22" i="6"/>
  <c r="ET22" i="6" s="1"/>
  <c r="DV22" i="6"/>
  <c r="EU22" i="6" s="1"/>
  <c r="DW22" i="6"/>
  <c r="EV22" i="6" s="1"/>
  <c r="DX22" i="6"/>
  <c r="DY22" i="6"/>
  <c r="EX22" i="6" s="1"/>
  <c r="DZ22" i="6"/>
  <c r="EY22" i="6" s="1"/>
  <c r="EA22" i="6"/>
  <c r="EZ22" i="6" s="1"/>
  <c r="EC22" i="6"/>
  <c r="FB22" i="6" s="1"/>
  <c r="EE22" i="6"/>
  <c r="FD22" i="6" s="1"/>
  <c r="EF22" i="6"/>
  <c r="EG22" i="6"/>
  <c r="FF22" i="6" s="1"/>
  <c r="DO23" i="6"/>
  <c r="EN23" i="6" s="1"/>
  <c r="DP23" i="6"/>
  <c r="EO23" i="6" s="1"/>
  <c r="DQ23" i="6"/>
  <c r="EP23" i="6" s="1"/>
  <c r="DS23" i="6"/>
  <c r="ER23" i="6" s="1"/>
  <c r="DT23" i="6"/>
  <c r="ES23" i="6" s="1"/>
  <c r="DU23" i="6"/>
  <c r="ET23" i="6" s="1"/>
  <c r="DV23" i="6"/>
  <c r="EU23" i="6" s="1"/>
  <c r="DW23" i="6"/>
  <c r="EV23" i="6" s="1"/>
  <c r="DX23" i="6"/>
  <c r="EW23" i="6" s="1"/>
  <c r="DY23" i="6"/>
  <c r="EX23" i="6" s="1"/>
  <c r="DZ23" i="6"/>
  <c r="EY23" i="6" s="1"/>
  <c r="EA23" i="6"/>
  <c r="EZ23" i="6" s="1"/>
  <c r="EC23" i="6"/>
  <c r="FB23" i="6" s="1"/>
  <c r="EE23" i="6"/>
  <c r="FD23" i="6" s="1"/>
  <c r="EF23" i="6"/>
  <c r="FE23" i="6" s="1"/>
  <c r="EG23" i="6"/>
  <c r="FF23" i="6" s="1"/>
  <c r="DO24" i="6"/>
  <c r="EN24" i="6" s="1"/>
  <c r="DP24" i="6"/>
  <c r="EO24" i="6" s="1"/>
  <c r="DQ24" i="6"/>
  <c r="EP24" i="6" s="1"/>
  <c r="DS24" i="6"/>
  <c r="ER24" i="6" s="1"/>
  <c r="DT24" i="6"/>
  <c r="ES24" i="6" s="1"/>
  <c r="DU24" i="6"/>
  <c r="ET24" i="6" s="1"/>
  <c r="DV24" i="6"/>
  <c r="EU24" i="6" s="1"/>
  <c r="DW24" i="6"/>
  <c r="EV24" i="6" s="1"/>
  <c r="DX24" i="6"/>
  <c r="EW24" i="6" s="1"/>
  <c r="DY24" i="6"/>
  <c r="EX24" i="6" s="1"/>
  <c r="DZ24" i="6"/>
  <c r="EY24" i="6" s="1"/>
  <c r="EA24" i="6"/>
  <c r="EZ24" i="6" s="1"/>
  <c r="EC24" i="6"/>
  <c r="FB24" i="6" s="1"/>
  <c r="EE24" i="6"/>
  <c r="FD24" i="6" s="1"/>
  <c r="EF24" i="6"/>
  <c r="FE24" i="6" s="1"/>
  <c r="EG24" i="6"/>
  <c r="FF24" i="6" s="1"/>
  <c r="DO25" i="6"/>
  <c r="EN25" i="6" s="1"/>
  <c r="DP25" i="6"/>
  <c r="DQ25" i="6"/>
  <c r="EP25" i="6" s="1"/>
  <c r="DS25" i="6"/>
  <c r="ER25" i="6" s="1"/>
  <c r="DT25" i="6"/>
  <c r="ES25" i="6" s="1"/>
  <c r="DU25" i="6"/>
  <c r="ET25" i="6" s="1"/>
  <c r="DV25" i="6"/>
  <c r="EU25" i="6" s="1"/>
  <c r="DW25" i="6"/>
  <c r="EV25" i="6" s="1"/>
  <c r="DX25" i="6"/>
  <c r="EW25" i="6" s="1"/>
  <c r="DY25" i="6"/>
  <c r="EX25" i="6" s="1"/>
  <c r="DZ25" i="6"/>
  <c r="EY25" i="6" s="1"/>
  <c r="EA25" i="6"/>
  <c r="EZ25" i="6" s="1"/>
  <c r="EC25" i="6"/>
  <c r="FB25" i="6" s="1"/>
  <c r="EE25" i="6"/>
  <c r="FD25" i="6" s="1"/>
  <c r="EF25" i="6"/>
  <c r="FE25" i="6" s="1"/>
  <c r="EG25" i="6"/>
  <c r="FF25" i="6" s="1"/>
  <c r="DO26" i="6"/>
  <c r="EN26" i="6" s="1"/>
  <c r="DP26" i="6"/>
  <c r="EO26" i="6" s="1"/>
  <c r="DQ26" i="6"/>
  <c r="EP26" i="6" s="1"/>
  <c r="DS26" i="6"/>
  <c r="ER26" i="6" s="1"/>
  <c r="DT26" i="6"/>
  <c r="ES26" i="6" s="1"/>
  <c r="DU26" i="6"/>
  <c r="ET26" i="6" s="1"/>
  <c r="DV26" i="6"/>
  <c r="EU26" i="6" s="1"/>
  <c r="DW26" i="6"/>
  <c r="EV26" i="6" s="1"/>
  <c r="DX26" i="6"/>
  <c r="EW26" i="6" s="1"/>
  <c r="DY26" i="6"/>
  <c r="EX26" i="6" s="1"/>
  <c r="DZ26" i="6"/>
  <c r="EY26" i="6" s="1"/>
  <c r="EA26" i="6"/>
  <c r="EZ26" i="6" s="1"/>
  <c r="EC26" i="6"/>
  <c r="FB26" i="6" s="1"/>
  <c r="EE26" i="6"/>
  <c r="FD26" i="6" s="1"/>
  <c r="EF26" i="6"/>
  <c r="EG26" i="6"/>
  <c r="FF26" i="6" s="1"/>
  <c r="DO27" i="6"/>
  <c r="EN27" i="6" s="1"/>
  <c r="DP27" i="6"/>
  <c r="DQ27" i="6"/>
  <c r="EP27" i="6" s="1"/>
  <c r="DS27" i="6"/>
  <c r="ER27" i="6" s="1"/>
  <c r="DT27" i="6"/>
  <c r="ES27" i="6" s="1"/>
  <c r="DU27" i="6"/>
  <c r="ET27" i="6" s="1"/>
  <c r="DV27" i="6"/>
  <c r="EU27" i="6" s="1"/>
  <c r="DW27" i="6"/>
  <c r="EV27" i="6" s="1"/>
  <c r="DX27" i="6"/>
  <c r="EW27" i="6" s="1"/>
  <c r="DY27" i="6"/>
  <c r="EX27" i="6" s="1"/>
  <c r="DZ27" i="6"/>
  <c r="EY27" i="6" s="1"/>
  <c r="EA27" i="6"/>
  <c r="EZ27" i="6" s="1"/>
  <c r="EC27" i="6"/>
  <c r="FB27" i="6" s="1"/>
  <c r="EE27" i="6"/>
  <c r="FD27" i="6" s="1"/>
  <c r="EF27" i="6"/>
  <c r="FE27" i="6" s="1"/>
  <c r="EG27" i="6"/>
  <c r="DO28" i="6"/>
  <c r="EN28" i="6" s="1"/>
  <c r="DP28" i="6"/>
  <c r="EO28" i="6" s="1"/>
  <c r="DQ28" i="6"/>
  <c r="EP28" i="6" s="1"/>
  <c r="DS28" i="6"/>
  <c r="ER28" i="6" s="1"/>
  <c r="DT28" i="6"/>
  <c r="ES28" i="6" s="1"/>
  <c r="DU28" i="6"/>
  <c r="ET28" i="6" s="1"/>
  <c r="DV28" i="6"/>
  <c r="EU28" i="6" s="1"/>
  <c r="DW28" i="6"/>
  <c r="EV28" i="6" s="1"/>
  <c r="DX28" i="6"/>
  <c r="EW28" i="6" s="1"/>
  <c r="DY28" i="6"/>
  <c r="EX28" i="6" s="1"/>
  <c r="DZ28" i="6"/>
  <c r="EY28" i="6" s="1"/>
  <c r="EA28" i="6"/>
  <c r="EZ28" i="6" s="1"/>
  <c r="EC28" i="6"/>
  <c r="FB28" i="6" s="1"/>
  <c r="EE28" i="6"/>
  <c r="FD28" i="6" s="1"/>
  <c r="EF28" i="6"/>
  <c r="FE28" i="6" s="1"/>
  <c r="EG28" i="6"/>
  <c r="FF28" i="6" s="1"/>
  <c r="DO29" i="6"/>
  <c r="EN29" i="6" s="1"/>
  <c r="DP29" i="6"/>
  <c r="EO29" i="6" s="1"/>
  <c r="DQ29" i="6"/>
  <c r="EP29" i="6" s="1"/>
  <c r="DS29" i="6"/>
  <c r="ER29" i="6" s="1"/>
  <c r="DT29" i="6"/>
  <c r="ES29" i="6" s="1"/>
  <c r="DU29" i="6"/>
  <c r="ET29" i="6" s="1"/>
  <c r="DV29" i="6"/>
  <c r="EU29" i="6" s="1"/>
  <c r="DW29" i="6"/>
  <c r="EV29" i="6" s="1"/>
  <c r="DX29" i="6"/>
  <c r="DY29" i="6"/>
  <c r="EX29" i="6" s="1"/>
  <c r="DZ29" i="6"/>
  <c r="EY29" i="6" s="1"/>
  <c r="EA29" i="6"/>
  <c r="EZ29" i="6" s="1"/>
  <c r="EC29" i="6"/>
  <c r="FB29" i="6" s="1"/>
  <c r="EE29" i="6"/>
  <c r="FD29" i="6" s="1"/>
  <c r="EF29" i="6"/>
  <c r="FE29" i="6" s="1"/>
  <c r="EG29" i="6"/>
  <c r="DO30" i="6"/>
  <c r="EN30" i="6" s="1"/>
  <c r="DP30" i="6"/>
  <c r="EO30" i="6" s="1"/>
  <c r="DQ30" i="6"/>
  <c r="EP30" i="6" s="1"/>
  <c r="DS30" i="6"/>
  <c r="ER30" i="6" s="1"/>
  <c r="DT30" i="6"/>
  <c r="ES30" i="6" s="1"/>
  <c r="DU30" i="6"/>
  <c r="ET30" i="6" s="1"/>
  <c r="DV30" i="6"/>
  <c r="EU30" i="6" s="1"/>
  <c r="DW30" i="6"/>
  <c r="EV30" i="6" s="1"/>
  <c r="DX30" i="6"/>
  <c r="EW30" i="6" s="1"/>
  <c r="DY30" i="6"/>
  <c r="EX30" i="6" s="1"/>
  <c r="DZ30" i="6"/>
  <c r="EY30" i="6" s="1"/>
  <c r="EA30" i="6"/>
  <c r="EZ30" i="6" s="1"/>
  <c r="EC30" i="6"/>
  <c r="FB30" i="6" s="1"/>
  <c r="EE30" i="6"/>
  <c r="FD30" i="6" s="1"/>
  <c r="EF30" i="6"/>
  <c r="FE30" i="6" s="1"/>
  <c r="EG30" i="6"/>
  <c r="DO31" i="6"/>
  <c r="EN31" i="6" s="1"/>
  <c r="DP31" i="6"/>
  <c r="EO31" i="6" s="1"/>
  <c r="DQ31" i="6"/>
  <c r="EP31" i="6" s="1"/>
  <c r="DS31" i="6"/>
  <c r="ER31" i="6" s="1"/>
  <c r="DT31" i="6"/>
  <c r="ES31" i="6" s="1"/>
  <c r="DU31" i="6"/>
  <c r="ET31" i="6" s="1"/>
  <c r="DV31" i="6"/>
  <c r="EU31" i="6" s="1"/>
  <c r="DW31" i="6"/>
  <c r="EV31" i="6" s="1"/>
  <c r="DX31" i="6"/>
  <c r="EW31" i="6" s="1"/>
  <c r="DY31" i="6"/>
  <c r="DZ31" i="6"/>
  <c r="EY31" i="6" s="1"/>
  <c r="EA31" i="6"/>
  <c r="EZ31" i="6" s="1"/>
  <c r="EC31" i="6"/>
  <c r="FB31" i="6" s="1"/>
  <c r="EE31" i="6"/>
  <c r="FD31" i="6" s="1"/>
  <c r="EF31" i="6"/>
  <c r="FE31" i="6" s="1"/>
  <c r="EG31" i="6"/>
  <c r="DO32" i="6"/>
  <c r="EN32" i="6" s="1"/>
  <c r="DP32" i="6"/>
  <c r="EO32" i="6" s="1"/>
  <c r="DQ32" i="6"/>
  <c r="EP32" i="6" s="1"/>
  <c r="DS32" i="6"/>
  <c r="ER32" i="6" s="1"/>
  <c r="DT32" i="6"/>
  <c r="ES32" i="6" s="1"/>
  <c r="DU32" i="6"/>
  <c r="ET32" i="6" s="1"/>
  <c r="DV32" i="6"/>
  <c r="EU32" i="6" s="1"/>
  <c r="DW32" i="6"/>
  <c r="EV32" i="6" s="1"/>
  <c r="DX32" i="6"/>
  <c r="EW32" i="6" s="1"/>
  <c r="DY32" i="6"/>
  <c r="EX32" i="6" s="1"/>
  <c r="DZ32" i="6"/>
  <c r="EY32" i="6" s="1"/>
  <c r="EA32" i="6"/>
  <c r="EZ32" i="6" s="1"/>
  <c r="EC32" i="6"/>
  <c r="FB32" i="6" s="1"/>
  <c r="EE32" i="6"/>
  <c r="FD32" i="6" s="1"/>
  <c r="EF32" i="6"/>
  <c r="FE32" i="6" s="1"/>
  <c r="EG32" i="6"/>
  <c r="FF32" i="6" s="1"/>
  <c r="BA17" i="7"/>
  <c r="BJ17" i="7" s="1"/>
  <c r="BB17" i="7"/>
  <c r="BK17" i="7" s="1"/>
  <c r="BC17" i="7"/>
  <c r="BL17" i="7" s="1"/>
  <c r="BD17" i="7"/>
  <c r="BM17" i="7" s="1"/>
  <c r="BE17" i="7"/>
  <c r="BN17" i="7" s="1"/>
  <c r="BF17" i="7"/>
  <c r="BO17" i="7" s="1"/>
  <c r="BG17" i="7"/>
  <c r="BP17" i="7" s="1"/>
  <c r="BA18" i="7"/>
  <c r="BJ18" i="7" s="1"/>
  <c r="BB18" i="7"/>
  <c r="BK18" i="7" s="1"/>
  <c r="BC18" i="7"/>
  <c r="BL18" i="7" s="1"/>
  <c r="BD18" i="7"/>
  <c r="BM18" i="7" s="1"/>
  <c r="BE18" i="7"/>
  <c r="BN18" i="7" s="1"/>
  <c r="BF18" i="7"/>
  <c r="BO18" i="7" s="1"/>
  <c r="BG18" i="7"/>
  <c r="BP18" i="7" s="1"/>
  <c r="BA19" i="7"/>
  <c r="BJ19" i="7" s="1"/>
  <c r="BB19" i="7"/>
  <c r="BK19" i="7" s="1"/>
  <c r="BC19" i="7"/>
  <c r="BL19" i="7" s="1"/>
  <c r="BD19" i="7"/>
  <c r="BM19" i="7" s="1"/>
  <c r="BE19" i="7"/>
  <c r="BN19" i="7" s="1"/>
  <c r="BF19" i="7"/>
  <c r="BO19" i="7" s="1"/>
  <c r="BG19" i="7"/>
  <c r="BP19" i="7" s="1"/>
  <c r="BA20" i="7"/>
  <c r="BJ20" i="7" s="1"/>
  <c r="BB20" i="7"/>
  <c r="BK20" i="7" s="1"/>
  <c r="BC20" i="7"/>
  <c r="BL20" i="7" s="1"/>
  <c r="BD20" i="7"/>
  <c r="BM20" i="7" s="1"/>
  <c r="BE20" i="7"/>
  <c r="BN20" i="7" s="1"/>
  <c r="BF20" i="7"/>
  <c r="BO20" i="7" s="1"/>
  <c r="BG20" i="7"/>
  <c r="BP20" i="7" s="1"/>
  <c r="BA21" i="7"/>
  <c r="BB21" i="7"/>
  <c r="BK21" i="7" s="1"/>
  <c r="BC21" i="7"/>
  <c r="BL21" i="7" s="1"/>
  <c r="BD21" i="7"/>
  <c r="BM21" i="7" s="1"/>
  <c r="BE21" i="7"/>
  <c r="BN21" i="7" s="1"/>
  <c r="BF21" i="7"/>
  <c r="BO21" i="7" s="1"/>
  <c r="BG21" i="7"/>
  <c r="BP21" i="7" s="1"/>
  <c r="BA22" i="7"/>
  <c r="BB22" i="7"/>
  <c r="BK22" i="7" s="1"/>
  <c r="BC22" i="7"/>
  <c r="BL22" i="7" s="1"/>
  <c r="BD22" i="7"/>
  <c r="BM22" i="7" s="1"/>
  <c r="BE22" i="7"/>
  <c r="BN22" i="7" s="1"/>
  <c r="BF22" i="7"/>
  <c r="BO22" i="7" s="1"/>
  <c r="BG22" i="7"/>
  <c r="BP22" i="7" s="1"/>
  <c r="BA23" i="7"/>
  <c r="BJ23" i="7" s="1"/>
  <c r="BB23" i="7"/>
  <c r="BK23" i="7" s="1"/>
  <c r="BC23" i="7"/>
  <c r="BL23" i="7" s="1"/>
  <c r="BD23" i="7"/>
  <c r="BM23" i="7" s="1"/>
  <c r="BE23" i="7"/>
  <c r="BN23" i="7" s="1"/>
  <c r="BF23" i="7"/>
  <c r="BO23" i="7" s="1"/>
  <c r="BG23" i="7"/>
  <c r="BP23" i="7" s="1"/>
  <c r="BA24" i="7"/>
  <c r="BJ24" i="7" s="1"/>
  <c r="BB24" i="7"/>
  <c r="BK24" i="7" s="1"/>
  <c r="BC24" i="7"/>
  <c r="BL24" i="7" s="1"/>
  <c r="BD24" i="7"/>
  <c r="BM24" i="7" s="1"/>
  <c r="BE24" i="7"/>
  <c r="BN24" i="7" s="1"/>
  <c r="BF24" i="7"/>
  <c r="BO24" i="7" s="1"/>
  <c r="BG24" i="7"/>
  <c r="BP24" i="7" s="1"/>
  <c r="BA25" i="7"/>
  <c r="BB25" i="7"/>
  <c r="BK25" i="7" s="1"/>
  <c r="BC25" i="7"/>
  <c r="BL25" i="7" s="1"/>
  <c r="BD25" i="7"/>
  <c r="BM25" i="7" s="1"/>
  <c r="BE25" i="7"/>
  <c r="BN25" i="7" s="1"/>
  <c r="BF25" i="7"/>
  <c r="BO25" i="7" s="1"/>
  <c r="BG25" i="7"/>
  <c r="BP25" i="7" s="1"/>
  <c r="BA26" i="7"/>
  <c r="BJ26" i="7" s="1"/>
  <c r="BB26" i="7"/>
  <c r="BK26" i="7" s="1"/>
  <c r="BC26" i="7"/>
  <c r="BL26" i="7" s="1"/>
  <c r="BD26" i="7"/>
  <c r="BM26" i="7" s="1"/>
  <c r="BE26" i="7"/>
  <c r="BN26" i="7" s="1"/>
  <c r="BF26" i="7"/>
  <c r="BO26" i="7" s="1"/>
  <c r="BG26" i="7"/>
  <c r="BA27" i="7"/>
  <c r="BJ27" i="7" s="1"/>
  <c r="BB27" i="7"/>
  <c r="BK27" i="7" s="1"/>
  <c r="BC27" i="7"/>
  <c r="BL27" i="7" s="1"/>
  <c r="BD27" i="7"/>
  <c r="BM27" i="7" s="1"/>
  <c r="BE27" i="7"/>
  <c r="BN27" i="7" s="1"/>
  <c r="BF27" i="7"/>
  <c r="BO27" i="7" s="1"/>
  <c r="BG27" i="7"/>
  <c r="BP27" i="7" s="1"/>
  <c r="BA28" i="7"/>
  <c r="BJ28" i="7" s="1"/>
  <c r="BB28" i="7"/>
  <c r="BK28" i="7" s="1"/>
  <c r="BC28" i="7"/>
  <c r="BL28" i="7" s="1"/>
  <c r="BD28" i="7"/>
  <c r="BM28" i="7" s="1"/>
  <c r="BE28" i="7"/>
  <c r="BN28" i="7" s="1"/>
  <c r="BF28" i="7"/>
  <c r="BO28" i="7" s="1"/>
  <c r="BG28" i="7"/>
  <c r="BP28" i="7" s="1"/>
  <c r="BA29" i="7"/>
  <c r="BB29" i="7"/>
  <c r="BK29" i="7" s="1"/>
  <c r="BC29" i="7"/>
  <c r="BL29" i="7" s="1"/>
  <c r="BD29" i="7"/>
  <c r="BM29" i="7" s="1"/>
  <c r="BE29" i="7"/>
  <c r="BN29" i="7" s="1"/>
  <c r="BF29" i="7"/>
  <c r="BO29" i="7" s="1"/>
  <c r="BG29" i="7"/>
  <c r="BP29" i="7" s="1"/>
  <c r="BE139" i="10" l="1"/>
  <c r="BF139" i="10" s="1"/>
  <c r="BE141" i="10"/>
  <c r="BF141" i="10" s="1"/>
  <c r="BE119" i="10"/>
  <c r="BF119" i="10" s="1"/>
  <c r="BE114" i="10"/>
  <c r="BF114" i="10" s="1"/>
  <c r="BE136" i="10"/>
  <c r="BF136" i="10" s="1"/>
  <c r="BH212" i="9"/>
  <c r="BQ212" i="9" s="1"/>
  <c r="BH205" i="9"/>
  <c r="BQ205" i="9" s="1"/>
  <c r="BJ205" i="9"/>
  <c r="BH203" i="9"/>
  <c r="BQ203" i="9" s="1"/>
  <c r="BJ203" i="9"/>
  <c r="BH202" i="9"/>
  <c r="BQ202" i="9" s="1"/>
  <c r="BJ202" i="9"/>
  <c r="EK205" i="6"/>
  <c r="FJ205" i="6" s="1"/>
  <c r="EH204" i="6"/>
  <c r="EJ200" i="6"/>
  <c r="FI200" i="6" s="1"/>
  <c r="EK178" i="6"/>
  <c r="FJ178" i="6" s="1"/>
  <c r="EK174" i="6"/>
  <c r="FJ174" i="6" s="1"/>
  <c r="BJ212" i="9"/>
  <c r="BH200" i="9"/>
  <c r="BQ200" i="9" s="1"/>
  <c r="BJ200" i="9"/>
  <c r="BH198" i="9"/>
  <c r="BQ198" i="9" s="1"/>
  <c r="BJ198" i="9"/>
  <c r="BE117" i="10"/>
  <c r="BF117" i="10" s="1"/>
  <c r="BE116" i="10"/>
  <c r="BF116" i="10" s="1"/>
  <c r="BE133" i="10"/>
  <c r="BF133" i="10" s="1"/>
  <c r="BE132" i="10"/>
  <c r="BF132" i="10" s="1"/>
  <c r="BE129" i="10"/>
  <c r="BF129" i="10" s="1"/>
  <c r="BE126" i="10"/>
  <c r="BF126" i="10" s="1"/>
  <c r="BE123" i="10"/>
  <c r="BF123" i="10" s="1"/>
  <c r="BE138" i="10"/>
  <c r="BF138" i="10" s="1"/>
  <c r="BE142" i="10"/>
  <c r="BF142" i="10" s="1"/>
  <c r="BH210" i="9"/>
  <c r="BQ210" i="9" s="1"/>
  <c r="BH209" i="9"/>
  <c r="BQ209" i="9" s="1"/>
  <c r="BH208" i="9"/>
  <c r="BQ208" i="9" s="1"/>
  <c r="BH207" i="9"/>
  <c r="BQ207" i="9" s="1"/>
  <c r="BH206" i="9"/>
  <c r="BQ206" i="9" s="1"/>
  <c r="BH204" i="9"/>
  <c r="BQ204" i="9" s="1"/>
  <c r="BH197" i="9"/>
  <c r="BQ197" i="9" s="1"/>
  <c r="BH196" i="9"/>
  <c r="BQ196" i="9" s="1"/>
  <c r="BH162" i="9"/>
  <c r="BQ162" i="9" s="1"/>
  <c r="BE122" i="10"/>
  <c r="BF122" i="10" s="1"/>
  <c r="BE143" i="10"/>
  <c r="BF143" i="10" s="1"/>
  <c r="BE144" i="10"/>
  <c r="BF144" i="10" s="1"/>
  <c r="FK33" i="1"/>
  <c r="GJ33" i="1" s="1"/>
  <c r="BH39" i="7"/>
  <c r="BQ39" i="7" s="1"/>
  <c r="BH31" i="7"/>
  <c r="BQ31" i="7" s="1"/>
  <c r="BH45" i="7"/>
  <c r="BQ45" i="7" s="1"/>
  <c r="FK39" i="1"/>
  <c r="GJ39" i="1" s="1"/>
  <c r="FI33" i="1"/>
  <c r="GH33" i="1" s="1"/>
  <c r="FK35" i="1"/>
  <c r="GJ35" i="1" s="1"/>
  <c r="FI38" i="1"/>
  <c r="GH38" i="1" s="1"/>
  <c r="FI35" i="1"/>
  <c r="GH35" i="1" s="1"/>
  <c r="FF174" i="6"/>
  <c r="EI174" i="6"/>
  <c r="FH174" i="6" s="1"/>
  <c r="EK172" i="6"/>
  <c r="FJ172" i="6" s="1"/>
  <c r="EK168" i="6"/>
  <c r="FJ168" i="6" s="1"/>
  <c r="BH195" i="9"/>
  <c r="BQ195" i="9" s="1"/>
  <c r="BH194" i="9"/>
  <c r="BQ194" i="9" s="1"/>
  <c r="BH193" i="9"/>
  <c r="BQ193" i="9" s="1"/>
  <c r="EH193" i="6"/>
  <c r="FG193" i="6" s="1"/>
  <c r="BH192" i="9"/>
  <c r="BQ192" i="9" s="1"/>
  <c r="EK192" i="6"/>
  <c r="FJ192" i="6" s="1"/>
  <c r="BH191" i="9"/>
  <c r="BQ191" i="9" s="1"/>
  <c r="BN191" i="9"/>
  <c r="EH191" i="6"/>
  <c r="BH190" i="9"/>
  <c r="BQ190" i="9" s="1"/>
  <c r="EK190" i="6"/>
  <c r="FJ190" i="6" s="1"/>
  <c r="FF190" i="6"/>
  <c r="BH189" i="9"/>
  <c r="BQ189" i="9" s="1"/>
  <c r="BH188" i="9"/>
  <c r="BQ188" i="9" s="1"/>
  <c r="BH184" i="9"/>
  <c r="BQ184" i="9" s="1"/>
  <c r="BH183" i="9"/>
  <c r="BQ183" i="9" s="1"/>
  <c r="BH182" i="9"/>
  <c r="BQ182" i="9" s="1"/>
  <c r="EH182" i="6"/>
  <c r="FG182" i="6" s="1"/>
  <c r="EK186" i="6"/>
  <c r="FJ186" i="6" s="1"/>
  <c r="BH199" i="9"/>
  <c r="BQ199" i="9" s="1"/>
  <c r="BH187" i="9"/>
  <c r="BQ187" i="9" s="1"/>
  <c r="BH186" i="9"/>
  <c r="BQ186" i="9" s="1"/>
  <c r="BH185" i="9"/>
  <c r="BQ185" i="9" s="1"/>
  <c r="BE120" i="10"/>
  <c r="BF120" i="10" s="1"/>
  <c r="BH48" i="7"/>
  <c r="BQ48" i="7" s="1"/>
  <c r="BH52" i="7"/>
  <c r="BQ52" i="7" s="1"/>
  <c r="BH55" i="7"/>
  <c r="BQ55" i="7" s="1"/>
  <c r="FF198" i="6"/>
  <c r="EO182" i="6"/>
  <c r="BE118" i="10"/>
  <c r="BF118" i="10" s="1"/>
  <c r="BE135" i="10"/>
  <c r="BF135" i="10" s="1"/>
  <c r="BE131" i="10"/>
  <c r="BF131" i="10" s="1"/>
  <c r="BE127" i="10"/>
  <c r="BF127" i="10" s="1"/>
  <c r="BE125" i="10"/>
  <c r="BF125" i="10" s="1"/>
  <c r="BE140" i="10"/>
  <c r="BF140" i="10" s="1"/>
  <c r="BE145" i="10"/>
  <c r="BF145" i="10" s="1"/>
  <c r="BF30" i="5"/>
  <c r="FI34" i="1"/>
  <c r="GH34" i="1" s="1"/>
  <c r="FR35" i="1"/>
  <c r="FR38" i="1"/>
  <c r="BH38" i="7"/>
  <c r="BQ38" i="7" s="1"/>
  <c r="BF38" i="5"/>
  <c r="BN45" i="7"/>
  <c r="BM207" i="9"/>
  <c r="BK194" i="9"/>
  <c r="EO210" i="6"/>
  <c r="EH208" i="6"/>
  <c r="FG208" i="6" s="1"/>
  <c r="EK194" i="6"/>
  <c r="FJ194" i="6" s="1"/>
  <c r="EK188" i="6"/>
  <c r="FJ188" i="6" s="1"/>
  <c r="EJ184" i="6"/>
  <c r="FI184" i="6" s="1"/>
  <c r="EH165" i="6"/>
  <c r="FG165" i="6" s="1"/>
  <c r="BE112" i="10"/>
  <c r="BF112" i="10" s="1"/>
  <c r="BE137" i="10"/>
  <c r="BF137" i="10" s="1"/>
  <c r="BH32" i="7"/>
  <c r="BQ32" i="7" s="1"/>
  <c r="FK34" i="1"/>
  <c r="GJ34" i="1" s="1"/>
  <c r="FI37" i="1"/>
  <c r="GH37" i="1" s="1"/>
  <c r="BH36" i="7"/>
  <c r="BQ36" i="7" s="1"/>
  <c r="BH37" i="7"/>
  <c r="BQ37" i="7" s="1"/>
  <c r="BH44" i="7"/>
  <c r="BQ44" i="7" s="1"/>
  <c r="BH50" i="7"/>
  <c r="BQ50" i="7" s="1"/>
  <c r="BK193" i="9"/>
  <c r="BH46" i="7"/>
  <c r="BQ46" i="7" s="1"/>
  <c r="BH49" i="7"/>
  <c r="BQ49" i="7" s="1"/>
  <c r="BH53" i="7"/>
  <c r="BQ53" i="7" s="1"/>
  <c r="EH211" i="6"/>
  <c r="EH202" i="6"/>
  <c r="FG202" i="6" s="1"/>
  <c r="BE121" i="10"/>
  <c r="BF121" i="10" s="1"/>
  <c r="BF28" i="5"/>
  <c r="FK36" i="1"/>
  <c r="GJ36" i="1" s="1"/>
  <c r="FK37" i="1"/>
  <c r="GJ37" i="1" s="1"/>
  <c r="FK38" i="1"/>
  <c r="GJ38" i="1" s="1"/>
  <c r="BJ39" i="7"/>
  <c r="BH42" i="7"/>
  <c r="BQ42" i="7" s="1"/>
  <c r="BH43" i="7"/>
  <c r="BQ43" i="7" s="1"/>
  <c r="BH56" i="7"/>
  <c r="BQ56" i="7" s="1"/>
  <c r="EK210" i="6"/>
  <c r="FJ210" i="6" s="1"/>
  <c r="EH209" i="6"/>
  <c r="EO203" i="6"/>
  <c r="EK200" i="6"/>
  <c r="FJ200" i="6" s="1"/>
  <c r="EH187" i="6"/>
  <c r="FG187" i="6" s="1"/>
  <c r="EK184" i="6"/>
  <c r="FJ184" i="6" s="1"/>
  <c r="BE134" i="10"/>
  <c r="BF134" i="10" s="1"/>
  <c r="BE130" i="10"/>
  <c r="BF130" i="10" s="1"/>
  <c r="BE128" i="10"/>
  <c r="BF128" i="10" s="1"/>
  <c r="BE124" i="10"/>
  <c r="BF124" i="10" s="1"/>
  <c r="FS33" i="1"/>
  <c r="BH33" i="7"/>
  <c r="BQ33" i="7" s="1"/>
  <c r="FI39" i="1"/>
  <c r="GH39" i="1" s="1"/>
  <c r="BH51" i="7"/>
  <c r="BQ51" i="7" s="1"/>
  <c r="BH54" i="7"/>
  <c r="BQ54" i="7" s="1"/>
  <c r="BH180" i="9"/>
  <c r="BQ180" i="9" s="1"/>
  <c r="BH34" i="7"/>
  <c r="BQ34" i="7" s="1"/>
  <c r="FK40" i="1"/>
  <c r="GJ40" i="1" s="1"/>
  <c r="BH40" i="7"/>
  <c r="BQ40" i="7" s="1"/>
  <c r="BH41" i="7"/>
  <c r="BQ41" i="7" s="1"/>
  <c r="BH57" i="7"/>
  <c r="BQ57" i="7" s="1"/>
  <c r="EJ197" i="6"/>
  <c r="FI197" i="6" s="1"/>
  <c r="EK203" i="6"/>
  <c r="FJ203" i="6" s="1"/>
  <c r="EH175" i="6"/>
  <c r="FG175" i="6" s="1"/>
  <c r="EK164" i="6"/>
  <c r="FJ164" i="6" s="1"/>
  <c r="BE113" i="10"/>
  <c r="BF113" i="10" s="1"/>
  <c r="BF29" i="5"/>
  <c r="BH35" i="7"/>
  <c r="BQ35" i="7" s="1"/>
  <c r="FI40" i="1"/>
  <c r="GH40" i="1" s="1"/>
  <c r="BH47" i="7"/>
  <c r="BQ47" i="7" s="1"/>
  <c r="BH181" i="9"/>
  <c r="BQ181" i="9" s="1"/>
  <c r="BP181" i="9"/>
  <c r="BP180" i="9"/>
  <c r="EK180" i="6"/>
  <c r="FJ180" i="6" s="1"/>
  <c r="BH179" i="9"/>
  <c r="BQ179" i="9" s="1"/>
  <c r="BP179" i="9"/>
  <c r="EH179" i="6"/>
  <c r="FG179" i="6" s="1"/>
  <c r="EO179" i="6"/>
  <c r="BH178" i="9"/>
  <c r="BQ178" i="9" s="1"/>
  <c r="BP178" i="9"/>
  <c r="EH178" i="6"/>
  <c r="FG178" i="6" s="1"/>
  <c r="BH177" i="9"/>
  <c r="BQ177" i="9" s="1"/>
  <c r="BP177" i="9"/>
  <c r="EH177" i="6"/>
  <c r="FG177" i="6" s="1"/>
  <c r="BH176" i="9"/>
  <c r="BQ176" i="9" s="1"/>
  <c r="BP176" i="9"/>
  <c r="EK176" i="6"/>
  <c r="FJ176" i="6" s="1"/>
  <c r="EI176" i="6"/>
  <c r="FH176" i="6" s="1"/>
  <c r="BH175" i="9"/>
  <c r="BQ175" i="9" s="1"/>
  <c r="BP175" i="9"/>
  <c r="BH174" i="9"/>
  <c r="BQ174" i="9" s="1"/>
  <c r="BP174" i="9"/>
  <c r="EH174" i="6"/>
  <c r="ET174" i="6"/>
  <c r="BH173" i="9"/>
  <c r="BQ173" i="9" s="1"/>
  <c r="BP173" i="9"/>
  <c r="EH173" i="6"/>
  <c r="BH172" i="9"/>
  <c r="BQ172" i="9" s="1"/>
  <c r="BP172" i="9"/>
  <c r="FF172" i="6"/>
  <c r="EH172" i="6"/>
  <c r="BH171" i="9"/>
  <c r="BQ171" i="9" s="1"/>
  <c r="BP171" i="9"/>
  <c r="EH171" i="6"/>
  <c r="FG171" i="6" s="1"/>
  <c r="EO171" i="6"/>
  <c r="BH170" i="9"/>
  <c r="BQ170" i="9" s="1"/>
  <c r="BP170" i="9"/>
  <c r="EK170" i="6"/>
  <c r="FJ170" i="6" s="1"/>
  <c r="FF170" i="6"/>
  <c r="EH170" i="6"/>
  <c r="FG170" i="6" s="1"/>
  <c r="EI170" i="6"/>
  <c r="FH170" i="6" s="1"/>
  <c r="BH169" i="9"/>
  <c r="BQ169" i="9" s="1"/>
  <c r="BP169" i="9"/>
  <c r="EH169" i="6"/>
  <c r="FG169" i="6" s="1"/>
  <c r="BH168" i="9"/>
  <c r="BQ168" i="9" s="1"/>
  <c r="BP168" i="9"/>
  <c r="EH168" i="6"/>
  <c r="BH167" i="9"/>
  <c r="BQ167" i="9" s="1"/>
  <c r="BP167" i="9"/>
  <c r="BH166" i="9"/>
  <c r="BQ166" i="9" s="1"/>
  <c r="BN166" i="9"/>
  <c r="BH165" i="9"/>
  <c r="BQ165" i="9" s="1"/>
  <c r="EP165" i="6"/>
  <c r="BH164" i="9"/>
  <c r="BQ164" i="9" s="1"/>
  <c r="BN164" i="9"/>
  <c r="FF164" i="6"/>
  <c r="EH164" i="6"/>
  <c r="FG164" i="6" s="1"/>
  <c r="BH163" i="9"/>
  <c r="BQ163" i="9" s="1"/>
  <c r="BP163" i="9"/>
  <c r="EK163" i="6"/>
  <c r="FJ163" i="6" s="1"/>
  <c r="EH163" i="6"/>
  <c r="FG163" i="6" s="1"/>
  <c r="BM162" i="9"/>
  <c r="EK162" i="6"/>
  <c r="FJ162" i="6" s="1"/>
  <c r="FF162" i="6"/>
  <c r="EH162" i="6"/>
  <c r="FG162" i="6" s="1"/>
  <c r="EI162" i="6"/>
  <c r="FH162" i="6" s="1"/>
  <c r="BH161" i="9"/>
  <c r="BQ161" i="9" s="1"/>
  <c r="BP161" i="9"/>
  <c r="EK161" i="6"/>
  <c r="FJ161" i="6" s="1"/>
  <c r="EH161" i="6"/>
  <c r="FG161" i="6" s="1"/>
  <c r="BH160" i="9"/>
  <c r="BQ160" i="9" s="1"/>
  <c r="BH159" i="9"/>
  <c r="BQ159" i="9" s="1"/>
  <c r="EK159" i="6"/>
  <c r="FJ159" i="6" s="1"/>
  <c r="BH158" i="9"/>
  <c r="BQ158" i="9" s="1"/>
  <c r="BP158" i="9"/>
  <c r="BH148" i="9"/>
  <c r="BQ148" i="9" s="1"/>
  <c r="BH156" i="9"/>
  <c r="BQ156" i="9" s="1"/>
  <c r="BP156" i="9"/>
  <c r="BH157" i="9"/>
  <c r="BQ157" i="9" s="1"/>
  <c r="BP157" i="9"/>
  <c r="BH155" i="9"/>
  <c r="BQ155" i="9" s="1"/>
  <c r="EI155" i="6"/>
  <c r="FH155" i="6" s="1"/>
  <c r="EJ155" i="6"/>
  <c r="FI155" i="6" s="1"/>
  <c r="BH154" i="9"/>
  <c r="BQ154" i="9" s="1"/>
  <c r="BP154" i="9"/>
  <c r="EK154" i="6"/>
  <c r="FJ154" i="6" s="1"/>
  <c r="BH153" i="9"/>
  <c r="BQ153" i="9" s="1"/>
  <c r="BJ153" i="9"/>
  <c r="BH152" i="9"/>
  <c r="BQ152" i="9" s="1"/>
  <c r="BP152" i="9"/>
  <c r="EK152" i="6"/>
  <c r="FJ152" i="6" s="1"/>
  <c r="BH151" i="9"/>
  <c r="BQ151" i="9" s="1"/>
  <c r="BP151" i="9"/>
  <c r="BM57" i="7"/>
  <c r="BM56" i="7"/>
  <c r="BM51" i="7"/>
  <c r="BM50" i="7"/>
  <c r="BM49" i="7"/>
  <c r="BM48" i="7"/>
  <c r="BM46" i="7"/>
  <c r="BM43" i="7"/>
  <c r="FS40" i="1"/>
  <c r="GE39" i="1"/>
  <c r="GE38" i="1"/>
  <c r="GE37" i="1"/>
  <c r="BM35" i="7"/>
  <c r="GE36" i="1"/>
  <c r="FI36" i="1"/>
  <c r="GH36" i="1" s="1"/>
  <c r="BH150" i="9"/>
  <c r="BQ150" i="9" s="1"/>
  <c r="BP150" i="9"/>
  <c r="FR36" i="1"/>
  <c r="BH149" i="9"/>
  <c r="BQ149" i="9" s="1"/>
  <c r="BP149" i="9"/>
  <c r="BE115" i="10"/>
  <c r="BF115" i="10" s="1"/>
  <c r="EK116" i="6"/>
  <c r="FJ116" i="6" s="1"/>
  <c r="BM34" i="7"/>
  <c r="GE34" i="1"/>
  <c r="GE33" i="1"/>
  <c r="BH30" i="7"/>
  <c r="BQ30" i="7" s="1"/>
  <c r="FI32" i="1"/>
  <c r="GH32" i="1" s="1"/>
  <c r="FJ32" i="1"/>
  <c r="GI32" i="1" s="1"/>
  <c r="FK30" i="1"/>
  <c r="GJ30" i="1" s="1"/>
  <c r="FJ30" i="1"/>
  <c r="GI30" i="1" s="1"/>
  <c r="FK22" i="1"/>
  <c r="GJ22" i="1" s="1"/>
  <c r="FK7" i="1"/>
  <c r="GJ7" i="1" s="1"/>
  <c r="FK31" i="1"/>
  <c r="GJ31" i="1" s="1"/>
  <c r="FK6" i="1"/>
  <c r="GJ6" i="1" s="1"/>
  <c r="FJ6" i="1"/>
  <c r="GI6" i="1" s="1"/>
  <c r="FJ10" i="1"/>
  <c r="GI10" i="1" s="1"/>
  <c r="FJ21" i="1"/>
  <c r="GI21" i="1" s="1"/>
  <c r="FH20" i="1"/>
  <c r="GG20" i="1" s="1"/>
  <c r="FI28" i="1"/>
  <c r="GH28" i="1" s="1"/>
  <c r="FK18" i="1"/>
  <c r="GJ18" i="1" s="1"/>
  <c r="FJ26" i="1"/>
  <c r="GI26" i="1" s="1"/>
  <c r="FI25" i="1"/>
  <c r="GH25" i="1" s="1"/>
  <c r="FH21" i="1"/>
  <c r="GG21" i="1" s="1"/>
  <c r="FK11" i="1"/>
  <c r="GJ11" i="1" s="1"/>
  <c r="FK32" i="1"/>
  <c r="GJ32" i="1" s="1"/>
  <c r="FH17" i="1"/>
  <c r="GG17" i="1" s="1"/>
  <c r="FR25" i="1"/>
  <c r="FR28" i="1"/>
  <c r="EH148" i="6"/>
  <c r="FG148" i="6" s="1"/>
  <c r="BH147" i="9"/>
  <c r="BQ147" i="9" s="1"/>
  <c r="BP147" i="9"/>
  <c r="EI147" i="6"/>
  <c r="FH147" i="6" s="1"/>
  <c r="BH146" i="9"/>
  <c r="BQ146" i="9" s="1"/>
  <c r="EK146" i="6"/>
  <c r="FJ146" i="6" s="1"/>
  <c r="BH145" i="9"/>
  <c r="BQ145" i="9" s="1"/>
  <c r="BP145" i="9"/>
  <c r="BH144" i="9"/>
  <c r="BQ144" i="9" s="1"/>
  <c r="BH143" i="9"/>
  <c r="BQ143" i="9" s="1"/>
  <c r="BP143" i="9"/>
  <c r="EH143" i="6"/>
  <c r="FG143" i="6" s="1"/>
  <c r="BH142" i="9"/>
  <c r="BQ142" i="9" s="1"/>
  <c r="EK142" i="6"/>
  <c r="FJ142" i="6" s="1"/>
  <c r="BH141" i="9"/>
  <c r="BQ141" i="9" s="1"/>
  <c r="BP141" i="9"/>
  <c r="BH140" i="9"/>
  <c r="BQ140" i="9" s="1"/>
  <c r="BP140" i="9"/>
  <c r="EK140" i="6"/>
  <c r="FJ140" i="6" s="1"/>
  <c r="EH140" i="6"/>
  <c r="FG140" i="6" s="1"/>
  <c r="BH139" i="9"/>
  <c r="BQ139" i="9" s="1"/>
  <c r="EK139" i="6"/>
  <c r="FJ139" i="6" s="1"/>
  <c r="FF139" i="6"/>
  <c r="EI139" i="6"/>
  <c r="FH139" i="6" s="1"/>
  <c r="BH138" i="9"/>
  <c r="BQ138" i="9" s="1"/>
  <c r="BP138" i="9"/>
  <c r="EK138" i="6"/>
  <c r="FJ138" i="6" s="1"/>
  <c r="FF138" i="6"/>
  <c r="BH137" i="9"/>
  <c r="BQ137" i="9" s="1"/>
  <c r="BP137" i="9"/>
  <c r="BH136" i="9"/>
  <c r="BQ136" i="9" s="1"/>
  <c r="BH135" i="9"/>
  <c r="BQ135" i="9" s="1"/>
  <c r="BP135" i="9"/>
  <c r="EH135" i="6"/>
  <c r="FG135" i="6" s="1"/>
  <c r="BH134" i="9"/>
  <c r="BQ134" i="9" s="1"/>
  <c r="BP134" i="9"/>
  <c r="EK134" i="6"/>
  <c r="FJ134" i="6" s="1"/>
  <c r="FF134" i="6"/>
  <c r="BH133" i="9"/>
  <c r="BQ133" i="9" s="1"/>
  <c r="BP133" i="9"/>
  <c r="EH133" i="6"/>
  <c r="FG133" i="6" s="1"/>
  <c r="BH132" i="9"/>
  <c r="BQ132" i="9" s="1"/>
  <c r="EK132" i="6"/>
  <c r="FJ132" i="6" s="1"/>
  <c r="FF132" i="6"/>
  <c r="BH131" i="9"/>
  <c r="BQ131" i="9" s="1"/>
  <c r="BP131" i="9"/>
  <c r="EH131" i="6"/>
  <c r="FG131" i="6" s="1"/>
  <c r="BH130" i="9"/>
  <c r="BQ130" i="9" s="1"/>
  <c r="EK130" i="6"/>
  <c r="FJ130" i="6" s="1"/>
  <c r="FF130" i="6"/>
  <c r="BH129" i="9"/>
  <c r="BQ129" i="9" s="1"/>
  <c r="BP129" i="9"/>
  <c r="EH129" i="6"/>
  <c r="FG129" i="6" s="1"/>
  <c r="BH128" i="9"/>
  <c r="BQ128" i="9" s="1"/>
  <c r="BP128" i="9"/>
  <c r="EK128" i="6"/>
  <c r="FJ128" i="6" s="1"/>
  <c r="BH127" i="9"/>
  <c r="BQ127" i="9" s="1"/>
  <c r="BP127" i="9"/>
  <c r="EH127" i="6"/>
  <c r="FG127" i="6" s="1"/>
  <c r="BH126" i="9"/>
  <c r="BQ126" i="9" s="1"/>
  <c r="BP126" i="9"/>
  <c r="EK126" i="6"/>
  <c r="FJ126" i="6" s="1"/>
  <c r="FF126" i="6"/>
  <c r="BH125" i="9"/>
  <c r="BQ125" i="9" s="1"/>
  <c r="BP125" i="9"/>
  <c r="EH125" i="6"/>
  <c r="FG125" i="6" s="1"/>
  <c r="EJ125" i="6"/>
  <c r="FI125" i="6" s="1"/>
  <c r="EW125" i="6"/>
  <c r="BH124" i="9"/>
  <c r="BQ124" i="9" s="1"/>
  <c r="EK124" i="6"/>
  <c r="FJ124" i="6" s="1"/>
  <c r="BH123" i="9"/>
  <c r="BQ123" i="9" s="1"/>
  <c r="BP123" i="9"/>
  <c r="EH123" i="6"/>
  <c r="FG123" i="6" s="1"/>
  <c r="EI123" i="6"/>
  <c r="FH123" i="6" s="1"/>
  <c r="BH122" i="9"/>
  <c r="BQ122" i="9" s="1"/>
  <c r="BP122" i="9"/>
  <c r="EK122" i="6"/>
  <c r="FJ122" i="6" s="1"/>
  <c r="BH121" i="9"/>
  <c r="BQ121" i="9" s="1"/>
  <c r="BP121" i="9"/>
  <c r="BH120" i="9"/>
  <c r="BQ120" i="9" s="1"/>
  <c r="BP120" i="9"/>
  <c r="EK120" i="6"/>
  <c r="FJ120" i="6" s="1"/>
  <c r="BH119" i="9"/>
  <c r="BQ119" i="9" s="1"/>
  <c r="EI119" i="6"/>
  <c r="FH119" i="6" s="1"/>
  <c r="BH118" i="9"/>
  <c r="BQ118" i="9" s="1"/>
  <c r="EK118" i="6"/>
  <c r="FJ118" i="6" s="1"/>
  <c r="BH117" i="9"/>
  <c r="BQ117" i="9" s="1"/>
  <c r="BP117" i="9"/>
  <c r="EH117" i="6"/>
  <c r="FG117" i="6" s="1"/>
  <c r="EJ117" i="6"/>
  <c r="FI117" i="6" s="1"/>
  <c r="BH116" i="9"/>
  <c r="BQ116" i="9" s="1"/>
  <c r="BP116" i="9"/>
  <c r="BH115" i="9"/>
  <c r="BQ115" i="9" s="1"/>
  <c r="BH114" i="9"/>
  <c r="BQ114" i="9" s="1"/>
  <c r="BP114" i="9"/>
  <c r="EK211" i="6"/>
  <c r="FJ211" i="6" s="1"/>
  <c r="EJ210" i="6"/>
  <c r="FI210" i="6" s="1"/>
  <c r="EK209" i="6"/>
  <c r="FJ209" i="6" s="1"/>
  <c r="EJ208" i="6"/>
  <c r="FI208" i="6" s="1"/>
  <c r="EK207" i="6"/>
  <c r="FJ207" i="6" s="1"/>
  <c r="EH205" i="6"/>
  <c r="FG205" i="6" s="1"/>
  <c r="EJ205" i="6"/>
  <c r="FI205" i="6" s="1"/>
  <c r="EK204" i="6"/>
  <c r="FJ204" i="6" s="1"/>
  <c r="EJ203" i="6"/>
  <c r="FI203" i="6" s="1"/>
  <c r="EI200" i="6"/>
  <c r="FH200" i="6" s="1"/>
  <c r="EJ199" i="6"/>
  <c r="FI199" i="6" s="1"/>
  <c r="EI197" i="6"/>
  <c r="FH197" i="6" s="1"/>
  <c r="EK196" i="6"/>
  <c r="FJ196" i="6" s="1"/>
  <c r="EJ188" i="6"/>
  <c r="FI188" i="6" s="1"/>
  <c r="EI178" i="6"/>
  <c r="FH178" i="6" s="1"/>
  <c r="ER176" i="6"/>
  <c r="EI172" i="6"/>
  <c r="FH172" i="6" s="1"/>
  <c r="EI168" i="6"/>
  <c r="FH168" i="6" s="1"/>
  <c r="EK165" i="6"/>
  <c r="FJ165" i="6" s="1"/>
  <c r="EI164" i="6"/>
  <c r="FH164" i="6" s="1"/>
  <c r="ER162" i="6"/>
  <c r="EK160" i="6"/>
  <c r="FJ160" i="6" s="1"/>
  <c r="EH160" i="6"/>
  <c r="FG160" i="6" s="1"/>
  <c r="EJ156" i="6"/>
  <c r="FI156" i="6" s="1"/>
  <c r="EH156" i="6"/>
  <c r="FG156" i="6" s="1"/>
  <c r="ET155" i="6"/>
  <c r="EJ153" i="6"/>
  <c r="FI153" i="6" s="1"/>
  <c r="EJ144" i="6"/>
  <c r="FI144" i="6" s="1"/>
  <c r="EH144" i="6"/>
  <c r="FG144" i="6" s="1"/>
  <c r="EJ141" i="6"/>
  <c r="FI141" i="6" s="1"/>
  <c r="EH141" i="6"/>
  <c r="FG141" i="6" s="1"/>
  <c r="ER139" i="6"/>
  <c r="EJ128" i="6"/>
  <c r="FI128" i="6" s="1"/>
  <c r="EI127" i="6"/>
  <c r="FH127" i="6" s="1"/>
  <c r="EJ211" i="6"/>
  <c r="FI211" i="6" s="1"/>
  <c r="EJ209" i="6"/>
  <c r="FI209" i="6" s="1"/>
  <c r="EJ207" i="6"/>
  <c r="FI207" i="6" s="1"/>
  <c r="EJ204" i="6"/>
  <c r="FI204" i="6" s="1"/>
  <c r="EI199" i="6"/>
  <c r="FH199" i="6" s="1"/>
  <c r="EH196" i="6"/>
  <c r="FG196" i="6" s="1"/>
  <c r="EH195" i="6"/>
  <c r="FG195" i="6" s="1"/>
  <c r="EJ170" i="6"/>
  <c r="FI170" i="6" s="1"/>
  <c r="EI166" i="6"/>
  <c r="FH166" i="6" s="1"/>
  <c r="EI160" i="6"/>
  <c r="FH160" i="6" s="1"/>
  <c r="EH158" i="6"/>
  <c r="FG158" i="6" s="1"/>
  <c r="EJ149" i="6"/>
  <c r="FI149" i="6" s="1"/>
  <c r="EK144" i="6"/>
  <c r="FJ144" i="6" s="1"/>
  <c r="EI130" i="6"/>
  <c r="FH130" i="6" s="1"/>
  <c r="EJ130" i="6"/>
  <c r="FI130" i="6" s="1"/>
  <c r="EH121" i="6"/>
  <c r="FG121" i="6" s="1"/>
  <c r="EH115" i="6"/>
  <c r="FG115" i="6" s="1"/>
  <c r="EJ202" i="6"/>
  <c r="FI202" i="6" s="1"/>
  <c r="EJ195" i="6"/>
  <c r="FI195" i="6" s="1"/>
  <c r="EJ181" i="6"/>
  <c r="FI181" i="6" s="1"/>
  <c r="EI161" i="6"/>
  <c r="FH161" i="6" s="1"/>
  <c r="EJ152" i="6"/>
  <c r="FI152" i="6" s="1"/>
  <c r="EH152" i="6"/>
  <c r="FG152" i="6" s="1"/>
  <c r="EI149" i="6"/>
  <c r="FH149" i="6" s="1"/>
  <c r="EH146" i="6"/>
  <c r="FG146" i="6" s="1"/>
  <c r="EI134" i="6"/>
  <c r="FH134" i="6" s="1"/>
  <c r="EJ121" i="6"/>
  <c r="FI121" i="6" s="1"/>
  <c r="EJ115" i="6"/>
  <c r="FI115" i="6" s="1"/>
  <c r="EJ198" i="6"/>
  <c r="FI198" i="6" s="1"/>
  <c r="FD155" i="6"/>
  <c r="EJ143" i="6"/>
  <c r="FI143" i="6" s="1"/>
  <c r="EI202" i="6"/>
  <c r="FH202" i="6" s="1"/>
  <c r="FD197" i="6"/>
  <c r="EJ166" i="6"/>
  <c r="FI166" i="6" s="1"/>
  <c r="EK158" i="6"/>
  <c r="FJ158" i="6" s="1"/>
  <c r="EH154" i="6"/>
  <c r="FG154" i="6" s="1"/>
  <c r="EJ151" i="6"/>
  <c r="FI151" i="6" s="1"/>
  <c r="EI137" i="6"/>
  <c r="FH137" i="6" s="1"/>
  <c r="EJ123" i="6"/>
  <c r="FI123" i="6" s="1"/>
  <c r="FE120" i="6"/>
  <c r="EH167" i="6"/>
  <c r="FG167" i="6" s="1"/>
  <c r="EH201" i="6"/>
  <c r="FG201" i="6" s="1"/>
  <c r="EJ201" i="6"/>
  <c r="FI201" i="6" s="1"/>
  <c r="EI182" i="6"/>
  <c r="FH182" i="6" s="1"/>
  <c r="EJ150" i="6"/>
  <c r="FI150" i="6" s="1"/>
  <c r="EH150" i="6"/>
  <c r="FG150" i="6" s="1"/>
  <c r="EJ145" i="6"/>
  <c r="FI145" i="6" s="1"/>
  <c r="EH145" i="6"/>
  <c r="FG145" i="6" s="1"/>
  <c r="EH142" i="6"/>
  <c r="FG142" i="6" s="1"/>
  <c r="EK136" i="6"/>
  <c r="FJ136" i="6" s="1"/>
  <c r="EJ131" i="6"/>
  <c r="FI131" i="6" s="1"/>
  <c r="EJ127" i="6"/>
  <c r="FI127" i="6" s="1"/>
  <c r="EW121" i="6"/>
  <c r="EI211" i="6"/>
  <c r="FH211" i="6" s="1"/>
  <c r="EI209" i="6"/>
  <c r="FH209" i="6" s="1"/>
  <c r="EI207" i="6"/>
  <c r="FH207" i="6" s="1"/>
  <c r="EI204" i="6"/>
  <c r="FH204" i="6" s="1"/>
  <c r="EI151" i="6"/>
  <c r="FH151" i="6" s="1"/>
  <c r="EK148" i="6"/>
  <c r="FJ148" i="6" s="1"/>
  <c r="EJ119" i="6"/>
  <c r="FI119" i="6" s="1"/>
  <c r="EH119" i="6"/>
  <c r="FG119" i="6" s="1"/>
  <c r="BH113" i="9"/>
  <c r="BQ113" i="9" s="1"/>
  <c r="FG211" i="6"/>
  <c r="FG209" i="6"/>
  <c r="FG207" i="6"/>
  <c r="FG204" i="6"/>
  <c r="EK193" i="6"/>
  <c r="FJ193" i="6" s="1"/>
  <c r="FE193" i="6"/>
  <c r="EI193" i="6"/>
  <c r="FH193" i="6" s="1"/>
  <c r="EU193" i="6"/>
  <c r="EK191" i="6"/>
  <c r="FJ191" i="6" s="1"/>
  <c r="FE191" i="6"/>
  <c r="EK187" i="6"/>
  <c r="FJ187" i="6" s="1"/>
  <c r="FE187" i="6"/>
  <c r="EK175" i="6"/>
  <c r="FJ175" i="6" s="1"/>
  <c r="FE175" i="6"/>
  <c r="FB169" i="6"/>
  <c r="EJ169" i="6"/>
  <c r="FI169" i="6" s="1"/>
  <c r="EI169" i="6"/>
  <c r="ES169" i="6"/>
  <c r="FB163" i="6"/>
  <c r="EJ163" i="6"/>
  <c r="FI163" i="6" s="1"/>
  <c r="EI163" i="6"/>
  <c r="ES163" i="6"/>
  <c r="EK115" i="6"/>
  <c r="FJ115" i="6" s="1"/>
  <c r="FF115" i="6"/>
  <c r="EW210" i="6"/>
  <c r="EW208" i="6"/>
  <c r="EW205" i="6"/>
  <c r="EW203" i="6"/>
  <c r="EH200" i="6"/>
  <c r="EH199" i="6"/>
  <c r="EI198" i="6"/>
  <c r="FH198" i="6" s="1"/>
  <c r="EJ196" i="6"/>
  <c r="FI196" i="6" s="1"/>
  <c r="ER190" i="6"/>
  <c r="EI190" i="6"/>
  <c r="FH190" i="6" s="1"/>
  <c r="EJ189" i="6"/>
  <c r="FI189" i="6" s="1"/>
  <c r="ER186" i="6"/>
  <c r="EI186" i="6"/>
  <c r="FH186" i="6" s="1"/>
  <c r="EJ185" i="6"/>
  <c r="FI185" i="6" s="1"/>
  <c r="EH181" i="6"/>
  <c r="EJ180" i="6"/>
  <c r="FI180" i="6" s="1"/>
  <c r="EZ180" i="6"/>
  <c r="EI180" i="6"/>
  <c r="FH180" i="6" s="1"/>
  <c r="EK171" i="6"/>
  <c r="FJ171" i="6" s="1"/>
  <c r="FE171" i="6"/>
  <c r="EP166" i="6"/>
  <c r="EH166" i="6"/>
  <c r="FB165" i="6"/>
  <c r="EJ165" i="6"/>
  <c r="FI165" i="6" s="1"/>
  <c r="EI165" i="6"/>
  <c r="ES165" i="6"/>
  <c r="ER148" i="6"/>
  <c r="EI148" i="6"/>
  <c r="FH148" i="6" s="1"/>
  <c r="EO139" i="6"/>
  <c r="EH139" i="6"/>
  <c r="EH198" i="6"/>
  <c r="EH197" i="6"/>
  <c r="EI196" i="6"/>
  <c r="EI191" i="6"/>
  <c r="FH191" i="6" s="1"/>
  <c r="EH189" i="6"/>
  <c r="EP186" i="6"/>
  <c r="EH186" i="6"/>
  <c r="EH185" i="6"/>
  <c r="EW182" i="6"/>
  <c r="EJ182" i="6"/>
  <c r="FI182" i="6" s="1"/>
  <c r="FG172" i="6"/>
  <c r="FB167" i="6"/>
  <c r="EJ167" i="6"/>
  <c r="FI167" i="6" s="1"/>
  <c r="EP211" i="6"/>
  <c r="FE210" i="6"/>
  <c r="EP209" i="6"/>
  <c r="FE208" i="6"/>
  <c r="EP207" i="6"/>
  <c r="FE205" i="6"/>
  <c r="EP204" i="6"/>
  <c r="FE203" i="6"/>
  <c r="EK199" i="6"/>
  <c r="FJ199" i="6" s="1"/>
  <c r="FE199" i="6"/>
  <c r="FE194" i="6"/>
  <c r="ER194" i="6"/>
  <c r="EI194" i="6"/>
  <c r="FH194" i="6" s="1"/>
  <c r="FE192" i="6"/>
  <c r="ER192" i="6"/>
  <c r="EI192" i="6"/>
  <c r="FH192" i="6" s="1"/>
  <c r="EK179" i="6"/>
  <c r="FJ179" i="6" s="1"/>
  <c r="FE179" i="6"/>
  <c r="EK156" i="6"/>
  <c r="FJ156" i="6" s="1"/>
  <c r="FE156" i="6"/>
  <c r="EI156" i="6"/>
  <c r="FH156" i="6" s="1"/>
  <c r="EU156" i="6"/>
  <c r="EK201" i="6"/>
  <c r="FJ201" i="6" s="1"/>
  <c r="FE201" i="6"/>
  <c r="EP190" i="6"/>
  <c r="EH190" i="6"/>
  <c r="EI187" i="6"/>
  <c r="FH187" i="6" s="1"/>
  <c r="EI175" i="6"/>
  <c r="ES175" i="6"/>
  <c r="EW172" i="6"/>
  <c r="EJ172" i="6"/>
  <c r="FI172" i="6" s="1"/>
  <c r="EI167" i="6"/>
  <c r="ES167" i="6"/>
  <c r="EW202" i="6"/>
  <c r="EX200" i="6"/>
  <c r="EK197" i="6"/>
  <c r="FJ197" i="6" s="1"/>
  <c r="FE197" i="6"/>
  <c r="EI195" i="6"/>
  <c r="FH195" i="6" s="1"/>
  <c r="EP194" i="6"/>
  <c r="EH194" i="6"/>
  <c r="EP192" i="6"/>
  <c r="EH192" i="6"/>
  <c r="EJ190" i="6"/>
  <c r="FI190" i="6" s="1"/>
  <c r="EK189" i="6"/>
  <c r="FJ189" i="6" s="1"/>
  <c r="FE189" i="6"/>
  <c r="EJ186" i="6"/>
  <c r="FI186" i="6" s="1"/>
  <c r="EK185" i="6"/>
  <c r="FJ185" i="6" s="1"/>
  <c r="FE185" i="6"/>
  <c r="FE182" i="6"/>
  <c r="EK182" i="6"/>
  <c r="FJ182" i="6" s="1"/>
  <c r="EI210" i="6"/>
  <c r="EI208" i="6"/>
  <c r="EI205" i="6"/>
  <c r="EI203" i="6"/>
  <c r="EK202" i="6"/>
  <c r="FJ202" i="6" s="1"/>
  <c r="EW201" i="6"/>
  <c r="EX199" i="6"/>
  <c r="EJ193" i="6"/>
  <c r="FI193" i="6" s="1"/>
  <c r="EJ191" i="6"/>
  <c r="FI191" i="6" s="1"/>
  <c r="ER188" i="6"/>
  <c r="EI188" i="6"/>
  <c r="FH188" i="6" s="1"/>
  <c r="EJ187" i="6"/>
  <c r="FI187" i="6" s="1"/>
  <c r="ER184" i="6"/>
  <c r="EI184" i="6"/>
  <c r="FH184" i="6" s="1"/>
  <c r="EH183" i="6"/>
  <c r="EJ183" i="6"/>
  <c r="FI183" i="6" s="1"/>
  <c r="EW183" i="6"/>
  <c r="EI181" i="6"/>
  <c r="FH181" i="6" s="1"/>
  <c r="ES181" i="6"/>
  <c r="EI179" i="6"/>
  <c r="ES179" i="6"/>
  <c r="EK173" i="6"/>
  <c r="FJ173" i="6" s="1"/>
  <c r="FE173" i="6"/>
  <c r="ET157" i="6"/>
  <c r="EI157" i="6"/>
  <c r="FH157" i="6" s="1"/>
  <c r="EU202" i="6"/>
  <c r="EJ194" i="6"/>
  <c r="FI194" i="6" s="1"/>
  <c r="EJ192" i="6"/>
  <c r="FI192" i="6" s="1"/>
  <c r="FG191" i="6"/>
  <c r="EI189" i="6"/>
  <c r="FH189" i="6" s="1"/>
  <c r="EP188" i="6"/>
  <c r="EH188" i="6"/>
  <c r="EI185" i="6"/>
  <c r="FH185" i="6" s="1"/>
  <c r="EP184" i="6"/>
  <c r="EH184" i="6"/>
  <c r="EW178" i="6"/>
  <c r="EJ178" i="6"/>
  <c r="FI178" i="6" s="1"/>
  <c r="EI177" i="6"/>
  <c r="ES177" i="6"/>
  <c r="FG174" i="6"/>
  <c r="EW174" i="6"/>
  <c r="EJ174" i="6"/>
  <c r="FI174" i="6" s="1"/>
  <c r="EK169" i="6"/>
  <c r="FJ169" i="6" s="1"/>
  <c r="FE169" i="6"/>
  <c r="EJ159" i="6"/>
  <c r="FI159" i="6" s="1"/>
  <c r="EY159" i="6"/>
  <c r="EI201" i="6"/>
  <c r="FH201" i="6" s="1"/>
  <c r="EK195" i="6"/>
  <c r="FJ195" i="6" s="1"/>
  <c r="FE195" i="6"/>
  <c r="FE188" i="6"/>
  <c r="FE184" i="6"/>
  <c r="EK183" i="6"/>
  <c r="FJ183" i="6" s="1"/>
  <c r="FE183" i="6"/>
  <c r="ER158" i="6"/>
  <c r="EI158" i="6"/>
  <c r="FH158" i="6" s="1"/>
  <c r="EI173" i="6"/>
  <c r="ES173" i="6"/>
  <c r="EI171" i="6"/>
  <c r="ES171" i="6"/>
  <c r="EJ164" i="6"/>
  <c r="FI164" i="6" s="1"/>
  <c r="EW164" i="6"/>
  <c r="EJ162" i="6"/>
  <c r="FI162" i="6" s="1"/>
  <c r="EW162" i="6"/>
  <c r="FB161" i="6"/>
  <c r="EJ161" i="6"/>
  <c r="FI161" i="6" s="1"/>
  <c r="EI183" i="6"/>
  <c r="FH183" i="6" s="1"/>
  <c r="ES183" i="6"/>
  <c r="EK181" i="6"/>
  <c r="FJ181" i="6" s="1"/>
  <c r="FE181" i="6"/>
  <c r="EJ179" i="6"/>
  <c r="FI179" i="6" s="1"/>
  <c r="EH180" i="6"/>
  <c r="EJ177" i="6"/>
  <c r="FI177" i="6" s="1"/>
  <c r="EJ176" i="6"/>
  <c r="FI176" i="6" s="1"/>
  <c r="EJ168" i="6"/>
  <c r="FI168" i="6" s="1"/>
  <c r="EK143" i="6"/>
  <c r="FJ143" i="6" s="1"/>
  <c r="FF143" i="6"/>
  <c r="EI143" i="6"/>
  <c r="FH143" i="6" s="1"/>
  <c r="EV143" i="6"/>
  <c r="EZ142" i="6"/>
  <c r="EJ142" i="6"/>
  <c r="FI142" i="6" s="1"/>
  <c r="ER142" i="6"/>
  <c r="EI142" i="6"/>
  <c r="FH142" i="6" s="1"/>
  <c r="EJ175" i="6"/>
  <c r="FI175" i="6" s="1"/>
  <c r="FG168" i="6"/>
  <c r="EK167" i="6"/>
  <c r="FJ167" i="6" s="1"/>
  <c r="FE167" i="6"/>
  <c r="ES189" i="6"/>
  <c r="ES187" i="6"/>
  <c r="ES185" i="6"/>
  <c r="EK177" i="6"/>
  <c r="FJ177" i="6" s="1"/>
  <c r="FE177" i="6"/>
  <c r="EH176" i="6"/>
  <c r="EJ173" i="6"/>
  <c r="FI173" i="6" s="1"/>
  <c r="EJ171" i="6"/>
  <c r="FI171" i="6" s="1"/>
  <c r="EK150" i="6"/>
  <c r="FJ150" i="6" s="1"/>
  <c r="FE150" i="6"/>
  <c r="FE165" i="6"/>
  <c r="FE163" i="6"/>
  <c r="FE161" i="6"/>
  <c r="EH159" i="6"/>
  <c r="EO159" i="6"/>
  <c r="ER154" i="6"/>
  <c r="EI154" i="6"/>
  <c r="FH154" i="6" s="1"/>
  <c r="EK151" i="6"/>
  <c r="FJ151" i="6" s="1"/>
  <c r="FF151" i="6"/>
  <c r="FE148" i="6"/>
  <c r="EK147" i="6"/>
  <c r="FJ147" i="6" s="1"/>
  <c r="FF147" i="6"/>
  <c r="EK145" i="6"/>
  <c r="FJ145" i="6" s="1"/>
  <c r="FF145" i="6"/>
  <c r="EI145" i="6"/>
  <c r="FH145" i="6" s="1"/>
  <c r="EV145" i="6"/>
  <c r="ER144" i="6"/>
  <c r="EI144" i="6"/>
  <c r="FH144" i="6" s="1"/>
  <c r="EX138" i="6"/>
  <c r="EJ138" i="6"/>
  <c r="FI138" i="6" s="1"/>
  <c r="EO138" i="6"/>
  <c r="EH138" i="6"/>
  <c r="EI159" i="6"/>
  <c r="FH159" i="6" s="1"/>
  <c r="EJ158" i="6"/>
  <c r="FI158" i="6" s="1"/>
  <c r="FE154" i="6"/>
  <c r="EH153" i="6"/>
  <c r="EO153" i="6"/>
  <c r="EJ148" i="6"/>
  <c r="FI148" i="6" s="1"/>
  <c r="ER146" i="6"/>
  <c r="EI146" i="6"/>
  <c r="FH146" i="6" s="1"/>
  <c r="EO137" i="6"/>
  <c r="EH137" i="6"/>
  <c r="EX158" i="6"/>
  <c r="EK157" i="6"/>
  <c r="FJ157" i="6" s="1"/>
  <c r="EO156" i="6"/>
  <c r="EJ154" i="6"/>
  <c r="FI154" i="6" s="1"/>
  <c r="EI153" i="6"/>
  <c r="FH153" i="6" s="1"/>
  <c r="ER150" i="6"/>
  <c r="EI150" i="6"/>
  <c r="FH150" i="6" s="1"/>
  <c r="EO136" i="6"/>
  <c r="EH136" i="6"/>
  <c r="EJ157" i="6"/>
  <c r="FI157" i="6" s="1"/>
  <c r="EH157" i="6"/>
  <c r="EO157" i="6"/>
  <c r="EK153" i="6"/>
  <c r="FJ153" i="6" s="1"/>
  <c r="FF153" i="6"/>
  <c r="EH149" i="6"/>
  <c r="EO149" i="6"/>
  <c r="EJ146" i="6"/>
  <c r="FI146" i="6" s="1"/>
  <c r="EH155" i="6"/>
  <c r="EO155" i="6"/>
  <c r="EJ135" i="6"/>
  <c r="FI135" i="6" s="1"/>
  <c r="EW135" i="6"/>
  <c r="EX156" i="6"/>
  <c r="ER152" i="6"/>
  <c r="EI152" i="6"/>
  <c r="FH152" i="6" s="1"/>
  <c r="EK149" i="6"/>
  <c r="FJ149" i="6" s="1"/>
  <c r="FF149" i="6"/>
  <c r="EJ160" i="6"/>
  <c r="FI160" i="6" s="1"/>
  <c r="EK155" i="6"/>
  <c r="FJ155" i="6" s="1"/>
  <c r="FF155" i="6"/>
  <c r="EH151" i="6"/>
  <c r="EO151" i="6"/>
  <c r="EJ147" i="6"/>
  <c r="FI147" i="6" s="1"/>
  <c r="EX147" i="6"/>
  <c r="EH147" i="6"/>
  <c r="EO147" i="6"/>
  <c r="EK141" i="6"/>
  <c r="FJ141" i="6" s="1"/>
  <c r="FF141" i="6"/>
  <c r="EI141" i="6"/>
  <c r="FH141" i="6" s="1"/>
  <c r="EV141" i="6"/>
  <c r="EZ140" i="6"/>
  <c r="EJ140" i="6"/>
  <c r="FI140" i="6" s="1"/>
  <c r="ER140" i="6"/>
  <c r="EI140" i="6"/>
  <c r="FH140" i="6" s="1"/>
  <c r="EX132" i="6"/>
  <c r="EJ132" i="6"/>
  <c r="FI132" i="6" s="1"/>
  <c r="EO132" i="6"/>
  <c r="EH132" i="6"/>
  <c r="EX145" i="6"/>
  <c r="EO145" i="6"/>
  <c r="EX143" i="6"/>
  <c r="EO143" i="6"/>
  <c r="EX141" i="6"/>
  <c r="EO141" i="6"/>
  <c r="EJ139" i="6"/>
  <c r="FI139" i="6" s="1"/>
  <c r="EI138" i="6"/>
  <c r="FH138" i="6" s="1"/>
  <c r="EJ137" i="6"/>
  <c r="FI137" i="6" s="1"/>
  <c r="EI136" i="6"/>
  <c r="FH136" i="6" s="1"/>
  <c r="EJ136" i="6"/>
  <c r="FI136" i="6" s="1"/>
  <c r="EK135" i="6"/>
  <c r="FJ135" i="6" s="1"/>
  <c r="FF135" i="6"/>
  <c r="EI132" i="6"/>
  <c r="FH132" i="6" s="1"/>
  <c r="EI131" i="6"/>
  <c r="FH131" i="6" s="1"/>
  <c r="ET131" i="6"/>
  <c r="EJ129" i="6"/>
  <c r="FI129" i="6" s="1"/>
  <c r="EJ122" i="6"/>
  <c r="FI122" i="6" s="1"/>
  <c r="EI117" i="6"/>
  <c r="FH117" i="6" s="1"/>
  <c r="EW137" i="6"/>
  <c r="EK137" i="6"/>
  <c r="FJ137" i="6" s="1"/>
  <c r="FF137" i="6"/>
  <c r="EK129" i="6"/>
  <c r="FJ129" i="6" s="1"/>
  <c r="FF129" i="6"/>
  <c r="ER118" i="6"/>
  <c r="EI118" i="6"/>
  <c r="FH118" i="6" s="1"/>
  <c r="EI115" i="6"/>
  <c r="FH115" i="6" s="1"/>
  <c r="EI135" i="6"/>
  <c r="FH135" i="6" s="1"/>
  <c r="ET135" i="6"/>
  <c r="EJ133" i="6"/>
  <c r="FI133" i="6" s="1"/>
  <c r="EO130" i="6"/>
  <c r="EH130" i="6"/>
  <c r="ER128" i="6"/>
  <c r="EI128" i="6"/>
  <c r="FH128" i="6" s="1"/>
  <c r="EK133" i="6"/>
  <c r="FJ133" i="6" s="1"/>
  <c r="FF133" i="6"/>
  <c r="EI129" i="6"/>
  <c r="FH129" i="6" s="1"/>
  <c r="ET129" i="6"/>
  <c r="EK127" i="6"/>
  <c r="FJ127" i="6" s="1"/>
  <c r="FF127" i="6"/>
  <c r="ER126" i="6"/>
  <c r="EI126" i="6"/>
  <c r="FH126" i="6" s="1"/>
  <c r="EK119" i="6"/>
  <c r="FJ119" i="6" s="1"/>
  <c r="FF119" i="6"/>
  <c r="EX134" i="6"/>
  <c r="EJ134" i="6"/>
  <c r="FI134" i="6" s="1"/>
  <c r="EO134" i="6"/>
  <c r="EH134" i="6"/>
  <c r="EK125" i="6"/>
  <c r="FJ125" i="6" s="1"/>
  <c r="FF125" i="6"/>
  <c r="ER124" i="6"/>
  <c r="EI124" i="6"/>
  <c r="FH124" i="6" s="1"/>
  <c r="EK121" i="6"/>
  <c r="FJ121" i="6" s="1"/>
  <c r="FF121" i="6"/>
  <c r="ER120" i="6"/>
  <c r="EI120" i="6"/>
  <c r="FH120" i="6" s="1"/>
  <c r="ER116" i="6"/>
  <c r="EI116" i="6"/>
  <c r="FH116" i="6" s="1"/>
  <c r="EI133" i="6"/>
  <c r="FH133" i="6" s="1"/>
  <c r="ET133" i="6"/>
  <c r="EK123" i="6"/>
  <c r="FJ123" i="6" s="1"/>
  <c r="FF123" i="6"/>
  <c r="ER122" i="6"/>
  <c r="EI122" i="6"/>
  <c r="FH122" i="6" s="1"/>
  <c r="EK131" i="6"/>
  <c r="FJ131" i="6" s="1"/>
  <c r="FF131" i="6"/>
  <c r="EI125" i="6"/>
  <c r="FH125" i="6" s="1"/>
  <c r="EI121" i="6"/>
  <c r="FH121" i="6" s="1"/>
  <c r="EK117" i="6"/>
  <c r="FJ117" i="6" s="1"/>
  <c r="FF117" i="6"/>
  <c r="EJ126" i="6"/>
  <c r="FI126" i="6" s="1"/>
  <c r="EJ124" i="6"/>
  <c r="FI124" i="6" s="1"/>
  <c r="EO121" i="6"/>
  <c r="EJ120" i="6"/>
  <c r="FI120" i="6" s="1"/>
  <c r="EX119" i="6"/>
  <c r="EO119" i="6"/>
  <c r="EJ118" i="6"/>
  <c r="FI118" i="6" s="1"/>
  <c r="EX117" i="6"/>
  <c r="EO117" i="6"/>
  <c r="EJ116" i="6"/>
  <c r="FI116" i="6" s="1"/>
  <c r="EH128" i="6"/>
  <c r="EH126" i="6"/>
  <c r="EH124" i="6"/>
  <c r="EH122" i="6"/>
  <c r="EH120" i="6"/>
  <c r="EH118" i="6"/>
  <c r="EH116" i="6"/>
  <c r="ET127" i="6"/>
  <c r="ET125" i="6"/>
  <c r="ET123" i="6"/>
  <c r="ET121" i="6"/>
  <c r="ET119" i="6"/>
  <c r="ET117" i="6"/>
  <c r="FD115" i="6"/>
  <c r="ET115" i="6"/>
  <c r="EK113" i="6"/>
  <c r="FJ113" i="6" s="1"/>
  <c r="EH114" i="6"/>
  <c r="FG114" i="6" s="1"/>
  <c r="EO114" i="6"/>
  <c r="EH6" i="6"/>
  <c r="FG6" i="6" s="1"/>
  <c r="BE111" i="10"/>
  <c r="BF111" i="10" s="1"/>
  <c r="BH112" i="9"/>
  <c r="BQ112" i="9" s="1"/>
  <c r="BP112" i="9"/>
  <c r="EH112" i="6"/>
  <c r="FG112" i="6" s="1"/>
  <c r="BE110" i="10"/>
  <c r="BF110" i="10" s="1"/>
  <c r="BH111" i="9"/>
  <c r="BQ111" i="9" s="1"/>
  <c r="EK111" i="6"/>
  <c r="FJ111" i="6" s="1"/>
  <c r="BE109" i="10"/>
  <c r="BF109" i="10" s="1"/>
  <c r="BH110" i="9"/>
  <c r="BQ110" i="9" s="1"/>
  <c r="BE108" i="10"/>
  <c r="BF108" i="10" s="1"/>
  <c r="BH109" i="9"/>
  <c r="BQ109" i="9" s="1"/>
  <c r="BP109" i="9"/>
  <c r="EH109" i="6"/>
  <c r="FG109" i="6" s="1"/>
  <c r="BE107" i="10"/>
  <c r="BF107" i="10" s="1"/>
  <c r="BH108" i="9"/>
  <c r="BQ108" i="9" s="1"/>
  <c r="BE106" i="10"/>
  <c r="BF106" i="10" s="1"/>
  <c r="BH107" i="9"/>
  <c r="BQ107" i="9" s="1"/>
  <c r="BP107" i="9"/>
  <c r="EK107" i="6"/>
  <c r="FJ107" i="6" s="1"/>
  <c r="BE105" i="10"/>
  <c r="BF105" i="10" s="1"/>
  <c r="BH106" i="9"/>
  <c r="BQ106" i="9" s="1"/>
  <c r="BP106" i="9"/>
  <c r="EI106" i="6"/>
  <c r="FH106" i="6" s="1"/>
  <c r="BE104" i="10"/>
  <c r="BF104" i="10" s="1"/>
  <c r="BH105" i="9"/>
  <c r="BQ105" i="9" s="1"/>
  <c r="BP105" i="9"/>
  <c r="EH105" i="6"/>
  <c r="FG105" i="6" s="1"/>
  <c r="BE103" i="10"/>
  <c r="BF103" i="10" s="1"/>
  <c r="BH104" i="9"/>
  <c r="BQ104" i="9" s="1"/>
  <c r="BP104" i="9"/>
  <c r="EH104" i="6"/>
  <c r="FG104" i="6" s="1"/>
  <c r="EI104" i="6"/>
  <c r="FH104" i="6" s="1"/>
  <c r="BE102" i="10"/>
  <c r="BF102" i="10" s="1"/>
  <c r="BH103" i="9"/>
  <c r="BQ103" i="9" s="1"/>
  <c r="BP103" i="9"/>
  <c r="EK103" i="6"/>
  <c r="FJ103" i="6" s="1"/>
  <c r="BE101" i="10"/>
  <c r="BF101" i="10" s="1"/>
  <c r="BH102" i="9"/>
  <c r="BQ102" i="9" s="1"/>
  <c r="BP102" i="9"/>
  <c r="BE100" i="10"/>
  <c r="BF100" i="10" s="1"/>
  <c r="BH101" i="9"/>
  <c r="BQ101" i="9" s="1"/>
  <c r="EK101" i="6"/>
  <c r="FJ101" i="6" s="1"/>
  <c r="BE99" i="10"/>
  <c r="BF99" i="10" s="1"/>
  <c r="BH100" i="9"/>
  <c r="BQ100" i="9" s="1"/>
  <c r="BP100" i="9"/>
  <c r="EJ100" i="6"/>
  <c r="FI100" i="6" s="1"/>
  <c r="BE98" i="10"/>
  <c r="BF98" i="10" s="1"/>
  <c r="BH99" i="9"/>
  <c r="BQ99" i="9" s="1"/>
  <c r="BP99" i="9"/>
  <c r="EH99" i="6"/>
  <c r="FG99" i="6" s="1"/>
  <c r="BE97" i="10"/>
  <c r="BF97" i="10" s="1"/>
  <c r="BH98" i="9"/>
  <c r="BQ98" i="9" s="1"/>
  <c r="BE96" i="10"/>
  <c r="BF96" i="10" s="1"/>
  <c r="BH97" i="9"/>
  <c r="BQ97" i="9" s="1"/>
  <c r="EK97" i="6"/>
  <c r="FJ97" i="6" s="1"/>
  <c r="FF97" i="6"/>
  <c r="BE95" i="10"/>
  <c r="BF95" i="10" s="1"/>
  <c r="BH96" i="9"/>
  <c r="BQ96" i="9" s="1"/>
  <c r="EJ96" i="6"/>
  <c r="FI96" i="6" s="1"/>
  <c r="BE94" i="10"/>
  <c r="BF94" i="10" s="1"/>
  <c r="BH95" i="9"/>
  <c r="BQ95" i="9" s="1"/>
  <c r="BP95" i="9"/>
  <c r="EH95" i="6"/>
  <c r="FG95" i="6" s="1"/>
  <c r="EO95" i="6"/>
  <c r="BE93" i="10"/>
  <c r="BF93" i="10" s="1"/>
  <c r="BH94" i="9"/>
  <c r="BQ94" i="9" s="1"/>
  <c r="EJ94" i="6"/>
  <c r="FI94" i="6" s="1"/>
  <c r="BE92" i="10"/>
  <c r="BF92" i="10" s="1"/>
  <c r="BH93" i="9"/>
  <c r="BQ93" i="9" s="1"/>
  <c r="EK93" i="6"/>
  <c r="FJ93" i="6" s="1"/>
  <c r="EH93" i="6"/>
  <c r="FG93" i="6" s="1"/>
  <c r="EJ93" i="6"/>
  <c r="FI93" i="6" s="1"/>
  <c r="BE91" i="10"/>
  <c r="BF91" i="10" s="1"/>
  <c r="BH92" i="9"/>
  <c r="BQ92" i="9" s="1"/>
  <c r="BE90" i="10"/>
  <c r="BF90" i="10" s="1"/>
  <c r="BH91" i="9"/>
  <c r="BQ91" i="9" s="1"/>
  <c r="EH91" i="6"/>
  <c r="FG91" i="6" s="1"/>
  <c r="EJ91" i="6"/>
  <c r="FI91" i="6" s="1"/>
  <c r="BE89" i="10"/>
  <c r="BF89" i="10" s="1"/>
  <c r="BH90" i="9"/>
  <c r="BQ90" i="9" s="1"/>
  <c r="BP90" i="9"/>
  <c r="BE88" i="10"/>
  <c r="BF88" i="10" s="1"/>
  <c r="FJ17" i="1"/>
  <c r="GI17" i="1" s="1"/>
  <c r="FJ15" i="1"/>
  <c r="GI15" i="1" s="1"/>
  <c r="FK13" i="1"/>
  <c r="GJ13" i="1" s="1"/>
  <c r="FK9" i="1"/>
  <c r="GJ9" i="1" s="1"/>
  <c r="FK29" i="1"/>
  <c r="GJ29" i="1" s="1"/>
  <c r="FK27" i="1"/>
  <c r="GJ27" i="1" s="1"/>
  <c r="FH24" i="1"/>
  <c r="GG24" i="1" s="1"/>
  <c r="FH22" i="1"/>
  <c r="GG22" i="1" s="1"/>
  <c r="FH18" i="1"/>
  <c r="GE6" i="1"/>
  <c r="GE22" i="1"/>
  <c r="FX21" i="1"/>
  <c r="GE30" i="1"/>
  <c r="FI17" i="1"/>
  <c r="GH17" i="1" s="1"/>
  <c r="FI15" i="1"/>
  <c r="GH15" i="1" s="1"/>
  <c r="FJ13" i="1"/>
  <c r="GI13" i="1" s="1"/>
  <c r="FJ11" i="1"/>
  <c r="GI11" i="1" s="1"/>
  <c r="FJ9" i="1"/>
  <c r="GI9" i="1" s="1"/>
  <c r="FJ7" i="1"/>
  <c r="GI7" i="1" s="1"/>
  <c r="FJ31" i="1"/>
  <c r="GI31" i="1" s="1"/>
  <c r="FJ29" i="1"/>
  <c r="GI29" i="1" s="1"/>
  <c r="FJ27" i="1"/>
  <c r="FK25" i="1"/>
  <c r="GJ25" i="1" s="1"/>
  <c r="FK23" i="1"/>
  <c r="GJ23" i="1" s="1"/>
  <c r="FK21" i="1"/>
  <c r="GJ21" i="1" s="1"/>
  <c r="FK19" i="1"/>
  <c r="GJ19" i="1" s="1"/>
  <c r="FW10" i="1"/>
  <c r="FW26" i="1"/>
  <c r="FW30" i="1"/>
  <c r="FI27" i="1"/>
  <c r="GH27" i="1" s="1"/>
  <c r="FK16" i="1"/>
  <c r="GJ16" i="1" s="1"/>
  <c r="FK14" i="1"/>
  <c r="GJ14" i="1" s="1"/>
  <c r="FH13" i="1"/>
  <c r="FH11" i="1"/>
  <c r="GG11" i="1" s="1"/>
  <c r="FH9" i="1"/>
  <c r="FH7" i="1"/>
  <c r="FH31" i="1"/>
  <c r="FH29" i="1"/>
  <c r="FH27" i="1"/>
  <c r="GG27" i="1" s="1"/>
  <c r="FI23" i="1"/>
  <c r="GH23" i="1" s="1"/>
  <c r="FI21" i="1"/>
  <c r="GH21" i="1" s="1"/>
  <c r="FI19" i="1"/>
  <c r="GH19" i="1" s="1"/>
  <c r="FN21" i="1"/>
  <c r="FI13" i="1"/>
  <c r="GH13" i="1" s="1"/>
  <c r="FI7" i="1"/>
  <c r="GH7" i="1" s="1"/>
  <c r="FJ25" i="1"/>
  <c r="GI25" i="1" s="1"/>
  <c r="FJ19" i="1"/>
  <c r="FW6" i="1"/>
  <c r="FJ16" i="1"/>
  <c r="GI16" i="1" s="1"/>
  <c r="FJ14" i="1"/>
  <c r="GI14" i="1" s="1"/>
  <c r="FK12" i="1"/>
  <c r="GJ12" i="1" s="1"/>
  <c r="FK10" i="1"/>
  <c r="FK8" i="1"/>
  <c r="GJ8" i="1" s="1"/>
  <c r="FK28" i="1"/>
  <c r="GJ28" i="1" s="1"/>
  <c r="FK26" i="1"/>
  <c r="GJ26" i="1" s="1"/>
  <c r="FH25" i="1"/>
  <c r="FH23" i="1"/>
  <c r="FH19" i="1"/>
  <c r="GG19" i="1" s="1"/>
  <c r="FI9" i="1"/>
  <c r="GH9" i="1" s="1"/>
  <c r="FI29" i="1"/>
  <c r="GH29" i="1" s="1"/>
  <c r="FI16" i="1"/>
  <c r="GH16" i="1" s="1"/>
  <c r="FI14" i="1"/>
  <c r="GH14" i="1" s="1"/>
  <c r="FJ12" i="1"/>
  <c r="GI12" i="1" s="1"/>
  <c r="FJ8" i="1"/>
  <c r="GI8" i="1" s="1"/>
  <c r="FJ28" i="1"/>
  <c r="GI28" i="1" s="1"/>
  <c r="FK24" i="1"/>
  <c r="GJ24" i="1" s="1"/>
  <c r="FK20" i="1"/>
  <c r="GJ20" i="1" s="1"/>
  <c r="FH16" i="1"/>
  <c r="FH14" i="1"/>
  <c r="FI12" i="1"/>
  <c r="FI10" i="1"/>
  <c r="GH10" i="1" s="1"/>
  <c r="FI8" i="1"/>
  <c r="GH8" i="1" s="1"/>
  <c r="FI6" i="1"/>
  <c r="GH6" i="1" s="1"/>
  <c r="FI30" i="1"/>
  <c r="GH30" i="1" s="1"/>
  <c r="FI26" i="1"/>
  <c r="GH26" i="1" s="1"/>
  <c r="FJ24" i="1"/>
  <c r="GI24" i="1" s="1"/>
  <c r="FJ22" i="1"/>
  <c r="GI22" i="1" s="1"/>
  <c r="FJ20" i="1"/>
  <c r="GI20" i="1" s="1"/>
  <c r="FJ18" i="1"/>
  <c r="GI18" i="1" s="1"/>
  <c r="FH15" i="1"/>
  <c r="FI11" i="1"/>
  <c r="FI31" i="1"/>
  <c r="GH31" i="1" s="1"/>
  <c r="FJ23" i="1"/>
  <c r="GI23" i="1" s="1"/>
  <c r="FK17" i="1"/>
  <c r="GJ17" i="1" s="1"/>
  <c r="FK15" i="1"/>
  <c r="GJ15" i="1" s="1"/>
  <c r="FH12" i="1"/>
  <c r="GG12" i="1" s="1"/>
  <c r="FH10" i="1"/>
  <c r="GG10" i="1" s="1"/>
  <c r="FH8" i="1"/>
  <c r="FH6" i="1"/>
  <c r="FH30" i="1"/>
  <c r="GG30" i="1" s="1"/>
  <c r="FH28" i="1"/>
  <c r="FH26" i="1"/>
  <c r="FI24" i="1"/>
  <c r="FI22" i="1"/>
  <c r="GH22" i="1" s="1"/>
  <c r="FI20" i="1"/>
  <c r="GH20" i="1" s="1"/>
  <c r="FI18" i="1"/>
  <c r="GH18" i="1" s="1"/>
  <c r="BE87" i="10"/>
  <c r="BF87" i="10" s="1"/>
  <c r="BE5" i="10"/>
  <c r="BF5" i="10" s="1"/>
  <c r="BE80" i="10"/>
  <c r="BF80" i="10" s="1"/>
  <c r="BH88" i="9"/>
  <c r="BQ88" i="9" s="1"/>
  <c r="BL88" i="9"/>
  <c r="BH73" i="9"/>
  <c r="BQ73" i="9" s="1"/>
  <c r="BH6" i="9"/>
  <c r="BQ6" i="9" s="1"/>
  <c r="BH81" i="9"/>
  <c r="BQ81" i="9" s="1"/>
  <c r="EJ108" i="6"/>
  <c r="FI108" i="6" s="1"/>
  <c r="EI6" i="6"/>
  <c r="FH6" i="6" s="1"/>
  <c r="EK114" i="6"/>
  <c r="FJ114" i="6" s="1"/>
  <c r="EI114" i="6"/>
  <c r="FH114" i="6" s="1"/>
  <c r="EH113" i="6"/>
  <c r="FG113" i="6" s="1"/>
  <c r="EJ113" i="6"/>
  <c r="FI113" i="6" s="1"/>
  <c r="EJ111" i="6"/>
  <c r="FI111" i="6" s="1"/>
  <c r="EH111" i="6"/>
  <c r="FG111" i="6" s="1"/>
  <c r="ER104" i="6"/>
  <c r="EZ96" i="6"/>
  <c r="EX91" i="6"/>
  <c r="EK91" i="6"/>
  <c r="FJ91" i="6" s="1"/>
  <c r="EY100" i="6"/>
  <c r="EY94" i="6"/>
  <c r="EO112" i="6"/>
  <c r="EO105" i="6"/>
  <c r="EN6" i="6"/>
  <c r="FE107" i="6"/>
  <c r="EH107" i="6"/>
  <c r="FG107" i="6" s="1"/>
  <c r="FE101" i="6"/>
  <c r="EH101" i="6"/>
  <c r="FG101" i="6" s="1"/>
  <c r="EH97" i="6"/>
  <c r="FG97" i="6" s="1"/>
  <c r="EI96" i="6"/>
  <c r="FH96" i="6" s="1"/>
  <c r="FF93" i="6"/>
  <c r="EJ92" i="6"/>
  <c r="FI92" i="6" s="1"/>
  <c r="EH92" i="6"/>
  <c r="FG92" i="6" s="1"/>
  <c r="EJ109" i="6"/>
  <c r="FI109" i="6" s="1"/>
  <c r="EJ95" i="6"/>
  <c r="FI95" i="6" s="1"/>
  <c r="EH110" i="6"/>
  <c r="FG110" i="6" s="1"/>
  <c r="EH103" i="6"/>
  <c r="FG103" i="6" s="1"/>
  <c r="EJ98" i="6"/>
  <c r="FI98" i="6" s="1"/>
  <c r="EO93" i="6"/>
  <c r="EI113" i="6"/>
  <c r="FH113" i="6" s="1"/>
  <c r="FE103" i="6"/>
  <c r="EH90" i="6"/>
  <c r="FG90" i="6" s="1"/>
  <c r="EJ114" i="6"/>
  <c r="FI114" i="6" s="1"/>
  <c r="EK109" i="6"/>
  <c r="FJ109" i="6" s="1"/>
  <c r="EK99" i="6"/>
  <c r="FJ99" i="6" s="1"/>
  <c r="EX95" i="6"/>
  <c r="EK95" i="6"/>
  <c r="FJ95" i="6" s="1"/>
  <c r="EX93" i="6"/>
  <c r="EO91" i="6"/>
  <c r="EJ90" i="6"/>
  <c r="FI90" i="6" s="1"/>
  <c r="EK94" i="6"/>
  <c r="FJ94" i="6" s="1"/>
  <c r="FF94" i="6"/>
  <c r="EI90" i="6"/>
  <c r="FH90" i="6" s="1"/>
  <c r="EV90" i="6"/>
  <c r="EW114" i="6"/>
  <c r="FE111" i="6"/>
  <c r="EJ110" i="6"/>
  <c r="FI110" i="6" s="1"/>
  <c r="FE109" i="6"/>
  <c r="EI108" i="6"/>
  <c r="FH108" i="6" s="1"/>
  <c r="EO107" i="6"/>
  <c r="EH106" i="6"/>
  <c r="EK104" i="6"/>
  <c r="FJ104" i="6" s="1"/>
  <c r="FF104" i="6"/>
  <c r="EJ101" i="6"/>
  <c r="FI101" i="6" s="1"/>
  <c r="FE99" i="6"/>
  <c r="ER99" i="6"/>
  <c r="EI99" i="6"/>
  <c r="FH99" i="6" s="1"/>
  <c r="EK102" i="6"/>
  <c r="FJ102" i="6" s="1"/>
  <c r="FF102" i="6"/>
  <c r="EK90" i="6"/>
  <c r="FJ90" i="6" s="1"/>
  <c r="FF90" i="6"/>
  <c r="ER113" i="6"/>
  <c r="EO111" i="6"/>
  <c r="EI110" i="6"/>
  <c r="FH110" i="6" s="1"/>
  <c r="EO109" i="6"/>
  <c r="EH108" i="6"/>
  <c r="EK106" i="6"/>
  <c r="FJ106" i="6" s="1"/>
  <c r="FF106" i="6"/>
  <c r="EI101" i="6"/>
  <c r="ER97" i="6"/>
  <c r="EI97" i="6"/>
  <c r="FH97" i="6" s="1"/>
  <c r="FE114" i="6"/>
  <c r="EU114" i="6"/>
  <c r="EK112" i="6"/>
  <c r="FJ112" i="6" s="1"/>
  <c r="EJ112" i="6"/>
  <c r="FI112" i="6" s="1"/>
  <c r="EK108" i="6"/>
  <c r="FJ108" i="6" s="1"/>
  <c r="FF108" i="6"/>
  <c r="EK105" i="6"/>
  <c r="FJ105" i="6" s="1"/>
  <c r="EJ105" i="6"/>
  <c r="FI105" i="6" s="1"/>
  <c r="EI103" i="6"/>
  <c r="FH103" i="6" s="1"/>
  <c r="EJ103" i="6"/>
  <c r="FI103" i="6" s="1"/>
  <c r="EH100" i="6"/>
  <c r="EO100" i="6"/>
  <c r="EJ99" i="6"/>
  <c r="FI99" i="6" s="1"/>
  <c r="FE95" i="6"/>
  <c r="ER95" i="6"/>
  <c r="EI95" i="6"/>
  <c r="FH95" i="6" s="1"/>
  <c r="ER93" i="6"/>
  <c r="EI93" i="6"/>
  <c r="FH93" i="6" s="1"/>
  <c r="EI112" i="6"/>
  <c r="FH112" i="6" s="1"/>
  <c r="EX111" i="6"/>
  <c r="EK110" i="6"/>
  <c r="FJ110" i="6" s="1"/>
  <c r="FF110" i="6"/>
  <c r="EX109" i="6"/>
  <c r="EJ107" i="6"/>
  <c r="FI107" i="6" s="1"/>
  <c r="EI105" i="6"/>
  <c r="FH105" i="6" s="1"/>
  <c r="EI100" i="6"/>
  <c r="FH100" i="6" s="1"/>
  <c r="EY98" i="6"/>
  <c r="EH98" i="6"/>
  <c r="EO98" i="6"/>
  <c r="EJ97" i="6"/>
  <c r="FI97" i="6" s="1"/>
  <c r="EK92" i="6"/>
  <c r="FJ92" i="6" s="1"/>
  <c r="FF92" i="6"/>
  <c r="EI92" i="6"/>
  <c r="FH92" i="6" s="1"/>
  <c r="EV92" i="6"/>
  <c r="EW113" i="6"/>
  <c r="EI107" i="6"/>
  <c r="EJ102" i="6"/>
  <c r="FI102" i="6" s="1"/>
  <c r="EK100" i="6"/>
  <c r="FJ100" i="6" s="1"/>
  <c r="FF100" i="6"/>
  <c r="EI98" i="6"/>
  <c r="FH98" i="6" s="1"/>
  <c r="EH96" i="6"/>
  <c r="EO96" i="6"/>
  <c r="EI111" i="6"/>
  <c r="FH111" i="6" s="1"/>
  <c r="EI109" i="6"/>
  <c r="FH109" i="6" s="1"/>
  <c r="EJ104" i="6"/>
  <c r="FI104" i="6" s="1"/>
  <c r="EI102" i="6"/>
  <c r="FH102" i="6" s="1"/>
  <c r="EK98" i="6"/>
  <c r="FJ98" i="6" s="1"/>
  <c r="FF98" i="6"/>
  <c r="EH94" i="6"/>
  <c r="EO94" i="6"/>
  <c r="ER91" i="6"/>
  <c r="EI91" i="6"/>
  <c r="FH91" i="6" s="1"/>
  <c r="EJ106" i="6"/>
  <c r="FI106" i="6" s="1"/>
  <c r="EH102" i="6"/>
  <c r="EK96" i="6"/>
  <c r="FJ96" i="6" s="1"/>
  <c r="FF96" i="6"/>
  <c r="EI94" i="6"/>
  <c r="FH94" i="6" s="1"/>
  <c r="EX92" i="6"/>
  <c r="EO92" i="6"/>
  <c r="EO90" i="6"/>
  <c r="EK17" i="6"/>
  <c r="FJ17" i="6" s="1"/>
  <c r="ER6" i="6"/>
  <c r="EK6" i="6"/>
  <c r="FJ6" i="6" s="1"/>
  <c r="EK88" i="6"/>
  <c r="FJ88" i="6" s="1"/>
  <c r="FE88" i="6"/>
  <c r="EJ6" i="6"/>
  <c r="FI6" i="6" s="1"/>
  <c r="EH67" i="6"/>
  <c r="FG67" i="6" s="1"/>
  <c r="EI88" i="6"/>
  <c r="FH88" i="6" s="1"/>
  <c r="EK15" i="6"/>
  <c r="FJ15" i="6" s="1"/>
  <c r="EK76" i="6"/>
  <c r="FJ76" i="6" s="1"/>
  <c r="EK14" i="6"/>
  <c r="FJ14" i="6" s="1"/>
  <c r="EH89" i="6"/>
  <c r="FG89" i="6" s="1"/>
  <c r="EK86" i="6"/>
  <c r="FJ86" i="6" s="1"/>
  <c r="FD6" i="6"/>
  <c r="EK89" i="6"/>
  <c r="FJ89" i="6" s="1"/>
  <c r="BE86" i="10"/>
  <c r="BF86" i="10" s="1"/>
  <c r="BH87" i="9"/>
  <c r="BQ87" i="9" s="1"/>
  <c r="EK87" i="6"/>
  <c r="FJ87" i="6" s="1"/>
  <c r="BE85" i="10"/>
  <c r="BF85" i="10" s="1"/>
  <c r="BH86" i="9"/>
  <c r="BQ86" i="9" s="1"/>
  <c r="BE84" i="10"/>
  <c r="BF84" i="10" s="1"/>
  <c r="BH85" i="9"/>
  <c r="BQ85" i="9" s="1"/>
  <c r="EK85" i="6"/>
  <c r="FJ85" i="6" s="1"/>
  <c r="BE83" i="10"/>
  <c r="BF83" i="10" s="1"/>
  <c r="BH84" i="9"/>
  <c r="BQ84" i="9" s="1"/>
  <c r="EK84" i="6"/>
  <c r="FJ84" i="6" s="1"/>
  <c r="EI84" i="6"/>
  <c r="FH84" i="6" s="1"/>
  <c r="BE82" i="10"/>
  <c r="BF82" i="10" s="1"/>
  <c r="BH83" i="9"/>
  <c r="BQ83" i="9" s="1"/>
  <c r="EH83" i="6"/>
  <c r="FG83" i="6" s="1"/>
  <c r="BE81" i="10"/>
  <c r="BF81" i="10" s="1"/>
  <c r="BH82" i="9"/>
  <c r="BQ82" i="9" s="1"/>
  <c r="EK82" i="6"/>
  <c r="FJ82" i="6" s="1"/>
  <c r="BE79" i="10"/>
  <c r="BF79" i="10" s="1"/>
  <c r="BP81" i="9"/>
  <c r="EK81" i="6"/>
  <c r="FJ81" i="6" s="1"/>
  <c r="EK80" i="6"/>
  <c r="FJ80" i="6" s="1"/>
  <c r="BE78" i="10"/>
  <c r="BF78" i="10" s="1"/>
  <c r="BH79" i="9"/>
  <c r="BQ79" i="9" s="1"/>
  <c r="EK79" i="6"/>
  <c r="FJ79" i="6" s="1"/>
  <c r="EH79" i="6"/>
  <c r="FG79" i="6" s="1"/>
  <c r="BE77" i="10"/>
  <c r="BF77" i="10" s="1"/>
  <c r="BH78" i="9"/>
  <c r="BQ78" i="9" s="1"/>
  <c r="BE76" i="10"/>
  <c r="BF76" i="10" s="1"/>
  <c r="BH77" i="9"/>
  <c r="BQ77" i="9" s="1"/>
  <c r="BH76" i="9"/>
  <c r="BQ76" i="9" s="1"/>
  <c r="BJ76" i="9"/>
  <c r="BM30" i="7"/>
  <c r="BE75" i="10"/>
  <c r="BF75" i="10" s="1"/>
  <c r="BH75" i="9"/>
  <c r="BQ75" i="9" s="1"/>
  <c r="BE74" i="10"/>
  <c r="BF74" i="10" s="1"/>
  <c r="EI75" i="6"/>
  <c r="FH75" i="6" s="1"/>
  <c r="BE73" i="10"/>
  <c r="BF73" i="10" s="1"/>
  <c r="BE72" i="10"/>
  <c r="BF72" i="10" s="1"/>
  <c r="BJ73" i="9"/>
  <c r="EK73" i="6"/>
  <c r="FJ73" i="6" s="1"/>
  <c r="EH73" i="6"/>
  <c r="FG73" i="6" s="1"/>
  <c r="BE71" i="10"/>
  <c r="BF71" i="10" s="1"/>
  <c r="BH72" i="9"/>
  <c r="BQ72" i="9" s="1"/>
  <c r="BE70" i="10"/>
  <c r="BF70" i="10" s="1"/>
  <c r="BH71" i="9"/>
  <c r="BQ71" i="9" s="1"/>
  <c r="BE69" i="10"/>
  <c r="BF69" i="10" s="1"/>
  <c r="EK70" i="6"/>
  <c r="FJ70" i="6" s="1"/>
  <c r="EI70" i="6"/>
  <c r="FH70" i="6" s="1"/>
  <c r="BE68" i="10"/>
  <c r="BF68" i="10" s="1"/>
  <c r="EK69" i="6"/>
  <c r="FJ69" i="6" s="1"/>
  <c r="BE67" i="10"/>
  <c r="BF67" i="10" s="1"/>
  <c r="BE66" i="10"/>
  <c r="BF66" i="10" s="1"/>
  <c r="EO67" i="6"/>
  <c r="BE65" i="10"/>
  <c r="BF65" i="10" s="1"/>
  <c r="EK66" i="6"/>
  <c r="FJ66" i="6" s="1"/>
  <c r="BE64" i="10"/>
  <c r="BF64" i="10" s="1"/>
  <c r="EH65" i="6"/>
  <c r="FG65" i="6" s="1"/>
  <c r="EO65" i="6"/>
  <c r="BE63" i="10"/>
  <c r="BF63" i="10" s="1"/>
  <c r="EH64" i="6"/>
  <c r="FG64" i="6" s="1"/>
  <c r="BE62" i="10"/>
  <c r="BF62" i="10" s="1"/>
  <c r="EK63" i="6"/>
  <c r="FJ63" i="6" s="1"/>
  <c r="BE61" i="10"/>
  <c r="BF61" i="10" s="1"/>
  <c r="EH62" i="6"/>
  <c r="FG62" i="6" s="1"/>
  <c r="EO62" i="6"/>
  <c r="EJ62" i="6"/>
  <c r="FI62" i="6" s="1"/>
  <c r="BE60" i="10"/>
  <c r="BF60" i="10" s="1"/>
  <c r="EK61" i="6"/>
  <c r="FJ61" i="6" s="1"/>
  <c r="FF61" i="6"/>
  <c r="BE59" i="10"/>
  <c r="BF59" i="10" s="1"/>
  <c r="EK60" i="6"/>
  <c r="FJ60" i="6" s="1"/>
  <c r="EH60" i="6"/>
  <c r="FG60" i="6" s="1"/>
  <c r="BE58" i="10"/>
  <c r="BF58" i="10" s="1"/>
  <c r="EK59" i="6"/>
  <c r="FJ59" i="6" s="1"/>
  <c r="BE57" i="10"/>
  <c r="BF57" i="10" s="1"/>
  <c r="EK58" i="6"/>
  <c r="FJ58" i="6" s="1"/>
  <c r="BE56" i="10"/>
  <c r="BF56" i="10" s="1"/>
  <c r="BE55" i="10"/>
  <c r="BF55" i="10" s="1"/>
  <c r="BE54" i="10"/>
  <c r="BF54" i="10" s="1"/>
  <c r="EK55" i="6"/>
  <c r="FJ55" i="6" s="1"/>
  <c r="BE53" i="10"/>
  <c r="BF53" i="10" s="1"/>
  <c r="BH54" i="9"/>
  <c r="BQ54" i="9" s="1"/>
  <c r="EK54" i="6"/>
  <c r="FJ54" i="6" s="1"/>
  <c r="BE52" i="10"/>
  <c r="BF52" i="10" s="1"/>
  <c r="EK53" i="6"/>
  <c r="FJ53" i="6" s="1"/>
  <c r="FF53" i="6"/>
  <c r="BE51" i="10"/>
  <c r="BF51" i="10" s="1"/>
  <c r="EK52" i="6"/>
  <c r="FJ52" i="6" s="1"/>
  <c r="EH52" i="6"/>
  <c r="FG52" i="6" s="1"/>
  <c r="EO52" i="6"/>
  <c r="BE50" i="10"/>
  <c r="BF50" i="10" s="1"/>
  <c r="BE49" i="10"/>
  <c r="BF49" i="10" s="1"/>
  <c r="EK50" i="6"/>
  <c r="FJ50" i="6" s="1"/>
  <c r="EH50" i="6"/>
  <c r="FG50" i="6" s="1"/>
  <c r="EI50" i="6"/>
  <c r="FH50" i="6" s="1"/>
  <c r="BE48" i="10"/>
  <c r="BF48" i="10" s="1"/>
  <c r="BE47" i="10"/>
  <c r="BF47" i="10" s="1"/>
  <c r="BE46" i="10"/>
  <c r="BF46" i="10" s="1"/>
  <c r="EK47" i="6"/>
  <c r="FJ47" i="6" s="1"/>
  <c r="BE45" i="10"/>
  <c r="BF45" i="10" s="1"/>
  <c r="EK46" i="6"/>
  <c r="FJ46" i="6" s="1"/>
  <c r="BE44" i="10"/>
  <c r="BF44" i="10" s="1"/>
  <c r="BE43" i="10"/>
  <c r="BF43" i="10" s="1"/>
  <c r="EK44" i="6"/>
  <c r="FJ44" i="6" s="1"/>
  <c r="BE42" i="10"/>
  <c r="BF42" i="10" s="1"/>
  <c r="EK43" i="6"/>
  <c r="FJ43" i="6" s="1"/>
  <c r="EI43" i="6"/>
  <c r="FH43" i="6" s="1"/>
  <c r="BE41" i="10"/>
  <c r="BF41" i="10" s="1"/>
  <c r="EK42" i="6"/>
  <c r="FJ42" i="6" s="1"/>
  <c r="BE40" i="10"/>
  <c r="BF40" i="10" s="1"/>
  <c r="EK41" i="6"/>
  <c r="FJ41" i="6" s="1"/>
  <c r="BE39" i="10"/>
  <c r="BF39" i="10" s="1"/>
  <c r="BE38" i="10"/>
  <c r="BF38" i="10" s="1"/>
  <c r="EH39" i="6"/>
  <c r="FG39" i="6" s="1"/>
  <c r="EJ39" i="6"/>
  <c r="FI39" i="6" s="1"/>
  <c r="BE37" i="10"/>
  <c r="BF37" i="10" s="1"/>
  <c r="BE36" i="10"/>
  <c r="BF36" i="10" s="1"/>
  <c r="BE35" i="10"/>
  <c r="BF35" i="10" s="1"/>
  <c r="EK36" i="6"/>
  <c r="FJ36" i="6" s="1"/>
  <c r="FF36" i="6"/>
  <c r="BE34" i="10"/>
  <c r="BF34" i="10" s="1"/>
  <c r="BH35" i="9"/>
  <c r="BQ35" i="9" s="1"/>
  <c r="EH35" i="6"/>
  <c r="FG35" i="6" s="1"/>
  <c r="BE33" i="10"/>
  <c r="BF33" i="10" s="1"/>
  <c r="BE32" i="10"/>
  <c r="BF32" i="10" s="1"/>
  <c r="EK33" i="6"/>
  <c r="FJ33" i="6" s="1"/>
  <c r="BE31" i="10"/>
  <c r="BF31" i="10" s="1"/>
  <c r="EK32" i="6"/>
  <c r="FJ32" i="6" s="1"/>
  <c r="EH32" i="6"/>
  <c r="FG32" i="6" s="1"/>
  <c r="BE30" i="10"/>
  <c r="BF30" i="10" s="1"/>
  <c r="EI31" i="6"/>
  <c r="FH31" i="6" s="1"/>
  <c r="BE29" i="10"/>
  <c r="BF29" i="10" s="1"/>
  <c r="EK30" i="6"/>
  <c r="FJ30" i="6" s="1"/>
  <c r="BE28" i="10"/>
  <c r="BF28" i="10" s="1"/>
  <c r="EK29" i="6"/>
  <c r="FJ29" i="6" s="1"/>
  <c r="FF29" i="6"/>
  <c r="BE27" i="10"/>
  <c r="BF27" i="10" s="1"/>
  <c r="EH28" i="6"/>
  <c r="FG28" i="6" s="1"/>
  <c r="BE26" i="10"/>
  <c r="BF26" i="10" s="1"/>
  <c r="EK27" i="6"/>
  <c r="FJ27" i="6" s="1"/>
  <c r="FF27" i="6"/>
  <c r="BE25" i="10"/>
  <c r="BF25" i="10" s="1"/>
  <c r="EK26" i="6"/>
  <c r="FJ26" i="6" s="1"/>
  <c r="EH26" i="6"/>
  <c r="FG26" i="6" s="1"/>
  <c r="BE24" i="10"/>
  <c r="BF24" i="10" s="1"/>
  <c r="BH25" i="9"/>
  <c r="BQ25" i="9" s="1"/>
  <c r="EK25" i="6"/>
  <c r="FJ25" i="6" s="1"/>
  <c r="BE23" i="10"/>
  <c r="BF23" i="10" s="1"/>
  <c r="EK24" i="6"/>
  <c r="FJ24" i="6" s="1"/>
  <c r="BE22" i="10"/>
  <c r="BF22" i="10" s="1"/>
  <c r="BE21" i="10"/>
  <c r="BF21" i="10" s="1"/>
  <c r="EK22" i="6"/>
  <c r="FJ22" i="6" s="1"/>
  <c r="BE20" i="10"/>
  <c r="BF20" i="10" s="1"/>
  <c r="BE19" i="10"/>
  <c r="BF19" i="10" s="1"/>
  <c r="EK20" i="6"/>
  <c r="FJ20" i="6" s="1"/>
  <c r="FF20" i="6"/>
  <c r="EH20" i="6"/>
  <c r="FG20" i="6" s="1"/>
  <c r="BE18" i="10"/>
  <c r="BF18" i="10" s="1"/>
  <c r="BE17" i="10"/>
  <c r="BF17" i="10" s="1"/>
  <c r="EI18" i="6"/>
  <c r="FH18" i="6" s="1"/>
  <c r="BE16" i="10"/>
  <c r="BF16" i="10" s="1"/>
  <c r="FF17" i="6"/>
  <c r="BE15" i="10"/>
  <c r="BF15" i="10" s="1"/>
  <c r="BE14" i="10"/>
  <c r="BF14" i="10" s="1"/>
  <c r="BE13" i="10"/>
  <c r="BF13" i="10" s="1"/>
  <c r="EI14" i="6"/>
  <c r="FH14" i="6" s="1"/>
  <c r="BE12" i="10"/>
  <c r="BF12" i="10" s="1"/>
  <c r="EK13" i="6"/>
  <c r="FJ13" i="6" s="1"/>
  <c r="BE11" i="10"/>
  <c r="BF11" i="10" s="1"/>
  <c r="EH12" i="6"/>
  <c r="FG12" i="6" s="1"/>
  <c r="EI12" i="6"/>
  <c r="FH12" i="6" s="1"/>
  <c r="BE10" i="10"/>
  <c r="BF10" i="10" s="1"/>
  <c r="BE9" i="10"/>
  <c r="BF9" i="10" s="1"/>
  <c r="EI10" i="6"/>
  <c r="FH10" i="6" s="1"/>
  <c r="BE8" i="10"/>
  <c r="BF8" i="10" s="1"/>
  <c r="BE7" i="10"/>
  <c r="BF7" i="10" s="1"/>
  <c r="EK8" i="6"/>
  <c r="FJ8" i="6" s="1"/>
  <c r="EI8" i="6"/>
  <c r="FH8" i="6" s="1"/>
  <c r="BE6" i="10"/>
  <c r="BF6" i="10" s="1"/>
  <c r="EK7" i="6"/>
  <c r="FJ7" i="6" s="1"/>
  <c r="BN54" i="9"/>
  <c r="BH39" i="9"/>
  <c r="BQ39" i="9" s="1"/>
  <c r="BH55" i="9"/>
  <c r="BQ55" i="9" s="1"/>
  <c r="BH80" i="9"/>
  <c r="BQ80" i="9" s="1"/>
  <c r="BH74" i="9"/>
  <c r="BQ74" i="9" s="1"/>
  <c r="BH70" i="9"/>
  <c r="BQ70" i="9" s="1"/>
  <c r="BL85" i="9"/>
  <c r="BK84" i="9"/>
  <c r="BK83" i="9"/>
  <c r="BJ78" i="9"/>
  <c r="BH36" i="9"/>
  <c r="BQ36" i="9" s="1"/>
  <c r="BJ82" i="9"/>
  <c r="BH89" i="9"/>
  <c r="BQ89" i="9" s="1"/>
  <c r="BL79" i="9"/>
  <c r="BH48" i="9"/>
  <c r="BQ48" i="9" s="1"/>
  <c r="BH19" i="9"/>
  <c r="BQ19" i="9" s="1"/>
  <c r="BH8" i="9"/>
  <c r="BQ8" i="9" s="1"/>
  <c r="BK25" i="9"/>
  <c r="BJ39" i="9"/>
  <c r="BJ48" i="9"/>
  <c r="BH44" i="9"/>
  <c r="BQ44" i="9" s="1"/>
  <c r="BH67" i="9"/>
  <c r="BQ67" i="9" s="1"/>
  <c r="BH64" i="9"/>
  <c r="BQ64" i="9" s="1"/>
  <c r="BH47" i="9"/>
  <c r="BQ47" i="9" s="1"/>
  <c r="BH62" i="9"/>
  <c r="BQ62" i="9" s="1"/>
  <c r="BH68" i="9"/>
  <c r="BQ68" i="9" s="1"/>
  <c r="BH13" i="9"/>
  <c r="BQ13" i="9" s="1"/>
  <c r="BJ62" i="9"/>
  <c r="BM68" i="9"/>
  <c r="BH61" i="9"/>
  <c r="BQ61" i="9" s="1"/>
  <c r="BH21" i="9"/>
  <c r="BQ21" i="9" s="1"/>
  <c r="BH17" i="9"/>
  <c r="BQ17" i="9" s="1"/>
  <c r="BH12" i="9"/>
  <c r="BQ12" i="9" s="1"/>
  <c r="BH29" i="9"/>
  <c r="BQ29" i="9" s="1"/>
  <c r="BJ21" i="9"/>
  <c r="BL17" i="9"/>
  <c r="BH9" i="9"/>
  <c r="BQ9" i="9" s="1"/>
  <c r="BJ29" i="9"/>
  <c r="BJ19" i="9"/>
  <c r="BH16" i="9"/>
  <c r="BQ16" i="9" s="1"/>
  <c r="BJ12" i="9"/>
  <c r="BK8" i="9"/>
  <c r="BH28" i="9"/>
  <c r="BQ28" i="9" s="1"/>
  <c r="BH23" i="9"/>
  <c r="BQ23" i="9" s="1"/>
  <c r="BH40" i="9"/>
  <c r="BQ40" i="9" s="1"/>
  <c r="BJ36" i="9"/>
  <c r="BH32" i="9"/>
  <c r="BQ32" i="9" s="1"/>
  <c r="BJ47" i="9"/>
  <c r="BH43" i="9"/>
  <c r="BQ43" i="9" s="1"/>
  <c r="BJ61" i="9"/>
  <c r="BJ55" i="9"/>
  <c r="BH52" i="9"/>
  <c r="BQ52" i="9" s="1"/>
  <c r="BK67" i="9"/>
  <c r="BH31" i="9"/>
  <c r="BQ31" i="9" s="1"/>
  <c r="BH30" i="9"/>
  <c r="BQ30" i="9" s="1"/>
  <c r="BH37" i="9"/>
  <c r="BQ37" i="9" s="1"/>
  <c r="BH49" i="9"/>
  <c r="BQ49" i="9" s="1"/>
  <c r="BH59" i="9"/>
  <c r="BQ59" i="9" s="1"/>
  <c r="BH58" i="9"/>
  <c r="BQ58" i="9" s="1"/>
  <c r="BH20" i="9"/>
  <c r="BQ20" i="9" s="1"/>
  <c r="BH14" i="9"/>
  <c r="BQ14" i="9" s="1"/>
  <c r="BJ31" i="9"/>
  <c r="BJ37" i="9"/>
  <c r="BJ49" i="9"/>
  <c r="BH63" i="9"/>
  <c r="BQ63" i="9" s="1"/>
  <c r="BH56" i="9"/>
  <c r="BQ56" i="9" s="1"/>
  <c r="BH69" i="9"/>
  <c r="BQ69" i="9" s="1"/>
  <c r="BJ20" i="9"/>
  <c r="BJ14" i="9"/>
  <c r="BH10" i="9"/>
  <c r="BQ10" i="9" s="1"/>
  <c r="BO30" i="9"/>
  <c r="BH50" i="9"/>
  <c r="BQ50" i="9" s="1"/>
  <c r="BH45" i="9"/>
  <c r="BQ45" i="9" s="1"/>
  <c r="BJ63" i="9"/>
  <c r="BJ56" i="9"/>
  <c r="BH53" i="9"/>
  <c r="BQ53" i="9" s="1"/>
  <c r="BH65" i="9"/>
  <c r="BQ65" i="9" s="1"/>
  <c r="BH18" i="9"/>
  <c r="BQ18" i="9" s="1"/>
  <c r="BH15" i="9"/>
  <c r="BQ15" i="9" s="1"/>
  <c r="BH27" i="9"/>
  <c r="BQ27" i="9" s="1"/>
  <c r="BH38" i="9"/>
  <c r="BQ38" i="9" s="1"/>
  <c r="BH60" i="9"/>
  <c r="BQ60" i="9" s="1"/>
  <c r="BH11" i="9"/>
  <c r="BQ11" i="9" s="1"/>
  <c r="BH7" i="9"/>
  <c r="BQ7" i="9" s="1"/>
  <c r="BJ27" i="9"/>
  <c r="BH24" i="9"/>
  <c r="BQ24" i="9" s="1"/>
  <c r="BH46" i="9"/>
  <c r="BQ46" i="9" s="1"/>
  <c r="BH41" i="9"/>
  <c r="BQ41" i="9" s="1"/>
  <c r="BH57" i="9"/>
  <c r="BQ57" i="9" s="1"/>
  <c r="BH66" i="9"/>
  <c r="BQ66" i="9" s="1"/>
  <c r="BH22" i="9"/>
  <c r="BQ22" i="9" s="1"/>
  <c r="BJ11" i="9"/>
  <c r="BK7" i="9"/>
  <c r="BH33" i="9"/>
  <c r="BQ33" i="9" s="1"/>
  <c r="BJ46" i="9"/>
  <c r="BH42" i="9"/>
  <c r="BQ42" i="9" s="1"/>
  <c r="BJ41" i="9"/>
  <c r="BH51" i="9"/>
  <c r="BQ51" i="9" s="1"/>
  <c r="BO32" i="9"/>
  <c r="BH34" i="9"/>
  <c r="BQ34" i="9" s="1"/>
  <c r="BH26" i="9"/>
  <c r="BQ26" i="9" s="1"/>
  <c r="BJ28" i="9"/>
  <c r="EO6" i="6"/>
  <c r="EK74" i="6"/>
  <c r="FJ74" i="6" s="1"/>
  <c r="FE74" i="6"/>
  <c r="EK31" i="6"/>
  <c r="FJ31" i="6" s="1"/>
  <c r="ES14" i="6"/>
  <c r="FE34" i="6"/>
  <c r="EK34" i="6"/>
  <c r="FJ34" i="6" s="1"/>
  <c r="EI33" i="6"/>
  <c r="FH33" i="6" s="1"/>
  <c r="EK51" i="6"/>
  <c r="FJ51" i="6" s="1"/>
  <c r="FE51" i="6"/>
  <c r="ET88" i="6"/>
  <c r="EI29" i="6"/>
  <c r="FH29" i="6" s="1"/>
  <c r="EK57" i="6"/>
  <c r="FJ57" i="6" s="1"/>
  <c r="FE57" i="6"/>
  <c r="EJ73" i="6"/>
  <c r="FI73" i="6" s="1"/>
  <c r="EX73" i="6"/>
  <c r="EH29" i="6"/>
  <c r="FG29" i="6" s="1"/>
  <c r="EJ29" i="6"/>
  <c r="FI29" i="6" s="1"/>
  <c r="EI22" i="6"/>
  <c r="FH22" i="6" s="1"/>
  <c r="EO14" i="6"/>
  <c r="EH14" i="6"/>
  <c r="ER12" i="6"/>
  <c r="FE9" i="6"/>
  <c r="EK9" i="6"/>
  <c r="FJ9" i="6" s="1"/>
  <c r="EJ58" i="6"/>
  <c r="FI58" i="6" s="1"/>
  <c r="EJ52" i="6"/>
  <c r="FI52" i="6" s="1"/>
  <c r="FF78" i="6"/>
  <c r="EK78" i="6"/>
  <c r="FJ78" i="6" s="1"/>
  <c r="EJ89" i="6"/>
  <c r="FI89" i="6" s="1"/>
  <c r="EX89" i="6"/>
  <c r="ER86" i="6"/>
  <c r="EI86" i="6"/>
  <c r="FH86" i="6" s="1"/>
  <c r="EI24" i="6"/>
  <c r="FH24" i="6" s="1"/>
  <c r="ER22" i="6"/>
  <c r="EI20" i="6"/>
  <c r="FH20" i="6" s="1"/>
  <c r="EK16" i="6"/>
  <c r="FJ16" i="6" s="1"/>
  <c r="FE15" i="6"/>
  <c r="ER10" i="6"/>
  <c r="EJ33" i="6"/>
  <c r="FI33" i="6" s="1"/>
  <c r="FB33" i="6"/>
  <c r="EK72" i="6"/>
  <c r="FJ72" i="6" s="1"/>
  <c r="EJ67" i="6"/>
  <c r="FI67" i="6" s="1"/>
  <c r="EX67" i="6"/>
  <c r="FE22" i="6"/>
  <c r="EO18" i="6"/>
  <c r="EH18" i="6"/>
  <c r="FG18" i="6" s="1"/>
  <c r="EJ32" i="6"/>
  <c r="FI32" i="6" s="1"/>
  <c r="ET16" i="6"/>
  <c r="EI16" i="6"/>
  <c r="FH16" i="6" s="1"/>
  <c r="EI41" i="6"/>
  <c r="FH41" i="6" s="1"/>
  <c r="EK40" i="6"/>
  <c r="FJ40" i="6" s="1"/>
  <c r="EJ56" i="6"/>
  <c r="FI56" i="6" s="1"/>
  <c r="FE26" i="6"/>
  <c r="EO8" i="6"/>
  <c r="EH8" i="6"/>
  <c r="FG8" i="6" s="1"/>
  <c r="EJ34" i="6"/>
  <c r="FI34" i="6" s="1"/>
  <c r="EX34" i="6"/>
  <c r="EH34" i="6"/>
  <c r="FG34" i="6" s="1"/>
  <c r="EO34" i="6"/>
  <c r="FE86" i="6"/>
  <c r="ES84" i="6"/>
  <c r="EJ31" i="6"/>
  <c r="FI31" i="6" s="1"/>
  <c r="EK28" i="6"/>
  <c r="FJ28" i="6" s="1"/>
  <c r="EK21" i="6"/>
  <c r="FJ21" i="6" s="1"/>
  <c r="FE21" i="6"/>
  <c r="EK19" i="6"/>
  <c r="FJ19" i="6" s="1"/>
  <c r="EK48" i="6"/>
  <c r="FJ48" i="6" s="1"/>
  <c r="FE48" i="6"/>
  <c r="FF38" i="6"/>
  <c r="EK38" i="6"/>
  <c r="FJ38" i="6" s="1"/>
  <c r="EJ35" i="6"/>
  <c r="FI35" i="6" s="1"/>
  <c r="EI60" i="6"/>
  <c r="FH60" i="6" s="1"/>
  <c r="FE59" i="6"/>
  <c r="EI47" i="6"/>
  <c r="FH47" i="6" s="1"/>
  <c r="EJ43" i="6"/>
  <c r="FI43" i="6" s="1"/>
  <c r="EH43" i="6"/>
  <c r="FG43" i="6" s="1"/>
  <c r="EJ40" i="6"/>
  <c r="FI40" i="6" s="1"/>
  <c r="EH40" i="6"/>
  <c r="FG40" i="6" s="1"/>
  <c r="EJ50" i="6"/>
  <c r="FI50" i="6" s="1"/>
  <c r="EI80" i="6"/>
  <c r="FH80" i="6" s="1"/>
  <c r="EI79" i="6"/>
  <c r="FH79" i="6" s="1"/>
  <c r="EK77" i="6"/>
  <c r="FJ77" i="6" s="1"/>
  <c r="EJ71" i="6"/>
  <c r="FI71" i="6" s="1"/>
  <c r="EH71" i="6"/>
  <c r="FG71" i="6" s="1"/>
  <c r="EK65" i="6"/>
  <c r="FJ65" i="6" s="1"/>
  <c r="EH87" i="6"/>
  <c r="FG87" i="6" s="1"/>
  <c r="EK11" i="6"/>
  <c r="FJ11" i="6" s="1"/>
  <c r="EH10" i="6"/>
  <c r="FG10" i="6" s="1"/>
  <c r="EJ49" i="6"/>
  <c r="FI49" i="6" s="1"/>
  <c r="EH49" i="6"/>
  <c r="FG49" i="6" s="1"/>
  <c r="EJ46" i="6"/>
  <c r="FI46" i="6" s="1"/>
  <c r="EH46" i="6"/>
  <c r="FG46" i="6" s="1"/>
  <c r="EJ37" i="6"/>
  <c r="FI37" i="6" s="1"/>
  <c r="EH37" i="6"/>
  <c r="FG37" i="6" s="1"/>
  <c r="EJ64" i="6"/>
  <c r="FI64" i="6" s="1"/>
  <c r="EK62" i="6"/>
  <c r="FJ62" i="6" s="1"/>
  <c r="EI62" i="6"/>
  <c r="FH62" i="6" s="1"/>
  <c r="EK56" i="6"/>
  <c r="FJ56" i="6" s="1"/>
  <c r="EI56" i="6"/>
  <c r="FH56" i="6" s="1"/>
  <c r="EI77" i="6"/>
  <c r="FH77" i="6" s="1"/>
  <c r="EK75" i="6"/>
  <c r="FJ75" i="6" s="1"/>
  <c r="FE72" i="6"/>
  <c r="EJ69" i="6"/>
  <c r="FI69" i="6" s="1"/>
  <c r="EH69" i="6"/>
  <c r="FG69" i="6" s="1"/>
  <c r="EI82" i="6"/>
  <c r="FH82" i="6" s="1"/>
  <c r="EH81" i="6"/>
  <c r="FG81" i="6" s="1"/>
  <c r="EJ23" i="6"/>
  <c r="FI23" i="6" s="1"/>
  <c r="EK10" i="6"/>
  <c r="FJ10" i="6" s="1"/>
  <c r="EK49" i="6"/>
  <c r="FJ49" i="6" s="1"/>
  <c r="EI49" i="6"/>
  <c r="FH49" i="6" s="1"/>
  <c r="EJ45" i="6"/>
  <c r="FI45" i="6" s="1"/>
  <c r="EH45" i="6"/>
  <c r="FG45" i="6" s="1"/>
  <c r="EJ42" i="6"/>
  <c r="FI42" i="6" s="1"/>
  <c r="EH42" i="6"/>
  <c r="FG42" i="6" s="1"/>
  <c r="EK37" i="6"/>
  <c r="FJ37" i="6" s="1"/>
  <c r="EI37" i="6"/>
  <c r="FH37" i="6" s="1"/>
  <c r="EK64" i="6"/>
  <c r="FJ64" i="6" s="1"/>
  <c r="EI64" i="6"/>
  <c r="FH64" i="6" s="1"/>
  <c r="FE63" i="6"/>
  <c r="EI73" i="6"/>
  <c r="FH73" i="6" s="1"/>
  <c r="EK71" i="6"/>
  <c r="FJ71" i="6" s="1"/>
  <c r="EK68" i="6"/>
  <c r="FJ68" i="6" s="1"/>
  <c r="EK23" i="6"/>
  <c r="FJ23" i="6" s="1"/>
  <c r="EJ21" i="6"/>
  <c r="FI21" i="6" s="1"/>
  <c r="EK18" i="6"/>
  <c r="FJ18" i="6" s="1"/>
  <c r="EH16" i="6"/>
  <c r="FG16" i="6" s="1"/>
  <c r="EK12" i="6"/>
  <c r="FJ12" i="6" s="1"/>
  <c r="EJ48" i="6"/>
  <c r="FI48" i="6" s="1"/>
  <c r="EH48" i="6"/>
  <c r="FG48" i="6" s="1"/>
  <c r="EK39" i="6"/>
  <c r="FJ39" i="6" s="1"/>
  <c r="EI39" i="6"/>
  <c r="FH39" i="6" s="1"/>
  <c r="EK35" i="6"/>
  <c r="FJ35" i="6" s="1"/>
  <c r="EI35" i="6"/>
  <c r="FH35" i="6" s="1"/>
  <c r="EI58" i="6"/>
  <c r="FH58" i="6" s="1"/>
  <c r="EJ54" i="6"/>
  <c r="FI54" i="6" s="1"/>
  <c r="EH54" i="6"/>
  <c r="FG54" i="6" s="1"/>
  <c r="EI52" i="6"/>
  <c r="FH52" i="6" s="1"/>
  <c r="EJ79" i="6"/>
  <c r="FI79" i="6" s="1"/>
  <c r="EI71" i="6"/>
  <c r="FH71" i="6" s="1"/>
  <c r="FE66" i="6"/>
  <c r="EK45" i="6"/>
  <c r="FJ45" i="6" s="1"/>
  <c r="EI45" i="6"/>
  <c r="FH45" i="6" s="1"/>
  <c r="EJ41" i="6"/>
  <c r="FI41" i="6" s="1"/>
  <c r="EH41" i="6"/>
  <c r="FG41" i="6" s="1"/>
  <c r="EJ38" i="6"/>
  <c r="FI38" i="6" s="1"/>
  <c r="EH38" i="6"/>
  <c r="FG38" i="6" s="1"/>
  <c r="EH33" i="6"/>
  <c r="EJ60" i="6"/>
  <c r="FI60" i="6" s="1"/>
  <c r="EJ59" i="6"/>
  <c r="FI59" i="6" s="1"/>
  <c r="EJ77" i="6"/>
  <c r="FI77" i="6" s="1"/>
  <c r="EH77" i="6"/>
  <c r="FG77" i="6" s="1"/>
  <c r="EI74" i="6"/>
  <c r="FH74" i="6" s="1"/>
  <c r="EK67" i="6"/>
  <c r="FJ67" i="6" s="1"/>
  <c r="EJ47" i="6"/>
  <c r="FI47" i="6" s="1"/>
  <c r="EH47" i="6"/>
  <c r="FG47" i="6" s="1"/>
  <c r="EJ44" i="6"/>
  <c r="FI44" i="6" s="1"/>
  <c r="EH44" i="6"/>
  <c r="FG44" i="6" s="1"/>
  <c r="EJ36" i="6"/>
  <c r="FI36" i="6" s="1"/>
  <c r="EH36" i="6"/>
  <c r="FG36" i="6" s="1"/>
  <c r="EI54" i="6"/>
  <c r="FH54" i="6" s="1"/>
  <c r="EJ75" i="6"/>
  <c r="FI75" i="6" s="1"/>
  <c r="EH75" i="6"/>
  <c r="FG75" i="6" s="1"/>
  <c r="EI72" i="6"/>
  <c r="FH72" i="6" s="1"/>
  <c r="EH85" i="6"/>
  <c r="FG85" i="6" s="1"/>
  <c r="EK83" i="6"/>
  <c r="FJ83" i="6" s="1"/>
  <c r="EJ88" i="6"/>
  <c r="FI88" i="6" s="1"/>
  <c r="EJ86" i="6"/>
  <c r="FI86" i="6" s="1"/>
  <c r="EJ84" i="6"/>
  <c r="FI84" i="6" s="1"/>
  <c r="EJ82" i="6"/>
  <c r="FI82" i="6" s="1"/>
  <c r="FF89" i="6"/>
  <c r="EH88" i="6"/>
  <c r="FF87" i="6"/>
  <c r="EH86" i="6"/>
  <c r="FF85" i="6"/>
  <c r="EH84" i="6"/>
  <c r="FF83" i="6"/>
  <c r="EH82" i="6"/>
  <c r="FF81" i="6"/>
  <c r="EJ87" i="6"/>
  <c r="FI87" i="6" s="1"/>
  <c r="EJ85" i="6"/>
  <c r="FI85" i="6" s="1"/>
  <c r="EJ83" i="6"/>
  <c r="FI83" i="6" s="1"/>
  <c r="EJ81" i="6"/>
  <c r="FI81" i="6" s="1"/>
  <c r="EI89" i="6"/>
  <c r="FH89" i="6" s="1"/>
  <c r="EI87" i="6"/>
  <c r="FH87" i="6" s="1"/>
  <c r="EI85" i="6"/>
  <c r="FH85" i="6" s="1"/>
  <c r="EI83" i="6"/>
  <c r="FH83" i="6" s="1"/>
  <c r="EI81" i="6"/>
  <c r="FH81" i="6" s="1"/>
  <c r="EJ80" i="6"/>
  <c r="FI80" i="6" s="1"/>
  <c r="EJ78" i="6"/>
  <c r="FI78" i="6" s="1"/>
  <c r="EJ76" i="6"/>
  <c r="FI76" i="6" s="1"/>
  <c r="EJ74" i="6"/>
  <c r="FI74" i="6" s="1"/>
  <c r="EJ72" i="6"/>
  <c r="FI72" i="6" s="1"/>
  <c r="EJ70" i="6"/>
  <c r="FI70" i="6" s="1"/>
  <c r="EJ68" i="6"/>
  <c r="FI68" i="6" s="1"/>
  <c r="EJ66" i="6"/>
  <c r="FI66" i="6" s="1"/>
  <c r="EI78" i="6"/>
  <c r="FH78" i="6" s="1"/>
  <c r="EI76" i="6"/>
  <c r="FH76" i="6" s="1"/>
  <c r="EI68" i="6"/>
  <c r="FH68" i="6" s="1"/>
  <c r="EI66" i="6"/>
  <c r="FH66" i="6" s="1"/>
  <c r="ER80" i="6"/>
  <c r="EH80" i="6"/>
  <c r="EH78" i="6"/>
  <c r="EH76" i="6"/>
  <c r="ER74" i="6"/>
  <c r="EH74" i="6"/>
  <c r="ER72" i="6"/>
  <c r="EH72" i="6"/>
  <c r="ER70" i="6"/>
  <c r="EH70" i="6"/>
  <c r="EH68" i="6"/>
  <c r="EH66" i="6"/>
  <c r="FE79" i="6"/>
  <c r="FE77" i="6"/>
  <c r="FE75" i="6"/>
  <c r="FE73" i="6"/>
  <c r="FE71" i="6"/>
  <c r="FE69" i="6"/>
  <c r="FE67" i="6"/>
  <c r="FE65" i="6"/>
  <c r="ET79" i="6"/>
  <c r="ET77" i="6"/>
  <c r="ET75" i="6"/>
  <c r="ET73" i="6"/>
  <c r="ET71" i="6"/>
  <c r="EJ65" i="6"/>
  <c r="FI65" i="6" s="1"/>
  <c r="EI69" i="6"/>
  <c r="FH69" i="6" s="1"/>
  <c r="EI67" i="6"/>
  <c r="FH67" i="6" s="1"/>
  <c r="EI65" i="6"/>
  <c r="EH58" i="6"/>
  <c r="EH56" i="6"/>
  <c r="EJ61" i="6"/>
  <c r="FI61" i="6" s="1"/>
  <c r="EJ55" i="6"/>
  <c r="FI55" i="6" s="1"/>
  <c r="EJ51" i="6"/>
  <c r="FI51" i="6" s="1"/>
  <c r="EW64" i="6"/>
  <c r="EI63" i="6"/>
  <c r="FH63" i="6" s="1"/>
  <c r="EW62" i="6"/>
  <c r="EI61" i="6"/>
  <c r="FH61" i="6" s="1"/>
  <c r="EW60" i="6"/>
  <c r="EI59" i="6"/>
  <c r="FH59" i="6" s="1"/>
  <c r="EW58" i="6"/>
  <c r="EI57" i="6"/>
  <c r="FH57" i="6" s="1"/>
  <c r="EW56" i="6"/>
  <c r="EI55" i="6"/>
  <c r="FH55" i="6" s="1"/>
  <c r="EW54" i="6"/>
  <c r="EN54" i="6"/>
  <c r="EI53" i="6"/>
  <c r="FH53" i="6" s="1"/>
  <c r="EW52" i="6"/>
  <c r="EI51" i="6"/>
  <c r="FH51" i="6" s="1"/>
  <c r="EW50" i="6"/>
  <c r="EJ63" i="6"/>
  <c r="FI63" i="6" s="1"/>
  <c r="EJ57" i="6"/>
  <c r="FI57" i="6" s="1"/>
  <c r="EJ53" i="6"/>
  <c r="FI53" i="6" s="1"/>
  <c r="EH63" i="6"/>
  <c r="EH61" i="6"/>
  <c r="EZ59" i="6"/>
  <c r="EH59" i="6"/>
  <c r="EH57" i="6"/>
  <c r="EH55" i="6"/>
  <c r="EH53" i="6"/>
  <c r="EH51" i="6"/>
  <c r="FE64" i="6"/>
  <c r="EU64" i="6"/>
  <c r="FE62" i="6"/>
  <c r="EU62" i="6"/>
  <c r="FE60" i="6"/>
  <c r="EU60" i="6"/>
  <c r="FE58" i="6"/>
  <c r="EU58" i="6"/>
  <c r="FE56" i="6"/>
  <c r="EU56" i="6"/>
  <c r="FE54" i="6"/>
  <c r="EU54" i="6"/>
  <c r="FE52" i="6"/>
  <c r="EU52" i="6"/>
  <c r="FE50" i="6"/>
  <c r="EU50" i="6"/>
  <c r="EX49" i="6"/>
  <c r="EO49" i="6"/>
  <c r="EX47" i="6"/>
  <c r="EO47" i="6"/>
  <c r="EX45" i="6"/>
  <c r="EO45" i="6"/>
  <c r="EX43" i="6"/>
  <c r="EO43" i="6"/>
  <c r="EX41" i="6"/>
  <c r="EO41" i="6"/>
  <c r="EX39" i="6"/>
  <c r="EO39" i="6"/>
  <c r="EX37" i="6"/>
  <c r="EO37" i="6"/>
  <c r="EX35" i="6"/>
  <c r="EO35" i="6"/>
  <c r="EO33" i="6"/>
  <c r="EI48" i="6"/>
  <c r="FH48" i="6" s="1"/>
  <c r="EI46" i="6"/>
  <c r="FH46" i="6" s="1"/>
  <c r="EI44" i="6"/>
  <c r="FH44" i="6" s="1"/>
  <c r="EI42" i="6"/>
  <c r="FH42" i="6" s="1"/>
  <c r="EI40" i="6"/>
  <c r="FH40" i="6" s="1"/>
  <c r="EI38" i="6"/>
  <c r="FH38" i="6" s="1"/>
  <c r="EI36" i="6"/>
  <c r="FH36" i="6" s="1"/>
  <c r="EI34" i="6"/>
  <c r="FH34" i="6" s="1"/>
  <c r="FF49" i="6"/>
  <c r="EV49" i="6"/>
  <c r="FF47" i="6"/>
  <c r="EV47" i="6"/>
  <c r="FF45" i="6"/>
  <c r="EV45" i="6"/>
  <c r="FF43" i="6"/>
  <c r="EV43" i="6"/>
  <c r="FF41" i="6"/>
  <c r="EV41" i="6"/>
  <c r="FF39" i="6"/>
  <c r="EV39" i="6"/>
  <c r="FF37" i="6"/>
  <c r="EV37" i="6"/>
  <c r="FF35" i="6"/>
  <c r="EV35" i="6"/>
  <c r="FF33" i="6"/>
  <c r="EV33" i="6"/>
  <c r="EJ18" i="6"/>
  <c r="FI18" i="6" s="1"/>
  <c r="EW18" i="6"/>
  <c r="EI11" i="6"/>
  <c r="FH11" i="6" s="1"/>
  <c r="ES11" i="6"/>
  <c r="EH31" i="6"/>
  <c r="FF30" i="6"/>
  <c r="EI25" i="6"/>
  <c r="FH25" i="6" s="1"/>
  <c r="EJ25" i="6"/>
  <c r="FI25" i="6" s="1"/>
  <c r="EH22" i="6"/>
  <c r="EJ22" i="6"/>
  <c r="FI22" i="6" s="1"/>
  <c r="EW22" i="6"/>
  <c r="EI17" i="6"/>
  <c r="FH17" i="6" s="1"/>
  <c r="ES17" i="6"/>
  <c r="EI9" i="6"/>
  <c r="FH9" i="6" s="1"/>
  <c r="ES9" i="6"/>
  <c r="EI30" i="6"/>
  <c r="FH30" i="6" s="1"/>
  <c r="EJ16" i="6"/>
  <c r="FI16" i="6" s="1"/>
  <c r="EW16" i="6"/>
  <c r="EI7" i="6"/>
  <c r="FH7" i="6" s="1"/>
  <c r="ES7" i="6"/>
  <c r="EX31" i="6"/>
  <c r="EH30" i="6"/>
  <c r="EJ30" i="6"/>
  <c r="FI30" i="6" s="1"/>
  <c r="EH24" i="6"/>
  <c r="EJ24" i="6"/>
  <c r="FI24" i="6" s="1"/>
  <c r="EI21" i="6"/>
  <c r="FH21" i="6" s="1"/>
  <c r="ES21" i="6"/>
  <c r="EJ19" i="6"/>
  <c r="FI19" i="6" s="1"/>
  <c r="EJ14" i="6"/>
  <c r="FI14" i="6" s="1"/>
  <c r="EW14" i="6"/>
  <c r="EI32" i="6"/>
  <c r="FH32" i="6" s="1"/>
  <c r="EI28" i="6"/>
  <c r="EO27" i="6"/>
  <c r="EH27" i="6"/>
  <c r="EJ12" i="6"/>
  <c r="FI12" i="6" s="1"/>
  <c r="EW12" i="6"/>
  <c r="FF31" i="6"/>
  <c r="EJ28" i="6"/>
  <c r="FI28" i="6" s="1"/>
  <c r="EI27" i="6"/>
  <c r="FH27" i="6" s="1"/>
  <c r="EJ27" i="6"/>
  <c r="FI27" i="6" s="1"/>
  <c r="EJ10" i="6"/>
  <c r="FI10" i="6" s="1"/>
  <c r="EW10" i="6"/>
  <c r="EO25" i="6"/>
  <c r="EH25" i="6"/>
  <c r="EW29" i="6"/>
  <c r="EI26" i="6"/>
  <c r="FH26" i="6" s="1"/>
  <c r="EI23" i="6"/>
  <c r="FH23" i="6" s="1"/>
  <c r="EJ20" i="6"/>
  <c r="FI20" i="6" s="1"/>
  <c r="EW20" i="6"/>
  <c r="EI15" i="6"/>
  <c r="FH15" i="6" s="1"/>
  <c r="ES15" i="6"/>
  <c r="EJ8" i="6"/>
  <c r="FI8" i="6" s="1"/>
  <c r="EW8" i="6"/>
  <c r="EJ26" i="6"/>
  <c r="FI26" i="6" s="1"/>
  <c r="EI19" i="6"/>
  <c r="FH19" i="6" s="1"/>
  <c r="ES19" i="6"/>
  <c r="EI13" i="6"/>
  <c r="FH13" i="6" s="1"/>
  <c r="ES13" i="6"/>
  <c r="EW6" i="6"/>
  <c r="EJ17" i="6"/>
  <c r="FI17" i="6" s="1"/>
  <c r="EJ15" i="6"/>
  <c r="FI15" i="6" s="1"/>
  <c r="EJ13" i="6"/>
  <c r="FI13" i="6" s="1"/>
  <c r="EJ11" i="6"/>
  <c r="FI11" i="6" s="1"/>
  <c r="EJ9" i="6"/>
  <c r="FI9" i="6" s="1"/>
  <c r="EJ7" i="6"/>
  <c r="FI7" i="6" s="1"/>
  <c r="EH23" i="6"/>
  <c r="EH21" i="6"/>
  <c r="EH19" i="6"/>
  <c r="EH17" i="6"/>
  <c r="EH15" i="6"/>
  <c r="EH13" i="6"/>
  <c r="EH11" i="6"/>
  <c r="EH9" i="6"/>
  <c r="EH7" i="6"/>
  <c r="FE14" i="6"/>
  <c r="FE12" i="6"/>
  <c r="FE10" i="6"/>
  <c r="FE8" i="6"/>
  <c r="FE6" i="6"/>
  <c r="BH29" i="7"/>
  <c r="BQ29" i="7" s="1"/>
  <c r="BF27" i="5"/>
  <c r="BH28" i="7"/>
  <c r="BQ28" i="7" s="1"/>
  <c r="BF26" i="5"/>
  <c r="BF25" i="5"/>
  <c r="BH26" i="7"/>
  <c r="BQ26" i="7" s="1"/>
  <c r="BP26" i="7"/>
  <c r="BF24" i="5"/>
  <c r="BH25" i="7"/>
  <c r="BQ25" i="7" s="1"/>
  <c r="BF23" i="5"/>
  <c r="BH24" i="7"/>
  <c r="BQ24" i="7" s="1"/>
  <c r="BF22" i="5"/>
  <c r="BF21" i="5"/>
  <c r="BH22" i="7"/>
  <c r="BQ22" i="7" s="1"/>
  <c r="BF20" i="5"/>
  <c r="BF19" i="5"/>
  <c r="BH20" i="7"/>
  <c r="BQ20" i="7" s="1"/>
  <c r="BF18" i="5"/>
  <c r="BF17" i="5"/>
  <c r="BH18" i="7"/>
  <c r="BQ18" i="7" s="1"/>
  <c r="BF16" i="5"/>
  <c r="BF15" i="5"/>
  <c r="BJ22" i="7"/>
  <c r="BJ29" i="7"/>
  <c r="BJ25" i="7"/>
  <c r="BH21" i="7"/>
  <c r="BQ21" i="7" s="1"/>
  <c r="BJ21" i="7"/>
  <c r="BH17" i="7"/>
  <c r="BQ17" i="7" s="1"/>
  <c r="BH27" i="7"/>
  <c r="BQ27" i="7" s="1"/>
  <c r="BH23" i="7"/>
  <c r="BQ23" i="7" s="1"/>
  <c r="BH19" i="7"/>
  <c r="BQ19" i="7" s="1"/>
  <c r="EL209" i="6" l="1"/>
  <c r="FK209" i="6" s="1"/>
  <c r="EL202" i="6"/>
  <c r="EL178" i="6"/>
  <c r="FM178" i="6" s="1"/>
  <c r="FN178" i="6" s="1"/>
  <c r="EL174" i="6"/>
  <c r="FM174" i="6" s="1"/>
  <c r="FN174" i="6" s="1"/>
  <c r="EL170" i="6"/>
  <c r="FK170" i="6" s="1"/>
  <c r="EL168" i="6"/>
  <c r="FM168" i="6" s="1"/>
  <c r="FN168" i="6" s="1"/>
  <c r="EL164" i="6"/>
  <c r="FK164" i="6" s="1"/>
  <c r="EL145" i="6"/>
  <c r="FM145" i="6" s="1"/>
  <c r="FN145" i="6" s="1"/>
  <c r="EL144" i="6"/>
  <c r="FK144" i="6" s="1"/>
  <c r="EL172" i="6"/>
  <c r="FM172" i="6" s="1"/>
  <c r="FN172" i="6" s="1"/>
  <c r="EL207" i="6"/>
  <c r="FK207" i="6" s="1"/>
  <c r="EL123" i="6"/>
  <c r="FK123" i="6" s="1"/>
  <c r="EL135" i="6"/>
  <c r="FK135" i="6" s="1"/>
  <c r="EL191" i="6"/>
  <c r="FM191" i="6" s="1"/>
  <c r="FN191" i="6" s="1"/>
  <c r="EL150" i="6"/>
  <c r="FM150" i="6" s="1"/>
  <c r="FN150" i="6" s="1"/>
  <c r="EL161" i="6"/>
  <c r="FM161" i="6" s="1"/>
  <c r="FN161" i="6" s="1"/>
  <c r="EL211" i="6"/>
  <c r="FM211" i="6" s="1"/>
  <c r="FN211" i="6" s="1"/>
  <c r="EL115" i="6"/>
  <c r="FK115" i="6" s="1"/>
  <c r="EL193" i="6"/>
  <c r="FK193" i="6" s="1"/>
  <c r="EL160" i="6"/>
  <c r="FK160" i="6" s="1"/>
  <c r="EL204" i="6"/>
  <c r="EL120" i="6"/>
  <c r="FG120" i="6"/>
  <c r="EL117" i="6"/>
  <c r="EL125" i="6"/>
  <c r="EL119" i="6"/>
  <c r="EL137" i="6"/>
  <c r="FG137" i="6"/>
  <c r="EL159" i="6"/>
  <c r="FG159" i="6"/>
  <c r="EL140" i="6"/>
  <c r="EL201" i="6"/>
  <c r="FG190" i="6"/>
  <c r="EL190" i="6"/>
  <c r="EL197" i="6"/>
  <c r="FG197" i="6"/>
  <c r="EL169" i="6"/>
  <c r="FH169" i="6"/>
  <c r="FM207" i="6"/>
  <c r="FN207" i="6" s="1"/>
  <c r="EL122" i="6"/>
  <c r="FG122" i="6"/>
  <c r="EL133" i="6"/>
  <c r="EL129" i="6"/>
  <c r="EL147" i="6"/>
  <c r="FG147" i="6"/>
  <c r="EL155" i="6"/>
  <c r="FG155" i="6"/>
  <c r="EL158" i="6"/>
  <c r="EL142" i="6"/>
  <c r="FG180" i="6"/>
  <c r="EL180" i="6"/>
  <c r="EL177" i="6"/>
  <c r="FH177" i="6"/>
  <c r="EL194" i="6"/>
  <c r="FG194" i="6"/>
  <c r="FG198" i="6"/>
  <c r="EL198" i="6"/>
  <c r="FG181" i="6"/>
  <c r="EL181" i="6"/>
  <c r="EL153" i="6"/>
  <c r="FG153" i="6"/>
  <c r="EL183" i="6"/>
  <c r="FG183" i="6"/>
  <c r="FG192" i="6"/>
  <c r="EL192" i="6"/>
  <c r="FK202" i="6"/>
  <c r="FM202" i="6"/>
  <c r="FN202" i="6" s="1"/>
  <c r="EL196" i="6"/>
  <c r="FH196" i="6"/>
  <c r="EL124" i="6"/>
  <c r="FG124" i="6"/>
  <c r="EL131" i="6"/>
  <c r="EL134" i="6"/>
  <c r="FG134" i="6"/>
  <c r="EL121" i="6"/>
  <c r="EL132" i="6"/>
  <c r="FG132" i="6"/>
  <c r="EL156" i="6"/>
  <c r="EL157" i="6"/>
  <c r="FG157" i="6"/>
  <c r="EL187" i="6"/>
  <c r="FH179" i="6"/>
  <c r="EL179" i="6"/>
  <c r="FH167" i="6"/>
  <c r="EL167" i="6"/>
  <c r="EL185" i="6"/>
  <c r="FG185" i="6"/>
  <c r="EL139" i="6"/>
  <c r="FG139" i="6"/>
  <c r="EL166" i="6"/>
  <c r="FG166" i="6"/>
  <c r="EL182" i="6"/>
  <c r="EL118" i="6"/>
  <c r="FG118" i="6"/>
  <c r="EL126" i="6"/>
  <c r="FG126" i="6"/>
  <c r="EL127" i="6"/>
  <c r="EL143" i="6"/>
  <c r="EL146" i="6"/>
  <c r="EL154" i="6"/>
  <c r="EL176" i="6"/>
  <c r="FG176" i="6"/>
  <c r="FG188" i="6"/>
  <c r="EL188" i="6"/>
  <c r="EL203" i="6"/>
  <c r="FH203" i="6"/>
  <c r="EL152" i="6"/>
  <c r="FG186" i="6"/>
  <c r="EL186" i="6"/>
  <c r="FG199" i="6"/>
  <c r="EL199" i="6"/>
  <c r="EL128" i="6"/>
  <c r="FG128" i="6"/>
  <c r="EL136" i="6"/>
  <c r="FG136" i="6"/>
  <c r="EL148" i="6"/>
  <c r="EL138" i="6"/>
  <c r="FG138" i="6"/>
  <c r="EL171" i="6"/>
  <c r="FH171" i="6"/>
  <c r="EL205" i="6"/>
  <c r="FH205" i="6"/>
  <c r="FG200" i="6"/>
  <c r="EL200" i="6"/>
  <c r="FH163" i="6"/>
  <c r="EL163" i="6"/>
  <c r="FK211" i="6"/>
  <c r="FH165" i="6"/>
  <c r="EL165" i="6"/>
  <c r="EL151" i="6"/>
  <c r="FG151" i="6"/>
  <c r="EL208" i="6"/>
  <c r="FH208" i="6"/>
  <c r="EL189" i="6"/>
  <c r="FG189" i="6"/>
  <c r="EL116" i="6"/>
  <c r="FG116" i="6"/>
  <c r="EL130" i="6"/>
  <c r="FG130" i="6"/>
  <c r="EL141" i="6"/>
  <c r="EL149" i="6"/>
  <c r="FG149" i="6"/>
  <c r="EL162" i="6"/>
  <c r="EL173" i="6"/>
  <c r="FH173" i="6"/>
  <c r="FG184" i="6"/>
  <c r="EL184" i="6"/>
  <c r="EL210" i="6"/>
  <c r="FH210" i="6"/>
  <c r="EL175" i="6"/>
  <c r="FH175" i="6"/>
  <c r="FK204" i="6"/>
  <c r="FM204" i="6"/>
  <c r="FN204" i="6" s="1"/>
  <c r="EL195" i="6"/>
  <c r="EL113" i="6"/>
  <c r="FM113" i="6" s="1"/>
  <c r="FN113" i="6" s="1"/>
  <c r="EL111" i="6"/>
  <c r="FK111" i="6" s="1"/>
  <c r="FL24" i="1"/>
  <c r="GH24" i="1"/>
  <c r="FL14" i="1"/>
  <c r="GG14" i="1"/>
  <c r="GG25" i="1"/>
  <c r="FL25" i="1"/>
  <c r="FL20" i="1"/>
  <c r="FL28" i="1"/>
  <c r="GG28" i="1"/>
  <c r="FL29" i="1"/>
  <c r="GG29" i="1"/>
  <c r="FL27" i="1"/>
  <c r="GI27" i="1"/>
  <c r="FL22" i="1"/>
  <c r="FL23" i="1"/>
  <c r="GG23" i="1"/>
  <c r="GG13" i="1"/>
  <c r="FL13" i="1"/>
  <c r="FL26" i="1"/>
  <c r="GG26" i="1"/>
  <c r="FL16" i="1"/>
  <c r="GG16" i="1"/>
  <c r="FL31" i="1"/>
  <c r="GG31" i="1"/>
  <c r="FL12" i="1"/>
  <c r="GH12" i="1"/>
  <c r="FL18" i="1"/>
  <c r="GG18" i="1"/>
  <c r="FL19" i="1"/>
  <c r="GI19" i="1"/>
  <c r="FL6" i="1"/>
  <c r="GG6" i="1"/>
  <c r="FL11" i="1"/>
  <c r="GH11" i="1"/>
  <c r="FL17" i="1"/>
  <c r="FL10" i="1"/>
  <c r="GJ10" i="1"/>
  <c r="FL7" i="1"/>
  <c r="GG7" i="1"/>
  <c r="FL30" i="1"/>
  <c r="FL8" i="1"/>
  <c r="GG8" i="1"/>
  <c r="FL15" i="1"/>
  <c r="GG15" i="1"/>
  <c r="FL9" i="1"/>
  <c r="GG9" i="1"/>
  <c r="FL21" i="1"/>
  <c r="EL104" i="6"/>
  <c r="FK104" i="6" s="1"/>
  <c r="EL114" i="6"/>
  <c r="EL96" i="6"/>
  <c r="FG96" i="6"/>
  <c r="EL108" i="6"/>
  <c r="FG108" i="6"/>
  <c r="EL90" i="6"/>
  <c r="EL106" i="6"/>
  <c r="FG106" i="6"/>
  <c r="EL92" i="6"/>
  <c r="EL97" i="6"/>
  <c r="EL109" i="6"/>
  <c r="EL99" i="6"/>
  <c r="EL103" i="6"/>
  <c r="EL105" i="6"/>
  <c r="EL112" i="6"/>
  <c r="EL93" i="6"/>
  <c r="FH107" i="6"/>
  <c r="EL107" i="6"/>
  <c r="EL91" i="6"/>
  <c r="EL102" i="6"/>
  <c r="FG102" i="6"/>
  <c r="EL94" i="6"/>
  <c r="FG94" i="6"/>
  <c r="EL95" i="6"/>
  <c r="EL110" i="6"/>
  <c r="FH101" i="6"/>
  <c r="EL101" i="6"/>
  <c r="EL98" i="6"/>
  <c r="FG98" i="6"/>
  <c r="EL100" i="6"/>
  <c r="FG100" i="6"/>
  <c r="EL6" i="6"/>
  <c r="EL75" i="6"/>
  <c r="FK75" i="6" s="1"/>
  <c r="EL73" i="6"/>
  <c r="FK73" i="6" s="1"/>
  <c r="EL71" i="6"/>
  <c r="FK71" i="6" s="1"/>
  <c r="EL64" i="6"/>
  <c r="FM64" i="6" s="1"/>
  <c r="FN64" i="6" s="1"/>
  <c r="EL62" i="6"/>
  <c r="FK62" i="6" s="1"/>
  <c r="EL54" i="6"/>
  <c r="FK54" i="6" s="1"/>
  <c r="EL50" i="6"/>
  <c r="FM50" i="6" s="1"/>
  <c r="FN50" i="6" s="1"/>
  <c r="EL49" i="6"/>
  <c r="FK49" i="6" s="1"/>
  <c r="EL45" i="6"/>
  <c r="FK45" i="6" s="1"/>
  <c r="EL43" i="6"/>
  <c r="FK43" i="6" s="1"/>
  <c r="EL41" i="6"/>
  <c r="FK41" i="6" s="1"/>
  <c r="EL35" i="6"/>
  <c r="FK35" i="6" s="1"/>
  <c r="EL33" i="6"/>
  <c r="FM33" i="6" s="1"/>
  <c r="FN33" i="6" s="1"/>
  <c r="EL20" i="6"/>
  <c r="FK20" i="6" s="1"/>
  <c r="EL14" i="6"/>
  <c r="FK14" i="6" s="1"/>
  <c r="EL10" i="6"/>
  <c r="FK10" i="6" s="1"/>
  <c r="FG14" i="6"/>
  <c r="EL47" i="6"/>
  <c r="FM47" i="6" s="1"/>
  <c r="FN47" i="6" s="1"/>
  <c r="EL39" i="6"/>
  <c r="FK39" i="6" s="1"/>
  <c r="EL77" i="6"/>
  <c r="FK77" i="6" s="1"/>
  <c r="EL12" i="6"/>
  <c r="FG33" i="6"/>
  <c r="EL60" i="6"/>
  <c r="EL52" i="6"/>
  <c r="EL32" i="6"/>
  <c r="FK32" i="6" s="1"/>
  <c r="EL87" i="6"/>
  <c r="FK87" i="6" s="1"/>
  <c r="EL18" i="6"/>
  <c r="FK18" i="6" s="1"/>
  <c r="EL37" i="6"/>
  <c r="FM37" i="6" s="1"/>
  <c r="FN37" i="6" s="1"/>
  <c r="EL79" i="6"/>
  <c r="FM79" i="6" s="1"/>
  <c r="FN79" i="6" s="1"/>
  <c r="EL29" i="6"/>
  <c r="EL67" i="6"/>
  <c r="FK67" i="6" s="1"/>
  <c r="EL84" i="6"/>
  <c r="FG84" i="6"/>
  <c r="EL83" i="6"/>
  <c r="EL86" i="6"/>
  <c r="FG86" i="6"/>
  <c r="EL88" i="6"/>
  <c r="FG88" i="6"/>
  <c r="EL89" i="6"/>
  <c r="EL82" i="6"/>
  <c r="FG82" i="6"/>
  <c r="EL85" i="6"/>
  <c r="EL81" i="6"/>
  <c r="EL65" i="6"/>
  <c r="FH65" i="6"/>
  <c r="EL66" i="6"/>
  <c r="FG66" i="6"/>
  <c r="EL76" i="6"/>
  <c r="FG76" i="6"/>
  <c r="EL68" i="6"/>
  <c r="FG68" i="6"/>
  <c r="EL78" i="6"/>
  <c r="FG78" i="6"/>
  <c r="EL70" i="6"/>
  <c r="FG70" i="6"/>
  <c r="EL80" i="6"/>
  <c r="FG80" i="6"/>
  <c r="EL69" i="6"/>
  <c r="EL74" i="6"/>
  <c r="FG74" i="6"/>
  <c r="EL72" i="6"/>
  <c r="FG72" i="6"/>
  <c r="FG53" i="6"/>
  <c r="EL53" i="6"/>
  <c r="FG55" i="6"/>
  <c r="EL55" i="6"/>
  <c r="FG61" i="6"/>
  <c r="EL61" i="6"/>
  <c r="FG63" i="6"/>
  <c r="EL63" i="6"/>
  <c r="FG57" i="6"/>
  <c r="EL57" i="6"/>
  <c r="EL56" i="6"/>
  <c r="FG56" i="6"/>
  <c r="EL58" i="6"/>
  <c r="FG58" i="6"/>
  <c r="FG51" i="6"/>
  <c r="EL51" i="6"/>
  <c r="FG59" i="6"/>
  <c r="EL59" i="6"/>
  <c r="EL44" i="6"/>
  <c r="EL42" i="6"/>
  <c r="EL34" i="6"/>
  <c r="EL46" i="6"/>
  <c r="EL48" i="6"/>
  <c r="EL36" i="6"/>
  <c r="EL38" i="6"/>
  <c r="EL40" i="6"/>
  <c r="FG19" i="6"/>
  <c r="EL19" i="6"/>
  <c r="FG27" i="6"/>
  <c r="EL27" i="6"/>
  <c r="FG7" i="6"/>
  <c r="EL7" i="6"/>
  <c r="FG23" i="6"/>
  <c r="EL23" i="6"/>
  <c r="EL26" i="6"/>
  <c r="EL25" i="6"/>
  <c r="FG25" i="6"/>
  <c r="EL31" i="6"/>
  <c r="FG31" i="6"/>
  <c r="FG9" i="6"/>
  <c r="EL9" i="6"/>
  <c r="FH28" i="6"/>
  <c r="EL28" i="6"/>
  <c r="EL21" i="6"/>
  <c r="FG21" i="6"/>
  <c r="FG11" i="6"/>
  <c r="EL11" i="6"/>
  <c r="FG13" i="6"/>
  <c r="EL13" i="6"/>
  <c r="EL24" i="6"/>
  <c r="FG24" i="6"/>
  <c r="FG15" i="6"/>
  <c r="EL15" i="6"/>
  <c r="EL8" i="6"/>
  <c r="EL16" i="6"/>
  <c r="EL22" i="6"/>
  <c r="FG22" i="6"/>
  <c r="FG17" i="6"/>
  <c r="EL17" i="6"/>
  <c r="EL30" i="6"/>
  <c r="FG30" i="6"/>
  <c r="FM212" i="6"/>
  <c r="BD16" i="7"/>
  <c r="BM16" i="7" s="1"/>
  <c r="BF16" i="7"/>
  <c r="BO16" i="7" s="1"/>
  <c r="BB16" i="7"/>
  <c r="BK16" i="7" s="1"/>
  <c r="BC16" i="7"/>
  <c r="BL16" i="7" s="1"/>
  <c r="BA16" i="7"/>
  <c r="BJ16" i="7" s="1"/>
  <c r="BE16" i="7"/>
  <c r="BN16" i="7" s="1"/>
  <c r="BG16" i="7"/>
  <c r="BP16" i="7" s="1"/>
  <c r="BD15" i="7"/>
  <c r="BM15" i="7" s="1"/>
  <c r="BF15" i="7"/>
  <c r="BO15" i="7" s="1"/>
  <c r="BB15" i="7"/>
  <c r="BK15" i="7" s="1"/>
  <c r="BC15" i="7"/>
  <c r="BL15" i="7" s="1"/>
  <c r="BA15" i="7"/>
  <c r="BJ15" i="7" s="1"/>
  <c r="BE15" i="7"/>
  <c r="BN15" i="7" s="1"/>
  <c r="BG15" i="7"/>
  <c r="BP15" i="7" s="1"/>
  <c r="DO5" i="6"/>
  <c r="EN5" i="6" s="1"/>
  <c r="DP5" i="6"/>
  <c r="EO5" i="6" s="1"/>
  <c r="DQ5" i="6"/>
  <c r="EP5" i="6" s="1"/>
  <c r="DS5" i="6"/>
  <c r="ER5" i="6" s="1"/>
  <c r="DT5" i="6"/>
  <c r="ES5" i="6" s="1"/>
  <c r="DU5" i="6"/>
  <c r="DV5" i="6"/>
  <c r="EU5" i="6" s="1"/>
  <c r="DW5" i="6"/>
  <c r="EV5" i="6" s="1"/>
  <c r="DX5" i="6"/>
  <c r="EW5" i="6" s="1"/>
  <c r="DY5" i="6"/>
  <c r="DZ5" i="6"/>
  <c r="EY5" i="6" s="1"/>
  <c r="EA5" i="6"/>
  <c r="EZ5" i="6" s="1"/>
  <c r="EC5" i="6"/>
  <c r="FB5" i="6" s="1"/>
  <c r="EE5" i="6"/>
  <c r="FD5" i="6" s="1"/>
  <c r="EF5" i="6"/>
  <c r="EG5" i="6"/>
  <c r="FF5" i="6" s="1"/>
  <c r="BA4" i="10"/>
  <c r="BB4" i="10"/>
  <c r="BC4" i="10"/>
  <c r="BD4" i="10"/>
  <c r="BA5" i="9"/>
  <c r="BJ5" i="9" s="1"/>
  <c r="BB5" i="9"/>
  <c r="BK5" i="9" s="1"/>
  <c r="BC5" i="9"/>
  <c r="BL5" i="9" s="1"/>
  <c r="BD5" i="9"/>
  <c r="BM5" i="9" s="1"/>
  <c r="BE5" i="9"/>
  <c r="BN5" i="9" s="1"/>
  <c r="BF5" i="9"/>
  <c r="BO5" i="9" s="1"/>
  <c r="BG5" i="9"/>
  <c r="BP5" i="9" s="1"/>
  <c r="BA7" i="7"/>
  <c r="BJ7" i="7" s="1"/>
  <c r="BB7" i="7"/>
  <c r="BK7" i="7" s="1"/>
  <c r="BC7" i="7"/>
  <c r="BL7" i="7" s="1"/>
  <c r="BD7" i="7"/>
  <c r="BM7" i="7" s="1"/>
  <c r="BE7" i="7"/>
  <c r="BN7" i="7" s="1"/>
  <c r="BF7" i="7"/>
  <c r="BO7" i="7" s="1"/>
  <c r="BG7" i="7"/>
  <c r="BP7" i="7" s="1"/>
  <c r="BA8" i="7"/>
  <c r="BJ8" i="7" s="1"/>
  <c r="BB8" i="7"/>
  <c r="BK8" i="7" s="1"/>
  <c r="BC8" i="7"/>
  <c r="BL8" i="7" s="1"/>
  <c r="BD8" i="7"/>
  <c r="BM8" i="7" s="1"/>
  <c r="BE8" i="7"/>
  <c r="BN8" i="7" s="1"/>
  <c r="BF8" i="7"/>
  <c r="BO8" i="7" s="1"/>
  <c r="BG8" i="7"/>
  <c r="BP8" i="7" s="1"/>
  <c r="BA9" i="7"/>
  <c r="BB9" i="7"/>
  <c r="BK9" i="7" s="1"/>
  <c r="BC9" i="7"/>
  <c r="BL9" i="7" s="1"/>
  <c r="BD9" i="7"/>
  <c r="BM9" i="7" s="1"/>
  <c r="BE9" i="7"/>
  <c r="BN9" i="7" s="1"/>
  <c r="BF9" i="7"/>
  <c r="BO9" i="7" s="1"/>
  <c r="BG9" i="7"/>
  <c r="BP9" i="7" s="1"/>
  <c r="BA10" i="7"/>
  <c r="BJ10" i="7" s="1"/>
  <c r="BB10" i="7"/>
  <c r="BK10" i="7" s="1"/>
  <c r="BC10" i="7"/>
  <c r="BL10" i="7" s="1"/>
  <c r="BD10" i="7"/>
  <c r="BM10" i="7" s="1"/>
  <c r="BE10" i="7"/>
  <c r="BN10" i="7" s="1"/>
  <c r="BF10" i="7"/>
  <c r="BO10" i="7" s="1"/>
  <c r="BG10" i="7"/>
  <c r="BP10" i="7" s="1"/>
  <c r="BA11" i="7"/>
  <c r="BB11" i="7"/>
  <c r="BK11" i="7" s="1"/>
  <c r="BC11" i="7"/>
  <c r="BL11" i="7" s="1"/>
  <c r="BD11" i="7"/>
  <c r="BM11" i="7" s="1"/>
  <c r="BE11" i="7"/>
  <c r="BN11" i="7" s="1"/>
  <c r="BF11" i="7"/>
  <c r="BO11" i="7" s="1"/>
  <c r="BG11" i="7"/>
  <c r="BP11" i="7" s="1"/>
  <c r="BA12" i="7"/>
  <c r="BJ12" i="7" s="1"/>
  <c r="BB12" i="7"/>
  <c r="BK12" i="7" s="1"/>
  <c r="BC12" i="7"/>
  <c r="BL12" i="7" s="1"/>
  <c r="BD12" i="7"/>
  <c r="BM12" i="7" s="1"/>
  <c r="BE12" i="7"/>
  <c r="BN12" i="7" s="1"/>
  <c r="BF12" i="7"/>
  <c r="BO12" i="7" s="1"/>
  <c r="BG12" i="7"/>
  <c r="BP12" i="7" s="1"/>
  <c r="BA13" i="7"/>
  <c r="BJ13" i="7" s="1"/>
  <c r="BB13" i="7"/>
  <c r="BK13" i="7" s="1"/>
  <c r="BC13" i="7"/>
  <c r="BL13" i="7" s="1"/>
  <c r="BD13" i="7"/>
  <c r="BM13" i="7" s="1"/>
  <c r="BE13" i="7"/>
  <c r="BN13" i="7" s="1"/>
  <c r="BF13" i="7"/>
  <c r="BO13" i="7" s="1"/>
  <c r="BG13" i="7"/>
  <c r="BP13" i="7" s="1"/>
  <c r="BA14" i="7"/>
  <c r="BB14" i="7"/>
  <c r="BK14" i="7" s="1"/>
  <c r="BC14" i="7"/>
  <c r="BL14" i="7" s="1"/>
  <c r="BD14" i="7"/>
  <c r="BM14" i="7" s="1"/>
  <c r="BE14" i="7"/>
  <c r="BN14" i="7" s="1"/>
  <c r="BF14" i="7"/>
  <c r="BO14" i="7" s="1"/>
  <c r="BG14" i="7"/>
  <c r="BP14" i="7" s="1"/>
  <c r="FM164" i="6" l="1"/>
  <c r="FN164" i="6" s="1"/>
  <c r="FM193" i="6"/>
  <c r="FN193" i="6" s="1"/>
  <c r="FK191" i="6"/>
  <c r="FM209" i="6"/>
  <c r="FN209" i="6" s="1"/>
  <c r="FK178" i="6"/>
  <c r="FK174" i="6"/>
  <c r="FM170" i="6"/>
  <c r="FN170" i="6" s="1"/>
  <c r="FK168" i="6"/>
  <c r="FK161" i="6"/>
  <c r="FM160" i="6"/>
  <c r="FN160" i="6" s="1"/>
  <c r="FK150" i="6"/>
  <c r="FK145" i="6"/>
  <c r="FM144" i="6"/>
  <c r="FN144" i="6" s="1"/>
  <c r="FM135" i="6"/>
  <c r="FN135" i="6" s="1"/>
  <c r="FM123" i="6"/>
  <c r="FN123" i="6" s="1"/>
  <c r="FK113" i="6"/>
  <c r="FM115" i="6"/>
  <c r="FN115" i="6" s="1"/>
  <c r="FK172" i="6"/>
  <c r="FK165" i="6"/>
  <c r="FM165" i="6"/>
  <c r="FN165" i="6" s="1"/>
  <c r="FK148" i="6"/>
  <c r="FM148" i="6"/>
  <c r="FN148" i="6" s="1"/>
  <c r="FK183" i="6"/>
  <c r="FM183" i="6"/>
  <c r="FN183" i="6" s="1"/>
  <c r="FK133" i="6"/>
  <c r="FM133" i="6"/>
  <c r="FN133" i="6" s="1"/>
  <c r="FK173" i="6"/>
  <c r="FM173" i="6"/>
  <c r="FN173" i="6" s="1"/>
  <c r="FM130" i="6"/>
  <c r="FN130" i="6" s="1"/>
  <c r="FK130" i="6"/>
  <c r="FK208" i="6"/>
  <c r="FM208" i="6"/>
  <c r="FN208" i="6" s="1"/>
  <c r="FK205" i="6"/>
  <c r="FM205" i="6"/>
  <c r="FN205" i="6" s="1"/>
  <c r="FK186" i="6"/>
  <c r="FM186" i="6"/>
  <c r="FN186" i="6" s="1"/>
  <c r="FM176" i="6"/>
  <c r="FN176" i="6" s="1"/>
  <c r="FK176" i="6"/>
  <c r="FK198" i="6"/>
  <c r="FM198" i="6"/>
  <c r="FN198" i="6" s="1"/>
  <c r="FK142" i="6"/>
  <c r="FM142" i="6"/>
  <c r="FN142" i="6" s="1"/>
  <c r="FK190" i="6"/>
  <c r="FM190" i="6"/>
  <c r="FN190" i="6" s="1"/>
  <c r="FK120" i="6"/>
  <c r="FM120" i="6"/>
  <c r="FN120" i="6" s="1"/>
  <c r="FM156" i="6"/>
  <c r="FN156" i="6" s="1"/>
  <c r="FK156" i="6"/>
  <c r="FK162" i="6"/>
  <c r="FM162" i="6"/>
  <c r="FN162" i="6" s="1"/>
  <c r="FM136" i="6"/>
  <c r="FN136" i="6" s="1"/>
  <c r="FK136" i="6"/>
  <c r="FK154" i="6"/>
  <c r="FM154" i="6"/>
  <c r="FN154" i="6" s="1"/>
  <c r="FK139" i="6"/>
  <c r="FM139" i="6"/>
  <c r="FN139" i="6" s="1"/>
  <c r="FM132" i="6"/>
  <c r="FN132" i="6" s="1"/>
  <c r="FK132" i="6"/>
  <c r="FK196" i="6"/>
  <c r="FM196" i="6"/>
  <c r="FN196" i="6" s="1"/>
  <c r="FM158" i="6"/>
  <c r="FN158" i="6" s="1"/>
  <c r="FK158" i="6"/>
  <c r="FK122" i="6"/>
  <c r="FM122" i="6"/>
  <c r="FN122" i="6" s="1"/>
  <c r="FM137" i="6"/>
  <c r="FN137" i="6" s="1"/>
  <c r="FK137" i="6"/>
  <c r="FK166" i="6"/>
  <c r="FM166" i="6"/>
  <c r="FN166" i="6" s="1"/>
  <c r="FK124" i="6"/>
  <c r="FM124" i="6"/>
  <c r="FN124" i="6" s="1"/>
  <c r="FK197" i="6"/>
  <c r="FM197" i="6"/>
  <c r="FN197" i="6" s="1"/>
  <c r="FK175" i="6"/>
  <c r="FM175" i="6"/>
  <c r="FN175" i="6" s="1"/>
  <c r="FK116" i="6"/>
  <c r="FM116" i="6"/>
  <c r="FN116" i="6" s="1"/>
  <c r="FK171" i="6"/>
  <c r="FM171" i="6"/>
  <c r="FN171" i="6" s="1"/>
  <c r="FK152" i="6"/>
  <c r="FM152" i="6"/>
  <c r="FN152" i="6" s="1"/>
  <c r="FK146" i="6"/>
  <c r="FM146" i="6"/>
  <c r="FN146" i="6" s="1"/>
  <c r="FK118" i="6"/>
  <c r="FM118" i="6"/>
  <c r="FN118" i="6" s="1"/>
  <c r="FK187" i="6"/>
  <c r="FM187" i="6"/>
  <c r="FN187" i="6" s="1"/>
  <c r="FK121" i="6"/>
  <c r="FM121" i="6"/>
  <c r="FN121" i="6" s="1"/>
  <c r="FK201" i="6"/>
  <c r="FM201" i="6"/>
  <c r="FN201" i="6" s="1"/>
  <c r="FK159" i="6"/>
  <c r="FM159" i="6"/>
  <c r="FN159" i="6" s="1"/>
  <c r="FK163" i="6"/>
  <c r="FM163" i="6"/>
  <c r="FN163" i="6" s="1"/>
  <c r="FK143" i="6"/>
  <c r="FM143" i="6"/>
  <c r="FN143" i="6" s="1"/>
  <c r="FK185" i="6"/>
  <c r="FM185" i="6"/>
  <c r="FN185" i="6" s="1"/>
  <c r="FK194" i="6"/>
  <c r="FM194" i="6"/>
  <c r="FN194" i="6" s="1"/>
  <c r="FM155" i="6"/>
  <c r="FN155" i="6" s="1"/>
  <c r="FK155" i="6"/>
  <c r="FK140" i="6"/>
  <c r="FM140" i="6"/>
  <c r="FN140" i="6" s="1"/>
  <c r="FK210" i="6"/>
  <c r="FM210" i="6"/>
  <c r="FN210" i="6" s="1"/>
  <c r="FK151" i="6"/>
  <c r="FM151" i="6"/>
  <c r="FN151" i="6" s="1"/>
  <c r="FK203" i="6"/>
  <c r="FM203" i="6"/>
  <c r="FN203" i="6" s="1"/>
  <c r="FK127" i="6"/>
  <c r="FM127" i="6"/>
  <c r="FN127" i="6" s="1"/>
  <c r="FK167" i="6"/>
  <c r="FM167" i="6"/>
  <c r="FN167" i="6" s="1"/>
  <c r="FM134" i="6"/>
  <c r="FN134" i="6" s="1"/>
  <c r="FK134" i="6"/>
  <c r="FK192" i="6"/>
  <c r="FM192" i="6"/>
  <c r="FN192" i="6" s="1"/>
  <c r="FK119" i="6"/>
  <c r="FM119" i="6"/>
  <c r="FN119" i="6" s="1"/>
  <c r="FK184" i="6"/>
  <c r="FM184" i="6"/>
  <c r="FN184" i="6" s="1"/>
  <c r="FM149" i="6"/>
  <c r="FN149" i="6" s="1"/>
  <c r="FK149" i="6"/>
  <c r="FM200" i="6"/>
  <c r="FN200" i="6" s="1"/>
  <c r="FK200" i="6"/>
  <c r="FM128" i="6"/>
  <c r="FN128" i="6" s="1"/>
  <c r="FK128" i="6"/>
  <c r="FK188" i="6"/>
  <c r="FM188" i="6"/>
  <c r="FN188" i="6" s="1"/>
  <c r="FK182" i="6"/>
  <c r="FM182" i="6"/>
  <c r="FN182" i="6" s="1"/>
  <c r="FK131" i="6"/>
  <c r="FM131" i="6"/>
  <c r="FN131" i="6" s="1"/>
  <c r="FK153" i="6"/>
  <c r="FM153" i="6"/>
  <c r="FN153" i="6" s="1"/>
  <c r="FK177" i="6"/>
  <c r="FM177" i="6"/>
  <c r="FN177" i="6" s="1"/>
  <c r="FM147" i="6"/>
  <c r="FN147" i="6" s="1"/>
  <c r="FK147" i="6"/>
  <c r="FK169" i="6"/>
  <c r="FM169" i="6"/>
  <c r="FN169" i="6" s="1"/>
  <c r="FK125" i="6"/>
  <c r="FM125" i="6"/>
  <c r="FN125" i="6" s="1"/>
  <c r="FK195" i="6"/>
  <c r="FM195" i="6"/>
  <c r="FN195" i="6" s="1"/>
  <c r="FK141" i="6"/>
  <c r="FM141" i="6"/>
  <c r="FN141" i="6" s="1"/>
  <c r="FK189" i="6"/>
  <c r="FM189" i="6"/>
  <c r="FN189" i="6" s="1"/>
  <c r="FM138" i="6"/>
  <c r="FN138" i="6" s="1"/>
  <c r="FK138" i="6"/>
  <c r="FM199" i="6"/>
  <c r="FN199" i="6" s="1"/>
  <c r="FK199" i="6"/>
  <c r="FK126" i="6"/>
  <c r="FM126" i="6"/>
  <c r="FN126" i="6" s="1"/>
  <c r="FK179" i="6"/>
  <c r="FM179" i="6"/>
  <c r="FN179" i="6" s="1"/>
  <c r="FK157" i="6"/>
  <c r="FM157" i="6"/>
  <c r="FN157" i="6" s="1"/>
  <c r="FK181" i="6"/>
  <c r="FM181" i="6"/>
  <c r="FN181" i="6" s="1"/>
  <c r="FK180" i="6"/>
  <c r="FM180" i="6"/>
  <c r="FN180" i="6" s="1"/>
  <c r="FK129" i="6"/>
  <c r="FM129" i="6"/>
  <c r="FN129" i="6" s="1"/>
  <c r="FK117" i="6"/>
  <c r="FM117" i="6"/>
  <c r="FN117" i="6" s="1"/>
  <c r="FM111" i="6"/>
  <c r="FN111" i="6" s="1"/>
  <c r="FM104" i="6"/>
  <c r="FN104" i="6" s="1"/>
  <c r="GK9" i="1"/>
  <c r="GK19" i="1"/>
  <c r="GM19" i="1"/>
  <c r="GN19" i="1" s="1"/>
  <c r="GK16" i="1"/>
  <c r="GK28" i="1"/>
  <c r="GM28" i="1"/>
  <c r="GN28" i="1" s="1"/>
  <c r="GK6" i="1"/>
  <c r="GK20" i="1"/>
  <c r="GM20" i="1"/>
  <c r="GN20" i="1" s="1"/>
  <c r="GK7" i="1"/>
  <c r="GK15" i="1"/>
  <c r="GK17" i="1"/>
  <c r="GM18" i="1"/>
  <c r="GN18" i="1" s="1"/>
  <c r="GK18" i="1"/>
  <c r="GK26" i="1"/>
  <c r="GM26" i="1"/>
  <c r="GN26" i="1" s="1"/>
  <c r="GK14" i="1"/>
  <c r="GK30" i="1"/>
  <c r="GM30" i="1"/>
  <c r="GN30" i="1" s="1"/>
  <c r="GK21" i="1"/>
  <c r="GM21" i="1"/>
  <c r="GN21" i="1" s="1"/>
  <c r="GK31" i="1"/>
  <c r="GM31" i="1"/>
  <c r="GN31" i="1" s="1"/>
  <c r="GM23" i="1"/>
  <c r="GN23" i="1" s="1"/>
  <c r="GK23" i="1"/>
  <c r="GK25" i="1"/>
  <c r="GM25" i="1"/>
  <c r="GN25" i="1" s="1"/>
  <c r="GK10" i="1"/>
  <c r="GK27" i="1"/>
  <c r="GM27" i="1"/>
  <c r="GN27" i="1" s="1"/>
  <c r="GK13" i="1"/>
  <c r="GK29" i="1"/>
  <c r="GM29" i="1"/>
  <c r="GN29" i="1" s="1"/>
  <c r="GM22" i="1"/>
  <c r="GN22" i="1" s="1"/>
  <c r="GK22" i="1"/>
  <c r="GK8" i="1"/>
  <c r="GK11" i="1"/>
  <c r="GK12" i="1"/>
  <c r="GK24" i="1"/>
  <c r="GM24" i="1"/>
  <c r="GN24" i="1" s="1"/>
  <c r="FK114" i="6"/>
  <c r="FM114" i="6"/>
  <c r="FN114" i="6" s="1"/>
  <c r="FK92" i="6"/>
  <c r="FM92" i="6"/>
  <c r="FN92" i="6" s="1"/>
  <c r="FK102" i="6"/>
  <c r="FM102" i="6"/>
  <c r="FN102" i="6" s="1"/>
  <c r="FM105" i="6"/>
  <c r="FN105" i="6" s="1"/>
  <c r="FK105" i="6"/>
  <c r="FM110" i="6"/>
  <c r="FN110" i="6" s="1"/>
  <c r="FK110" i="6"/>
  <c r="FM103" i="6"/>
  <c r="FN103" i="6" s="1"/>
  <c r="FK103" i="6"/>
  <c r="FK106" i="6"/>
  <c r="FM106" i="6"/>
  <c r="FN106" i="6" s="1"/>
  <c r="FM101" i="6"/>
  <c r="FN101" i="6" s="1"/>
  <c r="FK101" i="6"/>
  <c r="FM112" i="6"/>
  <c r="FN112" i="6" s="1"/>
  <c r="FK112" i="6"/>
  <c r="FK99" i="6"/>
  <c r="FM99" i="6"/>
  <c r="FN99" i="6" s="1"/>
  <c r="FK90" i="6"/>
  <c r="FM90" i="6"/>
  <c r="FN90" i="6" s="1"/>
  <c r="FK100" i="6"/>
  <c r="FM100" i="6"/>
  <c r="FN100" i="6" s="1"/>
  <c r="FK91" i="6"/>
  <c r="FM91" i="6"/>
  <c r="FN91" i="6" s="1"/>
  <c r="FM109" i="6"/>
  <c r="FN109" i="6" s="1"/>
  <c r="FK109" i="6"/>
  <c r="FK95" i="6"/>
  <c r="FM95" i="6"/>
  <c r="FN95" i="6" s="1"/>
  <c r="FM107" i="6"/>
  <c r="FN107" i="6" s="1"/>
  <c r="FK107" i="6"/>
  <c r="FK97" i="6"/>
  <c r="FM97" i="6"/>
  <c r="FN97" i="6" s="1"/>
  <c r="FK98" i="6"/>
  <c r="FM98" i="6"/>
  <c r="FN98" i="6" s="1"/>
  <c r="FM94" i="6"/>
  <c r="FN94" i="6" s="1"/>
  <c r="FK94" i="6"/>
  <c r="FK93" i="6"/>
  <c r="FM93" i="6"/>
  <c r="FN93" i="6" s="1"/>
  <c r="FM108" i="6"/>
  <c r="FN108" i="6" s="1"/>
  <c r="FK108" i="6"/>
  <c r="FK96" i="6"/>
  <c r="FM96" i="6"/>
  <c r="FN96" i="6" s="1"/>
  <c r="FM87" i="6"/>
  <c r="FN87" i="6" s="1"/>
  <c r="FM77" i="6"/>
  <c r="FN77" i="6" s="1"/>
  <c r="FM75" i="6"/>
  <c r="FN75" i="6" s="1"/>
  <c r="FM73" i="6"/>
  <c r="FN73" i="6" s="1"/>
  <c r="FM71" i="6"/>
  <c r="FN71" i="6" s="1"/>
  <c r="FK64" i="6"/>
  <c r="FM62" i="6"/>
  <c r="FN62" i="6" s="1"/>
  <c r="FM54" i="6"/>
  <c r="FN54" i="6" s="1"/>
  <c r="FK50" i="6"/>
  <c r="FM49" i="6"/>
  <c r="FN49" i="6" s="1"/>
  <c r="FK47" i="6"/>
  <c r="FM45" i="6"/>
  <c r="FN45" i="6" s="1"/>
  <c r="FM43" i="6"/>
  <c r="FN43" i="6" s="1"/>
  <c r="FM41" i="6"/>
  <c r="FN41" i="6" s="1"/>
  <c r="FM39" i="6"/>
  <c r="FN39" i="6" s="1"/>
  <c r="FK37" i="6"/>
  <c r="FM35" i="6"/>
  <c r="FN35" i="6" s="1"/>
  <c r="FK33" i="6"/>
  <c r="FM32" i="6"/>
  <c r="FN32" i="6" s="1"/>
  <c r="FK12" i="6"/>
  <c r="FK60" i="6"/>
  <c r="FM60" i="6"/>
  <c r="FN60" i="6" s="1"/>
  <c r="FK29" i="6"/>
  <c r="FK79" i="6"/>
  <c r="FM67" i="6"/>
  <c r="FN67" i="6" s="1"/>
  <c r="FK52" i="6"/>
  <c r="FM52" i="6"/>
  <c r="FN52" i="6" s="1"/>
  <c r="FK88" i="6"/>
  <c r="FM88" i="6"/>
  <c r="FN88" i="6" s="1"/>
  <c r="FK86" i="6"/>
  <c r="FM86" i="6"/>
  <c r="FN86" i="6" s="1"/>
  <c r="FK83" i="6"/>
  <c r="FM83" i="6"/>
  <c r="FN83" i="6" s="1"/>
  <c r="FK82" i="6"/>
  <c r="FM82" i="6"/>
  <c r="FN82" i="6" s="1"/>
  <c r="FK81" i="6"/>
  <c r="FM81" i="6"/>
  <c r="FN81" i="6" s="1"/>
  <c r="FK85" i="6"/>
  <c r="FM85" i="6"/>
  <c r="FN85" i="6" s="1"/>
  <c r="FK89" i="6"/>
  <c r="FM89" i="6"/>
  <c r="FN89" i="6" s="1"/>
  <c r="FK84" i="6"/>
  <c r="FM84" i="6"/>
  <c r="FN84" i="6" s="1"/>
  <c r="FK74" i="6"/>
  <c r="FM74" i="6"/>
  <c r="FN74" i="6" s="1"/>
  <c r="FK68" i="6"/>
  <c r="FM68" i="6"/>
  <c r="FN68" i="6" s="1"/>
  <c r="FK76" i="6"/>
  <c r="FM76" i="6"/>
  <c r="FN76" i="6" s="1"/>
  <c r="FK69" i="6"/>
  <c r="FM69" i="6"/>
  <c r="FN69" i="6" s="1"/>
  <c r="FK80" i="6"/>
  <c r="FM80" i="6"/>
  <c r="FN80" i="6" s="1"/>
  <c r="FK66" i="6"/>
  <c r="FM66" i="6"/>
  <c r="FN66" i="6" s="1"/>
  <c r="FK78" i="6"/>
  <c r="FM78" i="6"/>
  <c r="FN78" i="6" s="1"/>
  <c r="FK72" i="6"/>
  <c r="FM72" i="6"/>
  <c r="FN72" i="6" s="1"/>
  <c r="FK70" i="6"/>
  <c r="FM70" i="6"/>
  <c r="FN70" i="6" s="1"/>
  <c r="FK65" i="6"/>
  <c r="FM65" i="6"/>
  <c r="FN65" i="6" s="1"/>
  <c r="FK51" i="6"/>
  <c r="FM51" i="6"/>
  <c r="FN51" i="6" s="1"/>
  <c r="FK56" i="6"/>
  <c r="FM56" i="6"/>
  <c r="FN56" i="6" s="1"/>
  <c r="FM59" i="6"/>
  <c r="FN59" i="6" s="1"/>
  <c r="FK59" i="6"/>
  <c r="FM57" i="6"/>
  <c r="FN57" i="6" s="1"/>
  <c r="FK57" i="6"/>
  <c r="FM55" i="6"/>
  <c r="FN55" i="6" s="1"/>
  <c r="FK55" i="6"/>
  <c r="FK58" i="6"/>
  <c r="FM58" i="6"/>
  <c r="FN58" i="6" s="1"/>
  <c r="FM63" i="6"/>
  <c r="FN63" i="6" s="1"/>
  <c r="FK63" i="6"/>
  <c r="FM53" i="6"/>
  <c r="FN53" i="6" s="1"/>
  <c r="FK53" i="6"/>
  <c r="FM61" i="6"/>
  <c r="FN61" i="6" s="1"/>
  <c r="FK61" i="6"/>
  <c r="FK48" i="6"/>
  <c r="FM48" i="6"/>
  <c r="FN48" i="6" s="1"/>
  <c r="FK38" i="6"/>
  <c r="FM38" i="6"/>
  <c r="FN38" i="6" s="1"/>
  <c r="FK36" i="6"/>
  <c r="FM36" i="6"/>
  <c r="FN36" i="6" s="1"/>
  <c r="FK46" i="6"/>
  <c r="FM46" i="6"/>
  <c r="FN46" i="6" s="1"/>
  <c r="FK42" i="6"/>
  <c r="FM42" i="6"/>
  <c r="FN42" i="6" s="1"/>
  <c r="FK40" i="6"/>
  <c r="FM40" i="6"/>
  <c r="FN40" i="6" s="1"/>
  <c r="FK34" i="6"/>
  <c r="FM34" i="6"/>
  <c r="FN34" i="6" s="1"/>
  <c r="FK44" i="6"/>
  <c r="FM44" i="6"/>
  <c r="FN44" i="6" s="1"/>
  <c r="FK23" i="6"/>
  <c r="FK9" i="6"/>
  <c r="FK17" i="6"/>
  <c r="FM17" i="6"/>
  <c r="FN17" i="6" s="1"/>
  <c r="FK6" i="6"/>
  <c r="FK7" i="6"/>
  <c r="FK11" i="6"/>
  <c r="FK15" i="6"/>
  <c r="FM31" i="6"/>
  <c r="FN31" i="6" s="1"/>
  <c r="FK31" i="6"/>
  <c r="FK27" i="6"/>
  <c r="FK22" i="6"/>
  <c r="FK24" i="6"/>
  <c r="FK16" i="6"/>
  <c r="FK13" i="6"/>
  <c r="FK21" i="6"/>
  <c r="FK25" i="6"/>
  <c r="FK19" i="6"/>
  <c r="FK30" i="6"/>
  <c r="FK8" i="6"/>
  <c r="FM8" i="6"/>
  <c r="FN8" i="6" s="1"/>
  <c r="FM28" i="6"/>
  <c r="FN28" i="6" s="1"/>
  <c r="FK28" i="6"/>
  <c r="FK26" i="6"/>
  <c r="BH15" i="7"/>
  <c r="BQ15" i="7" s="1"/>
  <c r="BH16" i="7"/>
  <c r="BQ16" i="7" s="1"/>
  <c r="BF14" i="5"/>
  <c r="EH5" i="6"/>
  <c r="FG5" i="6" s="1"/>
  <c r="EK5" i="6"/>
  <c r="FJ5" i="6" s="1"/>
  <c r="EJ5" i="6"/>
  <c r="FI5" i="6" s="1"/>
  <c r="EX5" i="6"/>
  <c r="EI5" i="6"/>
  <c r="FH5" i="6" s="1"/>
  <c r="FE5" i="6"/>
  <c r="ET5" i="6"/>
  <c r="BF13" i="5"/>
  <c r="BF7" i="5"/>
  <c r="BF12" i="5"/>
  <c r="BF8" i="5"/>
  <c r="BF10" i="5"/>
  <c r="BE4" i="10"/>
  <c r="BH5" i="9"/>
  <c r="BQ5" i="9" s="1"/>
  <c r="BF11" i="5"/>
  <c r="BF9" i="5"/>
  <c r="BF6" i="5"/>
  <c r="BH9" i="7"/>
  <c r="BQ9" i="7" s="1"/>
  <c r="BH11" i="7"/>
  <c r="BQ11" i="7" s="1"/>
  <c r="BH14" i="7"/>
  <c r="BQ14" i="7" s="1"/>
  <c r="BJ14" i="7"/>
  <c r="BJ11" i="7"/>
  <c r="BH7" i="7"/>
  <c r="BQ7" i="7" s="1"/>
  <c r="BJ9" i="7"/>
  <c r="BH12" i="7"/>
  <c r="BQ12" i="7" s="1"/>
  <c r="BH10" i="7"/>
  <c r="BQ10" i="7" s="1"/>
  <c r="BH8" i="7"/>
  <c r="BQ8" i="7" s="1"/>
  <c r="BH13" i="7"/>
  <c r="BQ13" i="7" s="1"/>
  <c r="GM11" i="1" l="1"/>
  <c r="GN11" i="1" s="1"/>
  <c r="GM15" i="1"/>
  <c r="GN15" i="1" s="1"/>
  <c r="GM14" i="1"/>
  <c r="GN14" i="1" s="1"/>
  <c r="GM13" i="1"/>
  <c r="GN13" i="1" s="1"/>
  <c r="GM16" i="1"/>
  <c r="GN16" i="1" s="1"/>
  <c r="GM8" i="1"/>
  <c r="GN8" i="1" s="1"/>
  <c r="GM10" i="1"/>
  <c r="GN10" i="1" s="1"/>
  <c r="GM17" i="1"/>
  <c r="GN17" i="1" s="1"/>
  <c r="GM9" i="1"/>
  <c r="GN9" i="1" s="1"/>
  <c r="GM12" i="1"/>
  <c r="GN12" i="1" s="1"/>
  <c r="BF4" i="10"/>
  <c r="FM13" i="6"/>
  <c r="FN13" i="6" s="1"/>
  <c r="FM15" i="6"/>
  <c r="FN15" i="6" s="1"/>
  <c r="FM21" i="6"/>
  <c r="FN21" i="6" s="1"/>
  <c r="FM9" i="6"/>
  <c r="FN9" i="6" s="1"/>
  <c r="FM19" i="6"/>
  <c r="FN19" i="6" s="1"/>
  <c r="FM12" i="6"/>
  <c r="FN12" i="6" s="1"/>
  <c r="FM24" i="6"/>
  <c r="FN24" i="6" s="1"/>
  <c r="FM11" i="6"/>
  <c r="FN11" i="6" s="1"/>
  <c r="FM22" i="6"/>
  <c r="FN22" i="6" s="1"/>
  <c r="FM7" i="6"/>
  <c r="FN7" i="6" s="1"/>
  <c r="FM20" i="6"/>
  <c r="FN20" i="6" s="1"/>
  <c r="FM29" i="6"/>
  <c r="FN29" i="6" s="1"/>
  <c r="FM30" i="6"/>
  <c r="FN30" i="6" s="1"/>
  <c r="FM27" i="6"/>
  <c r="FN27" i="6" s="1"/>
  <c r="FM23" i="6"/>
  <c r="FN23" i="6" s="1"/>
  <c r="FM16" i="6"/>
  <c r="FN16" i="6" s="1"/>
  <c r="FM6" i="6"/>
  <c r="FN6" i="6" s="1"/>
  <c r="FM10" i="6"/>
  <c r="FN10" i="6" s="1"/>
  <c r="FM14" i="6"/>
  <c r="FN14" i="6" s="1"/>
  <c r="FM18" i="6"/>
  <c r="FN18" i="6" s="1"/>
  <c r="FM26" i="6"/>
  <c r="FN26" i="6" s="1"/>
  <c r="FM25" i="6"/>
  <c r="FN25" i="6" s="1"/>
  <c r="EL5" i="6"/>
  <c r="FK5" i="6" s="1"/>
  <c r="FM5" i="6" l="1"/>
  <c r="FN5" i="6" s="1"/>
  <c r="BA3" i="10"/>
  <c r="BD3" i="10"/>
  <c r="BC3" i="10"/>
  <c r="BB3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BA4" i="5"/>
  <c r="BB4" i="5"/>
  <c r="BC4" i="5"/>
  <c r="BD4" i="5"/>
  <c r="BD3" i="5"/>
  <c r="BC3" i="5"/>
  <c r="BB3" i="5"/>
  <c r="BA3" i="5"/>
  <c r="BG4" i="9"/>
  <c r="BP4" i="9" s="1"/>
  <c r="BP213" i="9" s="1"/>
  <c r="BF4" i="9"/>
  <c r="BO4" i="9" s="1"/>
  <c r="BO213" i="9" s="1"/>
  <c r="BE4" i="9"/>
  <c r="BN4" i="9" s="1"/>
  <c r="BN213" i="9" s="1"/>
  <c r="BD4" i="9"/>
  <c r="BM4" i="9" s="1"/>
  <c r="BM213" i="9" s="1"/>
  <c r="BC4" i="9"/>
  <c r="BL4" i="9" s="1"/>
  <c r="BL213" i="9" s="1"/>
  <c r="BB4" i="9"/>
  <c r="BK4" i="9" s="1"/>
  <c r="BK213" i="9" s="1"/>
  <c r="BA4" i="9"/>
  <c r="BJ4" i="9" s="1"/>
  <c r="BJ213" i="9" s="1"/>
  <c r="BA5" i="7"/>
  <c r="BJ5" i="7" s="1"/>
  <c r="BB5" i="7"/>
  <c r="BK5" i="7" s="1"/>
  <c r="BC5" i="7"/>
  <c r="BL5" i="7" s="1"/>
  <c r="BD5" i="7"/>
  <c r="BM5" i="7" s="1"/>
  <c r="BE5" i="7"/>
  <c r="BN5" i="7" s="1"/>
  <c r="BF5" i="7"/>
  <c r="BO5" i="7" s="1"/>
  <c r="BG5" i="7"/>
  <c r="BP5" i="7" s="1"/>
  <c r="BA6" i="7"/>
  <c r="BJ6" i="7" s="1"/>
  <c r="BB6" i="7"/>
  <c r="BK6" i="7" s="1"/>
  <c r="BC6" i="7"/>
  <c r="BL6" i="7" s="1"/>
  <c r="BD6" i="7"/>
  <c r="BM6" i="7" s="1"/>
  <c r="BE6" i="7"/>
  <c r="BN6" i="7" s="1"/>
  <c r="BF6" i="7"/>
  <c r="BO6" i="7" s="1"/>
  <c r="BG6" i="7"/>
  <c r="BP6" i="7" s="1"/>
  <c r="BG4" i="7"/>
  <c r="BP4" i="7" s="1"/>
  <c r="BF4" i="7"/>
  <c r="BO4" i="7" s="1"/>
  <c r="BE4" i="7"/>
  <c r="BN4" i="7" s="1"/>
  <c r="BD4" i="7"/>
  <c r="BM4" i="7" s="1"/>
  <c r="BC4" i="7"/>
  <c r="BL4" i="7" s="1"/>
  <c r="BB4" i="7"/>
  <c r="BK4" i="7" s="1"/>
  <c r="BA4" i="7"/>
  <c r="BJ4" i="7" s="1"/>
  <c r="EG4" i="6"/>
  <c r="EF4" i="6"/>
  <c r="EE4" i="6"/>
  <c r="EC4" i="6"/>
  <c r="EA4" i="6"/>
  <c r="DZ4" i="6"/>
  <c r="DY4" i="6"/>
  <c r="DX4" i="6"/>
  <c r="DW4" i="6"/>
  <c r="DV4" i="6"/>
  <c r="DU4" i="6"/>
  <c r="DT4" i="6"/>
  <c r="DS4" i="6"/>
  <c r="DQ4" i="6"/>
  <c r="DP4" i="6"/>
  <c r="DO4" i="6"/>
  <c r="EN4" i="6" s="1"/>
  <c r="EN212" i="6" s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FN5" i="1" s="1"/>
  <c r="FN85" i="1" s="1"/>
  <c r="B4" i="7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B3" i="5"/>
  <c r="P2" i="5"/>
  <c r="Q2" i="5"/>
  <c r="R2" i="5"/>
  <c r="S2" i="5"/>
  <c r="T2" i="5"/>
  <c r="U2" i="5"/>
  <c r="C2" i="5"/>
  <c r="D2" i="5"/>
  <c r="E2" i="5"/>
  <c r="F2" i="5"/>
  <c r="G2" i="5"/>
  <c r="H2" i="5"/>
  <c r="I2" i="5"/>
  <c r="J2" i="5"/>
  <c r="K2" i="5"/>
  <c r="L2" i="5"/>
  <c r="M2" i="5"/>
  <c r="N2" i="5"/>
  <c r="O2" i="5"/>
  <c r="B2" i="5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BA83" i="5" l="1"/>
  <c r="BB83" i="5"/>
  <c r="BC83" i="5"/>
  <c r="BK84" i="7"/>
  <c r="BL84" i="7"/>
  <c r="BO84" i="7"/>
  <c r="BM84" i="7"/>
  <c r="BN84" i="7"/>
  <c r="BP84" i="7"/>
  <c r="BJ84" i="7"/>
  <c r="BD83" i="5"/>
  <c r="BE4" i="5"/>
  <c r="BF4" i="5" s="1"/>
  <c r="BE3" i="5"/>
  <c r="BE3" i="10"/>
  <c r="BF233" i="10" s="1"/>
  <c r="FH5" i="1"/>
  <c r="EJ4" i="6"/>
  <c r="EK4" i="6"/>
  <c r="EH4" i="6"/>
  <c r="EI4" i="6"/>
  <c r="BF5" i="5"/>
  <c r="BH4" i="7"/>
  <c r="BQ4" i="7" s="1"/>
  <c r="BH6" i="7"/>
  <c r="GM7" i="1" s="1"/>
  <c r="GN7" i="1" s="1"/>
  <c r="BH5" i="7"/>
  <c r="BH4" i="9"/>
  <c r="BQ4" i="9" s="1"/>
  <c r="BQ213" i="9" s="1"/>
  <c r="FJ5" i="1"/>
  <c r="FK5" i="1"/>
  <c r="FI5" i="1"/>
  <c r="BE83" i="5" l="1"/>
  <c r="BQ5" i="7"/>
  <c r="GM6" i="1"/>
  <c r="GN6" i="1" s="1"/>
  <c r="GG5" i="1"/>
  <c r="GG85" i="1" s="1"/>
  <c r="FL5" i="1"/>
  <c r="GM5" i="1" s="1"/>
  <c r="GN5" i="1" s="1"/>
  <c r="BQ6" i="7"/>
  <c r="BF3" i="5"/>
  <c r="BF83" i="5" s="1"/>
  <c r="BF3" i="10"/>
  <c r="EL4" i="6"/>
  <c r="FM4" i="6" s="1"/>
  <c r="FN4" i="6" s="1"/>
  <c r="FB4" i="6"/>
  <c r="FB212" i="6" s="1"/>
  <c r="FF4" i="6"/>
  <c r="FF212" i="6" s="1"/>
  <c r="FD4" i="6"/>
  <c r="FD212" i="6" s="1"/>
  <c r="EZ4" i="6"/>
  <c r="EZ212" i="6" s="1"/>
  <c r="EY4" i="6"/>
  <c r="EY212" i="6" s="1"/>
  <c r="EX4" i="6"/>
  <c r="EX212" i="6" s="1"/>
  <c r="EW4" i="6"/>
  <c r="EW212" i="6" s="1"/>
  <c r="EV4" i="6"/>
  <c r="EV212" i="6" s="1"/>
  <c r="EU4" i="6"/>
  <c r="EU212" i="6" s="1"/>
  <c r="ET4" i="6"/>
  <c r="ET212" i="6" s="1"/>
  <c r="ES4" i="6"/>
  <c r="ES212" i="6" s="1"/>
  <c r="EP4" i="6"/>
  <c r="EP212" i="6" s="1"/>
  <c r="EO4" i="6"/>
  <c r="EO212" i="6" s="1"/>
  <c r="GF5" i="1"/>
  <c r="GF85" i="1" s="1"/>
  <c r="GD5" i="1"/>
  <c r="GD85" i="1" s="1"/>
  <c r="GC5" i="1"/>
  <c r="GC85" i="1" s="1"/>
  <c r="GB5" i="1"/>
  <c r="GB85" i="1" s="1"/>
  <c r="GA5" i="1"/>
  <c r="GA85" i="1" s="1"/>
  <c r="FZ5" i="1"/>
  <c r="FZ85" i="1" s="1"/>
  <c r="FY5" i="1"/>
  <c r="FY85" i="1" s="1"/>
  <c r="FX5" i="1"/>
  <c r="FX85" i="1" s="1"/>
  <c r="FU5" i="1"/>
  <c r="FU85" i="1" s="1"/>
  <c r="FT5" i="1"/>
  <c r="FT85" i="1" s="1"/>
  <c r="BQ84" i="7" l="1"/>
  <c r="GN85" i="1"/>
  <c r="GK5" i="1"/>
  <c r="GK85" i="1" s="1"/>
  <c r="FK4" i="6"/>
  <c r="FI4" i="6"/>
  <c r="FI212" i="6" s="1"/>
  <c r="FW5" i="1"/>
  <c r="FW85" i="1" s="1"/>
  <c r="GI5" i="1"/>
  <c r="GI85" i="1" s="1"/>
  <c r="FV5" i="1"/>
  <c r="FV85" i="1" s="1"/>
  <c r="GJ5" i="1"/>
  <c r="GJ85" i="1" s="1"/>
  <c r="ER4" i="6"/>
  <c r="ER212" i="6" s="1"/>
  <c r="FH4" i="6"/>
  <c r="FH212" i="6" s="1"/>
  <c r="GE5" i="1"/>
  <c r="GE85" i="1" s="1"/>
  <c r="FE4" i="6"/>
  <c r="FE212" i="6" s="1"/>
  <c r="FJ4" i="6"/>
  <c r="FJ212" i="6" s="1"/>
  <c r="FS5" i="1"/>
  <c r="FS85" i="1" s="1"/>
  <c r="FQ5" i="1"/>
  <c r="FQ85" i="1" s="1"/>
  <c r="FP5" i="1"/>
  <c r="FP85" i="1" s="1"/>
  <c r="FO5" i="1"/>
  <c r="FO85" i="1" s="1"/>
  <c r="FG4" i="6" l="1"/>
  <c r="FG212" i="6" s="1"/>
  <c r="FR5" i="1"/>
  <c r="FR85" i="1" s="1"/>
  <c r="GH5" i="1"/>
  <c r="GH85" i="1" s="1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U211" i="9"/>
  <c r="T211" i="9"/>
  <c r="S211" i="9"/>
  <c r="R211" i="9"/>
  <c r="Q211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A211" i="9"/>
  <c r="U210" i="9"/>
  <c r="T210" i="9"/>
  <c r="S210" i="9"/>
  <c r="R210" i="9"/>
  <c r="Q210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A210" i="9"/>
  <c r="U209" i="9"/>
  <c r="T209" i="9"/>
  <c r="S209" i="9"/>
  <c r="R209" i="9"/>
  <c r="Q209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A209" i="9"/>
  <c r="U208" i="9"/>
  <c r="T208" i="9"/>
  <c r="S208" i="9"/>
  <c r="R208" i="9"/>
  <c r="Q208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A208" i="9"/>
  <c r="U207" i="9"/>
  <c r="T207" i="9"/>
  <c r="S207" i="9"/>
  <c r="R207" i="9"/>
  <c r="Q207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A207" i="9"/>
  <c r="U206" i="9"/>
  <c r="T206" i="9"/>
  <c r="S206" i="9"/>
  <c r="R206" i="9"/>
  <c r="Q206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A206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A205" i="9"/>
  <c r="U204" i="9"/>
  <c r="T204" i="9"/>
  <c r="S204" i="9"/>
  <c r="R204" i="9"/>
  <c r="Q204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A204" i="9"/>
  <c r="U203" i="9"/>
  <c r="T203" i="9"/>
  <c r="S203" i="9"/>
  <c r="R203" i="9"/>
  <c r="Q203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A203" i="9"/>
  <c r="U202" i="9"/>
  <c r="T202" i="9"/>
  <c r="S202" i="9"/>
  <c r="R202" i="9"/>
  <c r="Q202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A202" i="9"/>
  <c r="U201" i="9"/>
  <c r="T201" i="9"/>
  <c r="S201" i="9"/>
  <c r="R201" i="9"/>
  <c r="Q201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A201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A200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A199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A198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A197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A196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A195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A194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A193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A192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A191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A190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A189" i="9"/>
  <c r="U188" i="9"/>
  <c r="T188" i="9"/>
  <c r="S188" i="9"/>
  <c r="R188" i="9"/>
  <c r="Q188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A188" i="9"/>
  <c r="U187" i="9"/>
  <c r="T187" i="9"/>
  <c r="S187" i="9"/>
  <c r="R187" i="9"/>
  <c r="Q187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A187" i="9"/>
  <c r="U186" i="9"/>
  <c r="T186" i="9"/>
  <c r="S186" i="9"/>
  <c r="R186" i="9"/>
  <c r="Q186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A186" i="9"/>
  <c r="U185" i="9"/>
  <c r="T185" i="9"/>
  <c r="S185" i="9"/>
  <c r="R185" i="9"/>
  <c r="Q185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A185" i="9"/>
  <c r="U184" i="9"/>
  <c r="T184" i="9"/>
  <c r="S184" i="9"/>
  <c r="R184" i="9"/>
  <c r="Q184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A184" i="9"/>
  <c r="U183" i="9"/>
  <c r="T183" i="9"/>
  <c r="S183" i="9"/>
  <c r="R183" i="9"/>
  <c r="Q183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A183" i="9"/>
  <c r="U182" i="9"/>
  <c r="T182" i="9"/>
  <c r="S182" i="9"/>
  <c r="R182" i="9"/>
  <c r="Q182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A182" i="9"/>
  <c r="U181" i="9"/>
  <c r="T181" i="9"/>
  <c r="S181" i="9"/>
  <c r="R181" i="9"/>
  <c r="Q181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A181" i="9"/>
  <c r="U180" i="9"/>
  <c r="T180" i="9"/>
  <c r="S180" i="9"/>
  <c r="R180" i="9"/>
  <c r="Q180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A180" i="9"/>
  <c r="U179" i="9"/>
  <c r="T179" i="9"/>
  <c r="S179" i="9"/>
  <c r="R179" i="9"/>
  <c r="Q179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A179" i="9"/>
  <c r="U178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A178" i="9"/>
  <c r="U177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A177" i="9"/>
  <c r="U176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A176" i="9"/>
  <c r="U175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A175" i="9"/>
  <c r="U174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A174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A173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A172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A171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A170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A169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A168" i="9"/>
  <c r="U167" i="9"/>
  <c r="T167" i="9"/>
  <c r="S167" i="9"/>
  <c r="R167" i="9"/>
  <c r="Q167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A167" i="9"/>
  <c r="U166" i="9"/>
  <c r="T166" i="9"/>
  <c r="S166" i="9"/>
  <c r="R166" i="9"/>
  <c r="Q166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A166" i="9"/>
  <c r="U165" i="9"/>
  <c r="T165" i="9"/>
  <c r="S165" i="9"/>
  <c r="R165" i="9"/>
  <c r="Q165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A165" i="9"/>
  <c r="U164" i="9"/>
  <c r="T164" i="9"/>
  <c r="S164" i="9"/>
  <c r="R164" i="9"/>
  <c r="Q164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A164" i="9"/>
  <c r="U163" i="9"/>
  <c r="T163" i="9"/>
  <c r="S163" i="9"/>
  <c r="R163" i="9"/>
  <c r="Q163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A163" i="9"/>
  <c r="U162" i="9"/>
  <c r="T162" i="9"/>
  <c r="S162" i="9"/>
  <c r="R162" i="9"/>
  <c r="Q162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A162" i="9"/>
  <c r="U161" i="9"/>
  <c r="T161" i="9"/>
  <c r="S161" i="9"/>
  <c r="R161" i="9"/>
  <c r="Q161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A161" i="9"/>
  <c r="U160" i="9"/>
  <c r="T160" i="9"/>
  <c r="S160" i="9"/>
  <c r="R160" i="9"/>
  <c r="Q160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A160" i="9"/>
  <c r="U159" i="9"/>
  <c r="T159" i="9"/>
  <c r="S159" i="9"/>
  <c r="R159" i="9"/>
  <c r="Q159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A159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A158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A157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A156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A155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A154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A153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A152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A151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A150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A149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A148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A147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A146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A145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144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143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142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141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140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139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138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137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136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135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134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133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A132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A131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A130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A129" i="9"/>
  <c r="U128" i="9"/>
  <c r="T128" i="9"/>
  <c r="S128" i="9"/>
  <c r="R128" i="9"/>
  <c r="Q128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A128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A127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A126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A125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A124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A123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A122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A121" i="9"/>
  <c r="U120" i="9"/>
  <c r="T120" i="9"/>
  <c r="S120" i="9"/>
  <c r="R120" i="9"/>
  <c r="Q120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A120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A119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A118" i="9"/>
  <c r="U117" i="9"/>
  <c r="T117" i="9"/>
  <c r="S117" i="9"/>
  <c r="R117" i="9"/>
  <c r="Q117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A117" i="9"/>
  <c r="U116" i="9"/>
  <c r="T116" i="9"/>
  <c r="S116" i="9"/>
  <c r="R116" i="9"/>
  <c r="Q116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A116" i="9"/>
  <c r="U115" i="9"/>
  <c r="T115" i="9"/>
  <c r="S115" i="9"/>
  <c r="R115" i="9"/>
  <c r="Q115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A115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A114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A113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A112" i="9"/>
  <c r="U111" i="9"/>
  <c r="T111" i="9"/>
  <c r="S111" i="9"/>
  <c r="R111" i="9"/>
  <c r="Q111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A111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A110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A109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A108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A107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A106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A105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A104" i="9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A103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A102" i="9"/>
  <c r="U101" i="9"/>
  <c r="T101" i="9"/>
  <c r="S101" i="9"/>
  <c r="R101" i="9"/>
  <c r="Q101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A101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A100" i="9"/>
  <c r="U99" i="9"/>
  <c r="T99" i="9"/>
  <c r="S99" i="9"/>
  <c r="R99" i="9"/>
  <c r="Q99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A99" i="9"/>
  <c r="U98" i="9"/>
  <c r="T98" i="9"/>
  <c r="S98" i="9"/>
  <c r="R98" i="9"/>
  <c r="Q98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A98" i="9"/>
  <c r="U97" i="9"/>
  <c r="T97" i="9"/>
  <c r="S97" i="9"/>
  <c r="R97" i="9"/>
  <c r="Q97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A97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96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95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94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93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92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91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90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89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88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87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86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85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84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83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82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81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80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79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78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77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76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75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74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73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72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71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64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63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51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A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A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7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6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5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<sst xmlns="http://schemas.openxmlformats.org/spreadsheetml/2006/main" count="1797" uniqueCount="192">
  <si>
    <t>LIDERERAZGO Y RELACIONES EN EL TRABAJO</t>
  </si>
  <si>
    <t>CONTROL SOBRE EL TRABAJO</t>
  </si>
  <si>
    <t>DEMANDAS DEL TRABAJO</t>
  </si>
  <si>
    <t>RECOMPENSAS</t>
  </si>
  <si>
    <t>DOMINIOS</t>
  </si>
  <si>
    <t>TOTALES</t>
  </si>
  <si>
    <t>PREGUNTAS</t>
  </si>
  <si>
    <t>DIMENSION 1</t>
  </si>
  <si>
    <t>DIMENSION 2</t>
  </si>
  <si>
    <t>DIMENSION 3</t>
  </si>
  <si>
    <t>DIMENSION 4</t>
  </si>
  <si>
    <t>TOTAL DIMENSIONES</t>
  </si>
  <si>
    <t>CATEGORIAS</t>
  </si>
  <si>
    <t xml:space="preserve">TOTAL </t>
  </si>
  <si>
    <t>T. TRANSFORMACIONAL</t>
  </si>
  <si>
    <t>Nombre</t>
  </si>
  <si>
    <t>Identificacion</t>
  </si>
  <si>
    <t>Sexo</t>
  </si>
  <si>
    <t>Año Nacimiento</t>
  </si>
  <si>
    <t>Estado Civil</t>
  </si>
  <si>
    <t>Ultimo nivel de estudio</t>
  </si>
  <si>
    <t>Ocupacion/Profesion</t>
  </si>
  <si>
    <t>Lugar de Residencia</t>
  </si>
  <si>
    <t>Estrato</t>
  </si>
  <si>
    <t>Tipo de Vivienda</t>
  </si>
  <si>
    <t>Numero de personas a cargo</t>
  </si>
  <si>
    <t>Lugar donde trabaja actualmente</t>
  </si>
  <si>
    <t>Tiempo de trabajo en la empresa</t>
  </si>
  <si>
    <t>Cargo actual</t>
  </si>
  <si>
    <t>Selecciones el tipo de cargo</t>
  </si>
  <si>
    <t>Hace cuantos años que desempeña el cargo u oficio en la empresa</t>
  </si>
  <si>
    <t>Nombre del area o seccion de la empresa en el que trabaja</t>
  </si>
  <si>
    <t>Tipo de contrato</t>
  </si>
  <si>
    <t>Horas diarias de trabajo al dia</t>
  </si>
  <si>
    <t>Tipo de salario que recibe</t>
  </si>
  <si>
    <t>FICHA DE DATOS GENERALES</t>
  </si>
  <si>
    <t>Item</t>
  </si>
  <si>
    <t>ITEM</t>
  </si>
  <si>
    <t>Caracteristicas del Liderazgo</t>
  </si>
  <si>
    <t>Relaciones sociales en el trabajo</t>
  </si>
  <si>
    <t>Retroalimentacion del desempeño</t>
  </si>
  <si>
    <t>Relacion con los colaboradores</t>
  </si>
  <si>
    <t>Capacitacion</t>
  </si>
  <si>
    <t>Participacion y manejo del cambio</t>
  </si>
  <si>
    <t>Oportunidades para el uso y desarrollo de habilidades y conocimientos</t>
  </si>
  <si>
    <t>Control y autonomia sobre el trabajo</t>
  </si>
  <si>
    <t>Demandas ambientales y de esfuerzo fisico</t>
  </si>
  <si>
    <t>Demandas emocionales</t>
  </si>
  <si>
    <t>Demandas cualitativas</t>
  </si>
  <si>
    <t>Influencia del trabajo sobre el entorno extralaboral</t>
  </si>
  <si>
    <t>Exigencias de responsabilidad del cargo</t>
  </si>
  <si>
    <t>Demandas de carga mental</t>
  </si>
  <si>
    <t>Consistencia del Rol</t>
  </si>
  <si>
    <t>Demandas de la jornada de trabajo</t>
  </si>
  <si>
    <t>Recompensas derivadas de la pertenencia a la organización y del trabajo que se realiza</t>
  </si>
  <si>
    <t>Reconocimientos y compensacion</t>
  </si>
  <si>
    <t>LIDERAZGO Y RELACIONES SOCIALES EN EL TRABAJO</t>
  </si>
  <si>
    <t>DOMINIO 1</t>
  </si>
  <si>
    <t>DOMINIO 2</t>
  </si>
  <si>
    <t>DOMINIO 3</t>
  </si>
  <si>
    <t>DOMINIO 4</t>
  </si>
  <si>
    <t>VALOR TOTAL POR DOMINIOS</t>
  </si>
  <si>
    <t>Claridad del Rol</t>
  </si>
  <si>
    <t>Total General Factores de Riesgo Psicosocial Intralaboral</t>
  </si>
  <si>
    <t>SIN RIESGO</t>
  </si>
  <si>
    <t>RIESGO BAJO</t>
  </si>
  <si>
    <t>RIESGO MEDIO</t>
  </si>
  <si>
    <t>RIESGO ALTO</t>
  </si>
  <si>
    <t>RIESGO MUY ALTO</t>
  </si>
  <si>
    <t>No aplica</t>
  </si>
  <si>
    <t>No evalua</t>
  </si>
  <si>
    <t>Tiempo Fuera del Trabajo</t>
  </si>
  <si>
    <t>Relaciones Familiares</t>
  </si>
  <si>
    <t>Comunicación y relaciones interpersonales</t>
  </si>
  <si>
    <t>Situacion Economica del Grupo Familiar</t>
  </si>
  <si>
    <t>Caracteristicas de la Vivienda y de su entorno</t>
  </si>
  <si>
    <t>Influencia del entorno extralaboral sobre el trabajo</t>
  </si>
  <si>
    <t>Desplazamiento vivienda - Trabajo -  Vivienda</t>
  </si>
  <si>
    <t>DATOS GENERALES</t>
  </si>
  <si>
    <t>Influencia del Entorno extralaboral sobre el trabajo</t>
  </si>
  <si>
    <t>Desplazamiento vivienda - Trabajo - Vivienda</t>
  </si>
  <si>
    <t xml:space="preserve">PUNTAJE TOTAL DEL CUESTIONARIO FRPE </t>
  </si>
  <si>
    <t>PUNTAJE TOTAL TRANSFORMADO</t>
  </si>
  <si>
    <t xml:space="preserve">PUNTAJE BRUTO TOTAL </t>
  </si>
  <si>
    <t>SUBTOTALES - CATEGORIAS</t>
  </si>
  <si>
    <t>CONVENCIONES PARA INTERPRETACION</t>
  </si>
  <si>
    <t>Puntaje Total de la Evaluacion General de factores de riesgo psicosocial (Suma intra + extra)</t>
  </si>
  <si>
    <t>Sumatoria Intra - Extra Forma A</t>
  </si>
  <si>
    <t>Factores de Transformacion para el total de la evaluacion general de factores de riesgo psicosocial (Intra y Extra)</t>
  </si>
  <si>
    <t>Sumatoria Intra - Extra Forma B</t>
  </si>
  <si>
    <t>Sintomas Fisiologicos</t>
  </si>
  <si>
    <t>Sintomas de Comportamiento Social</t>
  </si>
  <si>
    <t>Sintomas Intelectuales y Laborales</t>
  </si>
  <si>
    <t>Sintomas Psicoemocionales</t>
  </si>
  <si>
    <t>Departamento, area o seccion de la empresa en el que trabaja</t>
  </si>
  <si>
    <t>Propia</t>
  </si>
  <si>
    <t>Post-grado completo</t>
  </si>
  <si>
    <t>Profesional, analista, tecnico, tecnologo</t>
  </si>
  <si>
    <t>Termino Indefinido</t>
  </si>
  <si>
    <t>Jefatura - tiene personal a cargo</t>
  </si>
  <si>
    <t>Union Libre</t>
  </si>
  <si>
    <t>f</t>
  </si>
  <si>
    <t>Neiva</t>
  </si>
  <si>
    <t>Neiva - Huila</t>
  </si>
  <si>
    <t xml:space="preserve">Fijo </t>
  </si>
  <si>
    <t>m</t>
  </si>
  <si>
    <t>Seleccione el tipo de cargo</t>
  </si>
  <si>
    <t>Familiar</t>
  </si>
  <si>
    <t>Menos de 1 año</t>
  </si>
  <si>
    <t>Divorciado (a)</t>
  </si>
  <si>
    <t>Soltero (a)</t>
  </si>
  <si>
    <t>Casado (a)</t>
  </si>
  <si>
    <t>Mas de 1 año</t>
  </si>
  <si>
    <t>Profesional, analista, técnico, tecnólogo</t>
  </si>
  <si>
    <t>Temporal de menos de 1 año</t>
  </si>
  <si>
    <t>En arriendo</t>
  </si>
  <si>
    <t>Fijo</t>
  </si>
  <si>
    <t>Prestacion de servicios</t>
  </si>
  <si>
    <t>Viudo (a)</t>
  </si>
  <si>
    <t>8 años</t>
  </si>
  <si>
    <t xml:space="preserve">ALEJANDRA TATIANA MURCIA ORBE </t>
  </si>
  <si>
    <t xml:space="preserve">PROFESIONAL </t>
  </si>
  <si>
    <t xml:space="preserve">INGENIERO ELECTRONICO </t>
  </si>
  <si>
    <t xml:space="preserve">ingeniero de mantenimiento  biomedico </t>
  </si>
  <si>
    <t xml:space="preserve">ingenieria </t>
  </si>
  <si>
    <t xml:space="preserve">FRANCISCO JAVIER COLLAZOS </t>
  </si>
  <si>
    <t>MANTENIMIENTO BIOMEDICO</t>
  </si>
  <si>
    <t xml:space="preserve">TECNICO / TECNOLOGICO COMPLETO </t>
  </si>
  <si>
    <t xml:space="preserve">Temporal de 1 año o mas </t>
  </si>
  <si>
    <t xml:space="preserve">Mantenimiento Biomedico </t>
  </si>
  <si>
    <t xml:space="preserve">Operario Operador , ayudante, servicios generales </t>
  </si>
  <si>
    <t xml:space="preserve">2 años </t>
  </si>
  <si>
    <t xml:space="preserve">sandra yadira parada </t>
  </si>
  <si>
    <t xml:space="preserve">REGENCIA DE FARMACIA </t>
  </si>
  <si>
    <t xml:space="preserve">Regente de Farmacia </t>
  </si>
  <si>
    <t xml:space="preserve">Almacen </t>
  </si>
  <si>
    <t xml:space="preserve">Ever toledo ramon </t>
  </si>
  <si>
    <t xml:space="preserve">BACHILLERATO COMPLETO </t>
  </si>
  <si>
    <t xml:space="preserve">CONDUCTOR </t>
  </si>
  <si>
    <t xml:space="preserve">Conductor /Mensajero </t>
  </si>
  <si>
    <t xml:space="preserve">10 años </t>
  </si>
  <si>
    <t xml:space="preserve">Deicy Cleves  Mora </t>
  </si>
  <si>
    <t xml:space="preserve">EMPLEADA </t>
  </si>
  <si>
    <t xml:space="preserve">Asistente Administrativa y Comercial </t>
  </si>
  <si>
    <t xml:space="preserve">Auxiliar, asistente , administrativo, asistente tecnico </t>
  </si>
  <si>
    <t>Temporal  de 1 año o mas</t>
  </si>
  <si>
    <t xml:space="preserve">Area comercial y administrativa </t>
  </si>
  <si>
    <t xml:space="preserve">juan Carlos Lopez Gutierrez </t>
  </si>
  <si>
    <t xml:space="preserve">3 años </t>
  </si>
  <si>
    <t xml:space="preserve">Auxiliar de almacen  y conductor </t>
  </si>
  <si>
    <t xml:space="preserve">Jorge Enrique Tovar Ortiz </t>
  </si>
  <si>
    <t xml:space="preserve">TECNICO EN SERVICIOS FARMACEUTICOS </t>
  </si>
  <si>
    <t xml:space="preserve">Auxiliar de almacen </t>
  </si>
  <si>
    <t xml:space="preserve">Viviana Lozano </t>
  </si>
  <si>
    <t xml:space="preserve">tECNICO / TECNOLOGICO COMPLETO </t>
  </si>
  <si>
    <t xml:space="preserve">ALMACENISTA </t>
  </si>
  <si>
    <t xml:space="preserve">Almacenista </t>
  </si>
  <si>
    <t xml:space="preserve">Claudia Marithza Rincon </t>
  </si>
  <si>
    <t xml:space="preserve">Auxiliar de servivios generales </t>
  </si>
  <si>
    <t xml:space="preserve">Huila- aseo </t>
  </si>
  <si>
    <t xml:space="preserve">Hector Oswaldo </t>
  </si>
  <si>
    <t xml:space="preserve">ASESOR COMERCIAL </t>
  </si>
  <si>
    <t xml:space="preserve">PROFESIONAL INCOMPLETO </t>
  </si>
  <si>
    <t xml:space="preserve">Asesor Comercial </t>
  </si>
  <si>
    <t xml:space="preserve">Comercial </t>
  </si>
  <si>
    <t>Juan Pablo Cordoba</t>
  </si>
  <si>
    <t xml:space="preserve">AUXILIAR DE ALMACEN </t>
  </si>
  <si>
    <t xml:space="preserve">Daniela Castro  Hernandez </t>
  </si>
  <si>
    <t xml:space="preserve">TECNICO ADMINISTRATIVA </t>
  </si>
  <si>
    <t xml:space="preserve">1 año </t>
  </si>
  <si>
    <t xml:space="preserve">Diva Cristina Suarez </t>
  </si>
  <si>
    <t xml:space="preserve">Ventas- comercial </t>
  </si>
  <si>
    <t xml:space="preserve">Jesus Andres Sanchez </t>
  </si>
  <si>
    <t xml:space="preserve">POSGRADO COMPLETO </t>
  </si>
  <si>
    <t xml:space="preserve">BACTERIOLOGO </t>
  </si>
  <si>
    <t xml:space="preserve">8 años </t>
  </si>
  <si>
    <t xml:space="preserve">Asesor comercial - Técnico Cientifico </t>
  </si>
  <si>
    <t xml:space="preserve">Leonardo Penagos Cardozo </t>
  </si>
  <si>
    <t xml:space="preserve">PROFESIONAL COMPLETO </t>
  </si>
  <si>
    <t xml:space="preserve">Adriana Katheribe Farfan </t>
  </si>
  <si>
    <t>Casado</t>
  </si>
  <si>
    <t>Post-grado incompleto</t>
  </si>
  <si>
    <t xml:space="preserve">Ingeniero industrial </t>
  </si>
  <si>
    <t xml:space="preserve">Administrdora </t>
  </si>
  <si>
    <t>Administración</t>
  </si>
  <si>
    <t xml:space="preserve">Ever Adames Ramón </t>
  </si>
  <si>
    <t xml:space="preserve">Ingeniero </t>
  </si>
  <si>
    <t>20 años</t>
  </si>
  <si>
    <t xml:space="preserve">Gerente </t>
  </si>
  <si>
    <t>10 años</t>
  </si>
  <si>
    <t xml:space="preserve">Gerencia </t>
  </si>
  <si>
    <t>Una Parte fija y otra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</si>
</sst>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;[Red]0"/>
  </numFmts>
  <fonts count="1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ahoma"/>
      <family val="2"/>
    </font>
    <font>
      <b/>
      <sz val="10"/>
      <color theme="1"/>
      <name val="Abadi Extra Light"/>
      <family val="2"/>
    </font>
    <font>
      <sz val="10"/>
      <color theme="1"/>
      <name val="Abadi Extra Light"/>
      <family val="2"/>
    </font>
    <font>
      <u/>
      <sz val="10"/>
      <color theme="10"/>
      <name val="Abadi Extra Light"/>
      <family val="2"/>
    </font>
    <font>
      <b/>
      <sz val="10"/>
      <name val="Abadi Extra Light"/>
      <family val="2"/>
    </font>
    <font>
      <sz val="10"/>
      <name val="Abadi Extra Light"/>
      <family val="2"/>
    </font>
    <font>
      <sz val="11"/>
      <color theme="1"/>
      <name val="Abadi Extra Light"/>
      <family val="2"/>
    </font>
    <font>
      <b/>
      <sz val="11"/>
      <color theme="1"/>
      <name val="Abadi Extra Light"/>
      <family val="2"/>
    </font>
    <font>
      <sz val="8"/>
      <name val="Calibri"/>
      <family val="2"/>
      <scheme val="minor"/>
    </font>
    <font>
      <sz val="10"/>
      <color rgb="FFFF0000"/>
      <name val="Abadi Extra Light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2" borderId="6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1" applyFont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" fillId="0" borderId="24" xfId="0" applyFont="1" applyBorder="1"/>
    <xf numFmtId="0" fontId="4" fillId="6" borderId="0" xfId="0" applyFont="1" applyFill="1" applyAlignment="1">
      <alignment horizontal="center"/>
    </xf>
    <xf numFmtId="0" fontId="3" fillId="9" borderId="11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7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3" fillId="9" borderId="30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47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 wrapText="1"/>
    </xf>
    <xf numFmtId="0" fontId="3" fillId="11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12" borderId="12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0" fontId="4" fillId="1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0" xfId="0" applyNumberFormat="1"/>
    <xf numFmtId="164" fontId="3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164" fontId="4" fillId="0" borderId="0" xfId="0" applyNumberFormat="1" applyFont="1"/>
    <xf numFmtId="164" fontId="4" fillId="0" borderId="0" xfId="0" applyNumberFormat="1" applyFont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8" fillId="11" borderId="28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vertical="center"/>
    </xf>
    <xf numFmtId="164" fontId="4" fillId="0" borderId="30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3" fillId="12" borderId="6" xfId="0" applyFont="1" applyFill="1" applyBorder="1" applyAlignment="1">
      <alignment horizontal="center" vertical="center" wrapText="1"/>
    </xf>
    <xf numFmtId="0" fontId="7" fillId="0" borderId="0" xfId="0" applyFont="1"/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 wrapText="1"/>
    </xf>
    <xf numFmtId="164" fontId="3" fillId="13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 vertical="center"/>
    </xf>
    <xf numFmtId="164" fontId="0" fillId="12" borderId="0" xfId="0" applyNumberFormat="1" applyFill="1" applyAlignment="1">
      <alignment horizontal="center"/>
    </xf>
    <xf numFmtId="0" fontId="3" fillId="0" borderId="56" xfId="0" applyFont="1" applyBorder="1"/>
    <xf numFmtId="0" fontId="3" fillId="0" borderId="28" xfId="0" applyFont="1" applyBorder="1"/>
    <xf numFmtId="0" fontId="3" fillId="0" borderId="48" xfId="0" applyFont="1" applyBorder="1"/>
    <xf numFmtId="0" fontId="3" fillId="5" borderId="45" xfId="0" applyFont="1" applyFill="1" applyBorder="1" applyAlignment="1">
      <alignment vertical="center"/>
    </xf>
    <xf numFmtId="0" fontId="3" fillId="0" borderId="45" xfId="0" applyFont="1" applyBorder="1" applyAlignment="1">
      <alignment horizontal="center" vertical="center" wrapText="1"/>
    </xf>
    <xf numFmtId="0" fontId="3" fillId="12" borderId="4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15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/>
    </xf>
    <xf numFmtId="0" fontId="4" fillId="16" borderId="0" xfId="0" applyFont="1" applyFill="1" applyAlignment="1">
      <alignment horizontal="center"/>
    </xf>
    <xf numFmtId="0" fontId="4" fillId="0" borderId="0" xfId="0" applyFont="1" applyAlignment="1"/>
    <xf numFmtId="165" fontId="4" fillId="2" borderId="6" xfId="0" applyNumberFormat="1" applyFont="1" applyFill="1" applyBorder="1" applyAlignment="1">
      <alignment vertical="center"/>
    </xf>
    <xf numFmtId="0" fontId="4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10" borderId="44" xfId="0" applyFont="1" applyFill="1" applyBorder="1" applyAlignment="1">
      <alignment horizontal="center" vertical="center"/>
    </xf>
    <xf numFmtId="0" fontId="3" fillId="10" borderId="45" xfId="0" applyFont="1" applyFill="1" applyBorder="1" applyAlignment="1">
      <alignment horizontal="center" vertical="center"/>
    </xf>
    <xf numFmtId="0" fontId="3" fillId="10" borderId="4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9" borderId="44" xfId="0" applyFont="1" applyFill="1" applyBorder="1" applyAlignment="1">
      <alignment horizontal="center" vertical="center" wrapText="1"/>
    </xf>
    <xf numFmtId="0" fontId="3" fillId="9" borderId="45" xfId="0" applyFont="1" applyFill="1" applyBorder="1" applyAlignment="1">
      <alignment horizontal="center" vertical="center" wrapText="1"/>
    </xf>
    <xf numFmtId="0" fontId="3" fillId="9" borderId="46" xfId="0" applyFont="1" applyFill="1" applyBorder="1" applyAlignment="1">
      <alignment horizontal="center" vertical="center" wrapText="1"/>
    </xf>
    <xf numFmtId="0" fontId="3" fillId="11" borderId="44" xfId="0" applyFont="1" applyFill="1" applyBorder="1" applyAlignment="1">
      <alignment horizontal="center" vertical="center"/>
    </xf>
    <xf numFmtId="0" fontId="3" fillId="11" borderId="45" xfId="0" applyFont="1" applyFill="1" applyBorder="1" applyAlignment="1">
      <alignment horizontal="center" vertical="center"/>
    </xf>
    <xf numFmtId="0" fontId="3" fillId="11" borderId="46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horizontal="center" vertical="center"/>
    </xf>
    <xf numFmtId="0" fontId="3" fillId="8" borderId="3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12" borderId="26" xfId="0" applyFont="1" applyFill="1" applyBorder="1" applyAlignment="1">
      <alignment horizontal="center" vertical="center" wrapText="1"/>
    </xf>
    <xf numFmtId="0" fontId="3" fillId="12" borderId="27" xfId="0" applyFont="1" applyFill="1" applyBorder="1" applyAlignment="1">
      <alignment horizontal="center" vertical="center" wrapText="1"/>
    </xf>
    <xf numFmtId="0" fontId="3" fillId="12" borderId="25" xfId="0" applyFont="1" applyFill="1" applyBorder="1" applyAlignment="1">
      <alignment horizontal="center" vertical="center" wrapText="1"/>
    </xf>
    <xf numFmtId="0" fontId="3" fillId="12" borderId="51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20" xfId="0" applyFont="1" applyFill="1" applyBorder="1" applyAlignment="1">
      <alignment horizontal="center" vertical="center" wrapText="1"/>
    </xf>
    <xf numFmtId="0" fontId="3" fillId="12" borderId="21" xfId="0" applyFont="1" applyFill="1" applyBorder="1" applyAlignment="1">
      <alignment horizontal="center" vertical="center" wrapText="1"/>
    </xf>
    <xf numFmtId="0" fontId="3" fillId="12" borderId="22" xfId="0" applyFont="1" applyFill="1" applyBorder="1" applyAlignment="1">
      <alignment horizontal="center" vertical="center" wrapText="1"/>
    </xf>
    <xf numFmtId="0" fontId="3" fillId="12" borderId="53" xfId="0" applyFont="1" applyFill="1" applyBorder="1" applyAlignment="1">
      <alignment horizontal="center" vertical="center"/>
    </xf>
    <xf numFmtId="0" fontId="3" fillId="12" borderId="54" xfId="0" applyFont="1" applyFill="1" applyBorder="1" applyAlignment="1">
      <alignment horizontal="center" vertical="center"/>
    </xf>
    <xf numFmtId="0" fontId="3" fillId="12" borderId="5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12" borderId="0" xfId="0" applyFont="1" applyFill="1" applyAlignment="1">
      <alignment horizontal="center" vertical="center" wrapText="1"/>
    </xf>
    <xf numFmtId="0" fontId="3" fillId="12" borderId="47" xfId="0" applyFont="1" applyFill="1" applyBorder="1" applyAlignment="1">
      <alignment horizontal="center" vertical="center"/>
    </xf>
    <xf numFmtId="0" fontId="3" fillId="12" borderId="43" xfId="0" applyFont="1" applyFill="1" applyBorder="1" applyAlignment="1">
      <alignment horizontal="center" vertical="center"/>
    </xf>
    <xf numFmtId="0" fontId="8" fillId="12" borderId="38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4" fillId="6" borderId="48" xfId="0" applyFont="1" applyFill="1" applyBorder="1" applyAlignment="1">
      <alignment horizontal="center" vertical="center"/>
    </xf>
    <xf numFmtId="0" fontId="4" fillId="6" borderId="49" xfId="0" applyFont="1" applyFill="1" applyBorder="1" applyAlignment="1">
      <alignment horizontal="center" vertical="center"/>
    </xf>
    <xf numFmtId="0" fontId="4" fillId="6" borderId="50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29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2" fillId="11" borderId="48" xfId="0" applyFont="1" applyFill="1" applyBorder="1" applyAlignment="1">
      <alignment horizontal="center" vertical="center"/>
    </xf>
    <xf numFmtId="0" fontId="2" fillId="11" borderId="49" xfId="0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29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4" fillId="6" borderId="39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3" fillId="12" borderId="15" xfId="0" applyFont="1" applyFill="1" applyBorder="1" applyAlignment="1">
      <alignment horizontal="center"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horizontal="center" vertical="center" wrapText="1"/>
    </xf>
    <xf numFmtId="0" fontId="3" fillId="9" borderId="49" xfId="0" applyFont="1" applyFill="1" applyBorder="1" applyAlignment="1">
      <alignment horizontal="center" vertical="center" wrapText="1"/>
    </xf>
    <xf numFmtId="0" fontId="3" fillId="9" borderId="50" xfId="0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/>
    </xf>
    <xf numFmtId="0" fontId="3" fillId="11" borderId="33" xfId="0" applyFont="1" applyFill="1" applyBorder="1" applyAlignment="1">
      <alignment horizontal="center" vertical="center"/>
    </xf>
    <xf numFmtId="0" fontId="3" fillId="11" borderId="41" xfId="0" applyFont="1" applyFill="1" applyBorder="1" applyAlignment="1">
      <alignment horizontal="center" vertical="center"/>
    </xf>
    <xf numFmtId="0" fontId="3" fillId="11" borderId="42" xfId="0" applyFont="1" applyFill="1" applyBorder="1" applyAlignment="1">
      <alignment horizontal="center" vertical="center"/>
    </xf>
    <xf numFmtId="0" fontId="3" fillId="8" borderId="40" xfId="0" applyFont="1" applyFill="1" applyBorder="1" applyAlignment="1">
      <alignment horizontal="center" vertical="center"/>
    </xf>
    <xf numFmtId="0" fontId="3" fillId="8" borderId="42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9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39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Hipervínculo" xfId="1" builtinId="8"/>
    <cellStyle name="Normal" xfId="0" builtinId="0"/>
  </cellStyles>
  <dxfs count="318"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9FD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N159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6" sqref="P6"/>
    </sheetView>
  </sheetViews>
  <sheetFormatPr baseColWidth="10" defaultColWidth="10.81640625" defaultRowHeight="12.5"/>
  <cols>
    <col min="1" max="1" width="7.1796875" style="6" customWidth="1"/>
    <col min="2" max="2" width="24.81640625" style="6" customWidth="1"/>
    <col min="3" max="3" width="13.453125" style="6" customWidth="1"/>
    <col min="4" max="6" width="10.81640625" style="6"/>
    <col min="7" max="7" width="24" style="6" customWidth="1"/>
    <col min="8" max="8" width="21.54296875" style="6" customWidth="1"/>
    <col min="9" max="12" width="10.81640625" style="6"/>
    <col min="13" max="13" width="35.7265625" style="6" customWidth="1"/>
    <col min="14" max="14" width="15.453125" style="6" customWidth="1"/>
    <col min="15" max="15" width="34.1796875" style="6" customWidth="1"/>
    <col min="16" max="16" width="37.453125" style="6" customWidth="1"/>
    <col min="17" max="17" width="19.54296875" style="6" customWidth="1"/>
    <col min="18" max="18" width="35.54296875" style="6" customWidth="1"/>
    <col min="19" max="19" width="22.26953125" style="6" customWidth="1"/>
    <col min="20" max="20" width="13.1796875" style="6" customWidth="1"/>
    <col min="21" max="21" width="10.81640625" style="6"/>
    <col min="22" max="144" width="3.81640625" style="6" customWidth="1"/>
    <col min="145" max="145" width="10.7265625" style="6" customWidth="1"/>
    <col min="146" max="146" width="8.453125" style="6" customWidth="1"/>
    <col min="147" max="147" width="10.453125" style="6" customWidth="1"/>
    <col min="148" max="148" width="11.81640625" style="6" customWidth="1"/>
    <col min="149" max="149" width="10" style="6" customWidth="1"/>
    <col min="150" max="150" width="10.54296875" style="6" customWidth="1"/>
    <col min="151" max="151" width="10.26953125" style="6" customWidth="1"/>
    <col min="152" max="152" width="21.1796875" style="6" customWidth="1"/>
    <col min="153" max="153" width="11.81640625" style="6" customWidth="1"/>
    <col min="154" max="154" width="13.81640625" style="6" customWidth="1"/>
    <col min="155" max="155" width="9.7265625" style="6" customWidth="1"/>
    <col min="156" max="156" width="8.453125" style="6" customWidth="1"/>
    <col min="157" max="157" width="16.81640625" style="6" customWidth="1"/>
    <col min="158" max="158" width="14.1796875" style="6" customWidth="1"/>
    <col min="159" max="159" width="10.1796875" style="6" customWidth="1"/>
    <col min="160" max="160" width="10.54296875" style="6" customWidth="1"/>
    <col min="161" max="161" width="11.81640625" style="6" customWidth="1"/>
    <col min="162" max="162" width="23" style="6" customWidth="1"/>
    <col min="163" max="163" width="17.1796875" style="6" customWidth="1"/>
    <col min="164" max="164" width="23.1796875" style="6" customWidth="1"/>
    <col min="165" max="165" width="16.1796875" style="6" customWidth="1"/>
    <col min="166" max="166" width="14.81640625" style="6" customWidth="1"/>
    <col min="167" max="167" width="16.453125" style="6" customWidth="1"/>
    <col min="168" max="168" width="19" style="6" customWidth="1"/>
    <col min="169" max="169" width="10.81640625" style="6"/>
    <col min="170" max="170" width="11.54296875" style="3" customWidth="1"/>
    <col min="171" max="171" width="13.81640625" style="3" customWidth="1"/>
    <col min="172" max="172" width="12.453125" style="3" customWidth="1"/>
    <col min="173" max="173" width="12.81640625" style="3" customWidth="1"/>
    <col min="174" max="174" width="11.1796875" style="3" customWidth="1"/>
    <col min="175" max="175" width="10.1796875" style="3" customWidth="1"/>
    <col min="176" max="176" width="12.54296875" style="3" customWidth="1"/>
    <col min="177" max="177" width="21.26953125" style="3" customWidth="1"/>
    <col min="178" max="178" width="12.81640625" style="3" customWidth="1"/>
    <col min="179" max="179" width="13.1796875" style="3" customWidth="1"/>
    <col min="180" max="180" width="11.81640625" style="3" customWidth="1"/>
    <col min="181" max="181" width="8.54296875" style="3" customWidth="1"/>
    <col min="182" max="182" width="14.81640625" style="3" customWidth="1"/>
    <col min="183" max="183" width="12.81640625" style="3" customWidth="1"/>
    <col min="184" max="184" width="8.54296875" style="3" customWidth="1"/>
    <col min="185" max="185" width="10.26953125" style="3" customWidth="1"/>
    <col min="186" max="186" width="12.81640625" style="3" customWidth="1"/>
    <col min="187" max="187" width="23.453125" style="3" customWidth="1"/>
    <col min="188" max="188" width="16.54296875" style="3" customWidth="1"/>
    <col min="189" max="189" width="20.54296875" style="6" customWidth="1"/>
    <col min="190" max="190" width="14.54296875" style="6" customWidth="1"/>
    <col min="191" max="191" width="12.54296875" style="6" customWidth="1"/>
    <col min="192" max="192" width="14.54296875" style="6" customWidth="1"/>
    <col min="193" max="193" width="19.81640625" style="6" customWidth="1"/>
    <col min="194" max="194" width="10.81640625" style="6"/>
    <col min="195" max="195" width="19.453125" style="6" customWidth="1"/>
    <col min="196" max="196" width="29.7265625" style="6" customWidth="1"/>
    <col min="197" max="16384" width="10.81640625" style="6"/>
  </cols>
  <sheetData>
    <row r="1" spans="1:196" ht="13.5" customHeight="1" thickBot="1">
      <c r="EO1" s="124" t="s">
        <v>7</v>
      </c>
      <c r="EP1" s="125"/>
      <c r="EQ1" s="125"/>
      <c r="ER1" s="126"/>
      <c r="ES1" s="109" t="s">
        <v>8</v>
      </c>
      <c r="ET1" s="110"/>
      <c r="EU1" s="110"/>
      <c r="EV1" s="110"/>
      <c r="EW1" s="111"/>
      <c r="EX1" s="109" t="s">
        <v>9</v>
      </c>
      <c r="EY1" s="110"/>
      <c r="EZ1" s="110"/>
      <c r="FA1" s="110"/>
      <c r="FB1" s="110"/>
      <c r="FC1" s="110"/>
      <c r="FD1" s="110"/>
      <c r="FE1" s="111"/>
      <c r="FF1" s="109" t="s">
        <v>10</v>
      </c>
      <c r="FG1" s="110"/>
      <c r="FH1" s="130" t="s">
        <v>61</v>
      </c>
      <c r="FI1" s="131"/>
      <c r="FJ1" s="131"/>
      <c r="FK1" s="132"/>
      <c r="FL1" s="139" t="s">
        <v>5</v>
      </c>
      <c r="FN1" s="142" t="s">
        <v>7</v>
      </c>
      <c r="FO1" s="142"/>
      <c r="FP1" s="142"/>
      <c r="FQ1" s="142"/>
      <c r="FR1" s="142" t="s">
        <v>8</v>
      </c>
      <c r="FS1" s="142"/>
      <c r="FT1" s="142"/>
      <c r="FU1" s="142"/>
      <c r="FV1" s="142"/>
      <c r="FW1" s="142" t="s">
        <v>9</v>
      </c>
      <c r="FX1" s="142"/>
      <c r="FY1" s="142"/>
      <c r="FZ1" s="142"/>
      <c r="GA1" s="142"/>
      <c r="GB1" s="142"/>
      <c r="GC1" s="142"/>
      <c r="GD1" s="142"/>
      <c r="GE1" s="142" t="s">
        <v>10</v>
      </c>
      <c r="GF1" s="142"/>
      <c r="GG1" s="143" t="s">
        <v>4</v>
      </c>
      <c r="GH1" s="143"/>
      <c r="GI1" s="143"/>
      <c r="GJ1" s="143"/>
      <c r="GK1" s="144" t="s">
        <v>5</v>
      </c>
      <c r="GM1" s="108" t="s">
        <v>88</v>
      </c>
      <c r="GN1" s="108"/>
    </row>
    <row r="2" spans="1:196" ht="15" customHeight="1" thickBot="1">
      <c r="A2" s="97" t="s">
        <v>35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8"/>
      <c r="V2" s="104" t="s">
        <v>6</v>
      </c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  <c r="AX2" s="104"/>
      <c r="AY2" s="104"/>
      <c r="AZ2" s="104"/>
      <c r="BA2" s="104"/>
      <c r="BB2" s="104"/>
      <c r="BC2" s="104"/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04"/>
      <c r="CE2" s="104"/>
      <c r="CF2" s="104"/>
      <c r="CG2" s="104"/>
      <c r="CH2" s="104"/>
      <c r="CI2" s="104"/>
      <c r="CJ2" s="104"/>
      <c r="CK2" s="104"/>
      <c r="CL2" s="104"/>
      <c r="CM2" s="104"/>
      <c r="CN2" s="104"/>
      <c r="CO2" s="104"/>
      <c r="CP2" s="104"/>
      <c r="CQ2" s="104"/>
      <c r="CR2" s="104"/>
      <c r="CS2" s="104"/>
      <c r="CT2" s="104"/>
      <c r="CU2" s="104"/>
      <c r="CV2" s="104"/>
      <c r="CW2" s="104"/>
      <c r="CX2" s="104"/>
      <c r="CY2" s="104"/>
      <c r="CZ2" s="104"/>
      <c r="DA2" s="104"/>
      <c r="DB2" s="104"/>
      <c r="DC2" s="104"/>
      <c r="DD2" s="104"/>
      <c r="DE2" s="104"/>
      <c r="DF2" s="104"/>
      <c r="DG2" s="104"/>
      <c r="DH2" s="104"/>
      <c r="DI2" s="104"/>
      <c r="DJ2" s="104"/>
      <c r="DK2" s="104"/>
      <c r="DL2" s="104"/>
      <c r="DM2" s="104"/>
      <c r="DN2" s="104"/>
      <c r="DO2" s="104"/>
      <c r="DP2" s="104"/>
      <c r="DQ2" s="104"/>
      <c r="DR2" s="104"/>
      <c r="DS2" s="104"/>
      <c r="DT2" s="104"/>
      <c r="DU2" s="104"/>
      <c r="DV2" s="104"/>
      <c r="DW2" s="104"/>
      <c r="DX2" s="104"/>
      <c r="DY2" s="104"/>
      <c r="DZ2" s="104"/>
      <c r="EA2" s="104"/>
      <c r="EB2" s="104"/>
      <c r="EC2" s="104"/>
      <c r="ED2" s="104"/>
      <c r="EE2" s="104"/>
      <c r="EF2" s="104"/>
      <c r="EG2" s="104"/>
      <c r="EH2" s="104"/>
      <c r="EI2" s="104"/>
      <c r="EJ2" s="104"/>
      <c r="EK2" s="104"/>
      <c r="EL2" s="104"/>
      <c r="EM2" s="104"/>
      <c r="EN2" s="105"/>
      <c r="EO2" s="127"/>
      <c r="EP2" s="128"/>
      <c r="EQ2" s="128"/>
      <c r="ER2" s="129"/>
      <c r="ES2" s="112"/>
      <c r="ET2" s="113"/>
      <c r="EU2" s="113"/>
      <c r="EV2" s="113"/>
      <c r="EW2" s="114"/>
      <c r="EX2" s="112"/>
      <c r="EY2" s="113"/>
      <c r="EZ2" s="113"/>
      <c r="FA2" s="113"/>
      <c r="FB2" s="113"/>
      <c r="FC2" s="113"/>
      <c r="FD2" s="113"/>
      <c r="FE2" s="114"/>
      <c r="FF2" s="112"/>
      <c r="FG2" s="113"/>
      <c r="FH2" s="133"/>
      <c r="FI2" s="134"/>
      <c r="FJ2" s="134"/>
      <c r="FK2" s="135"/>
      <c r="FL2" s="140"/>
      <c r="FN2" s="142"/>
      <c r="FO2" s="142"/>
      <c r="FP2" s="142"/>
      <c r="FQ2" s="142"/>
      <c r="FR2" s="142"/>
      <c r="FS2" s="142"/>
      <c r="FT2" s="142"/>
      <c r="FU2" s="142"/>
      <c r="FV2" s="142"/>
      <c r="FW2" s="142"/>
      <c r="FX2" s="142"/>
      <c r="FY2" s="142"/>
      <c r="FZ2" s="142"/>
      <c r="GA2" s="142"/>
      <c r="GB2" s="142"/>
      <c r="GC2" s="142"/>
      <c r="GD2" s="142"/>
      <c r="GE2" s="142"/>
      <c r="GF2" s="142"/>
      <c r="GG2" s="143"/>
      <c r="GH2" s="143"/>
      <c r="GI2" s="143"/>
      <c r="GJ2" s="143"/>
      <c r="GK2" s="145"/>
      <c r="GM2" s="108"/>
      <c r="GN2" s="108"/>
    </row>
    <row r="3" spans="1:196" ht="29.5" customHeight="1" thickBot="1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100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6"/>
      <c r="CK3" s="106"/>
      <c r="CL3" s="106"/>
      <c r="CM3" s="106"/>
      <c r="CN3" s="106"/>
      <c r="CO3" s="106"/>
      <c r="CP3" s="106"/>
      <c r="CQ3" s="106"/>
      <c r="CR3" s="106"/>
      <c r="CS3" s="106"/>
      <c r="CT3" s="106"/>
      <c r="CU3" s="106"/>
      <c r="CV3" s="106"/>
      <c r="CW3" s="106"/>
      <c r="CX3" s="106"/>
      <c r="CY3" s="106"/>
      <c r="CZ3" s="106"/>
      <c r="DA3" s="106"/>
      <c r="DB3" s="106"/>
      <c r="DC3" s="106"/>
      <c r="DD3" s="106"/>
      <c r="DE3" s="106"/>
      <c r="DF3" s="106"/>
      <c r="DG3" s="106"/>
      <c r="DH3" s="106"/>
      <c r="DI3" s="106"/>
      <c r="DJ3" s="106"/>
      <c r="DK3" s="106"/>
      <c r="DL3" s="106"/>
      <c r="DM3" s="106"/>
      <c r="DN3" s="106"/>
      <c r="DO3" s="106"/>
      <c r="DP3" s="106"/>
      <c r="DQ3" s="106"/>
      <c r="DR3" s="106"/>
      <c r="DS3" s="106"/>
      <c r="DT3" s="106"/>
      <c r="DU3" s="106"/>
      <c r="DV3" s="106"/>
      <c r="DW3" s="106"/>
      <c r="DX3" s="106"/>
      <c r="DY3" s="106"/>
      <c r="DZ3" s="106"/>
      <c r="EA3" s="106"/>
      <c r="EB3" s="106"/>
      <c r="EC3" s="106"/>
      <c r="ED3" s="106"/>
      <c r="EE3" s="106"/>
      <c r="EF3" s="106"/>
      <c r="EG3" s="106"/>
      <c r="EH3" s="106"/>
      <c r="EI3" s="106"/>
      <c r="EJ3" s="106"/>
      <c r="EK3" s="106"/>
      <c r="EL3" s="106"/>
      <c r="EM3" s="106"/>
      <c r="EN3" s="107"/>
      <c r="EO3" s="115" t="s">
        <v>0</v>
      </c>
      <c r="EP3" s="116"/>
      <c r="EQ3" s="116"/>
      <c r="ER3" s="117"/>
      <c r="ES3" s="101" t="s">
        <v>1</v>
      </c>
      <c r="ET3" s="102"/>
      <c r="EU3" s="102"/>
      <c r="EV3" s="102"/>
      <c r="EW3" s="103"/>
      <c r="EX3" s="118" t="s">
        <v>2</v>
      </c>
      <c r="EY3" s="119"/>
      <c r="EZ3" s="119"/>
      <c r="FA3" s="119"/>
      <c r="FB3" s="119"/>
      <c r="FC3" s="119"/>
      <c r="FD3" s="119"/>
      <c r="FE3" s="120"/>
      <c r="FF3" s="121" t="s">
        <v>3</v>
      </c>
      <c r="FG3" s="122"/>
      <c r="FH3" s="136"/>
      <c r="FI3" s="137"/>
      <c r="FJ3" s="137"/>
      <c r="FK3" s="138"/>
      <c r="FL3" s="141"/>
      <c r="FM3" s="4"/>
      <c r="FN3" s="123" t="s">
        <v>0</v>
      </c>
      <c r="FO3" s="123"/>
      <c r="FP3" s="123"/>
      <c r="FQ3" s="123"/>
      <c r="FR3" s="123" t="s">
        <v>1</v>
      </c>
      <c r="FS3" s="123"/>
      <c r="FT3" s="123"/>
      <c r="FU3" s="123"/>
      <c r="FV3" s="123"/>
      <c r="FW3" s="142" t="s">
        <v>2</v>
      </c>
      <c r="FX3" s="142"/>
      <c r="FY3" s="142"/>
      <c r="FZ3" s="142"/>
      <c r="GA3" s="142"/>
      <c r="GB3" s="142"/>
      <c r="GC3" s="142"/>
      <c r="GD3" s="142"/>
      <c r="GE3" s="142" t="s">
        <v>3</v>
      </c>
      <c r="GF3" s="142"/>
      <c r="GG3" s="143"/>
      <c r="GH3" s="143"/>
      <c r="GI3" s="143"/>
      <c r="GJ3" s="143"/>
      <c r="GK3" s="145"/>
      <c r="GM3" s="108"/>
      <c r="GN3" s="108"/>
    </row>
    <row r="4" spans="1:196" s="11" customFormat="1" ht="44.5" customHeight="1" thickBot="1">
      <c r="A4" s="9" t="s">
        <v>36</v>
      </c>
      <c r="B4" s="9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J4" s="9" t="s">
        <v>23</v>
      </c>
      <c r="K4" s="9" t="s">
        <v>24</v>
      </c>
      <c r="L4" s="9" t="s">
        <v>25</v>
      </c>
      <c r="M4" s="9" t="s">
        <v>26</v>
      </c>
      <c r="N4" s="9" t="s">
        <v>27</v>
      </c>
      <c r="O4" s="9" t="s">
        <v>28</v>
      </c>
      <c r="P4" s="9" t="s">
        <v>106</v>
      </c>
      <c r="Q4" s="9" t="s">
        <v>30</v>
      </c>
      <c r="R4" s="9" t="s">
        <v>31</v>
      </c>
      <c r="S4" s="9" t="s">
        <v>32</v>
      </c>
      <c r="T4" s="9" t="s">
        <v>33</v>
      </c>
      <c r="U4" s="9" t="s">
        <v>34</v>
      </c>
      <c r="V4" s="7">
        <v>1</v>
      </c>
      <c r="W4" s="7">
        <v>2</v>
      </c>
      <c r="X4" s="7">
        <v>3</v>
      </c>
      <c r="Y4" s="7">
        <v>4</v>
      </c>
      <c r="Z4" s="7">
        <v>5</v>
      </c>
      <c r="AA4" s="7">
        <v>6</v>
      </c>
      <c r="AB4" s="7">
        <v>7</v>
      </c>
      <c r="AC4" s="7">
        <v>8</v>
      </c>
      <c r="AD4" s="7">
        <v>9</v>
      </c>
      <c r="AE4" s="7">
        <v>10</v>
      </c>
      <c r="AF4" s="7">
        <v>11</v>
      </c>
      <c r="AG4" s="7">
        <v>12</v>
      </c>
      <c r="AH4" s="7">
        <v>13</v>
      </c>
      <c r="AI4" s="7">
        <v>14</v>
      </c>
      <c r="AJ4" s="7">
        <v>15</v>
      </c>
      <c r="AK4" s="7">
        <v>16</v>
      </c>
      <c r="AL4" s="7">
        <v>17</v>
      </c>
      <c r="AM4" s="7">
        <v>18</v>
      </c>
      <c r="AN4" s="7">
        <v>19</v>
      </c>
      <c r="AO4" s="7">
        <v>20</v>
      </c>
      <c r="AP4" s="7">
        <v>21</v>
      </c>
      <c r="AQ4" s="7">
        <v>22</v>
      </c>
      <c r="AR4" s="7">
        <v>23</v>
      </c>
      <c r="AS4" s="7">
        <v>24</v>
      </c>
      <c r="AT4" s="7">
        <v>25</v>
      </c>
      <c r="AU4" s="7">
        <v>26</v>
      </c>
      <c r="AV4" s="7">
        <v>27</v>
      </c>
      <c r="AW4" s="7">
        <v>28</v>
      </c>
      <c r="AX4" s="7">
        <v>29</v>
      </c>
      <c r="AY4" s="7">
        <v>30</v>
      </c>
      <c r="AZ4" s="7">
        <v>31</v>
      </c>
      <c r="BA4" s="7">
        <v>32</v>
      </c>
      <c r="BB4" s="7">
        <v>33</v>
      </c>
      <c r="BC4" s="7">
        <v>34</v>
      </c>
      <c r="BD4" s="7">
        <v>35</v>
      </c>
      <c r="BE4" s="7">
        <v>36</v>
      </c>
      <c r="BF4" s="7">
        <v>37</v>
      </c>
      <c r="BG4" s="7">
        <v>38</v>
      </c>
      <c r="BH4" s="7">
        <v>39</v>
      </c>
      <c r="BI4" s="7">
        <v>40</v>
      </c>
      <c r="BJ4" s="7">
        <v>41</v>
      </c>
      <c r="BK4" s="7">
        <v>42</v>
      </c>
      <c r="BL4" s="7">
        <v>43</v>
      </c>
      <c r="BM4" s="7">
        <v>44</v>
      </c>
      <c r="BN4" s="7">
        <v>45</v>
      </c>
      <c r="BO4" s="7">
        <v>46</v>
      </c>
      <c r="BP4" s="7">
        <v>47</v>
      </c>
      <c r="BQ4" s="7">
        <v>48</v>
      </c>
      <c r="BR4" s="7">
        <v>49</v>
      </c>
      <c r="BS4" s="7">
        <v>50</v>
      </c>
      <c r="BT4" s="7">
        <v>51</v>
      </c>
      <c r="BU4" s="7">
        <v>52</v>
      </c>
      <c r="BV4" s="7">
        <v>53</v>
      </c>
      <c r="BW4" s="7">
        <v>54</v>
      </c>
      <c r="BX4" s="7">
        <v>55</v>
      </c>
      <c r="BY4" s="7">
        <v>56</v>
      </c>
      <c r="BZ4" s="7">
        <v>57</v>
      </c>
      <c r="CA4" s="7">
        <v>58</v>
      </c>
      <c r="CB4" s="7">
        <v>59</v>
      </c>
      <c r="CC4" s="7">
        <v>60</v>
      </c>
      <c r="CD4" s="7">
        <v>61</v>
      </c>
      <c r="CE4" s="7">
        <v>62</v>
      </c>
      <c r="CF4" s="7">
        <v>63</v>
      </c>
      <c r="CG4" s="7">
        <v>64</v>
      </c>
      <c r="CH4" s="7">
        <v>65</v>
      </c>
      <c r="CI4" s="7">
        <v>66</v>
      </c>
      <c r="CJ4" s="7">
        <v>67</v>
      </c>
      <c r="CK4" s="7">
        <v>68</v>
      </c>
      <c r="CL4" s="7">
        <v>69</v>
      </c>
      <c r="CM4" s="7">
        <v>70</v>
      </c>
      <c r="CN4" s="7">
        <v>71</v>
      </c>
      <c r="CO4" s="7">
        <v>72</v>
      </c>
      <c r="CP4" s="7">
        <v>73</v>
      </c>
      <c r="CQ4" s="7">
        <v>74</v>
      </c>
      <c r="CR4" s="7">
        <v>75</v>
      </c>
      <c r="CS4" s="7">
        <v>76</v>
      </c>
      <c r="CT4" s="7">
        <v>77</v>
      </c>
      <c r="CU4" s="7">
        <v>78</v>
      </c>
      <c r="CV4" s="7">
        <v>79</v>
      </c>
      <c r="CW4" s="7">
        <v>80</v>
      </c>
      <c r="CX4" s="7">
        <v>81</v>
      </c>
      <c r="CY4" s="7">
        <v>82</v>
      </c>
      <c r="CZ4" s="7">
        <v>83</v>
      </c>
      <c r="DA4" s="7">
        <v>84</v>
      </c>
      <c r="DB4" s="7">
        <v>85</v>
      </c>
      <c r="DC4" s="7">
        <v>86</v>
      </c>
      <c r="DD4" s="7">
        <v>87</v>
      </c>
      <c r="DE4" s="7">
        <v>88</v>
      </c>
      <c r="DF4" s="7">
        <v>89</v>
      </c>
      <c r="DG4" s="7">
        <v>90</v>
      </c>
      <c r="DH4" s="7">
        <v>91</v>
      </c>
      <c r="DI4" s="7">
        <v>92</v>
      </c>
      <c r="DJ4" s="7">
        <v>93</v>
      </c>
      <c r="DK4" s="7">
        <v>94</v>
      </c>
      <c r="DL4" s="7">
        <v>95</v>
      </c>
      <c r="DM4" s="7">
        <v>96</v>
      </c>
      <c r="DN4" s="7">
        <v>97</v>
      </c>
      <c r="DO4" s="7">
        <v>98</v>
      </c>
      <c r="DP4" s="7">
        <v>99</v>
      </c>
      <c r="DQ4" s="95">
        <v>100</v>
      </c>
      <c r="DR4" s="7">
        <v>101</v>
      </c>
      <c r="DS4" s="7">
        <v>102</v>
      </c>
      <c r="DT4" s="7">
        <v>103</v>
      </c>
      <c r="DU4" s="7">
        <v>104</v>
      </c>
      <c r="DV4" s="7">
        <v>105</v>
      </c>
      <c r="DW4" s="7">
        <v>106</v>
      </c>
      <c r="DX4" s="7">
        <v>107</v>
      </c>
      <c r="DY4" s="7">
        <v>108</v>
      </c>
      <c r="DZ4" s="7">
        <v>109</v>
      </c>
      <c r="EA4" s="7">
        <v>110</v>
      </c>
      <c r="EB4" s="7">
        <v>111</v>
      </c>
      <c r="EC4" s="7">
        <v>112</v>
      </c>
      <c r="ED4" s="7">
        <v>113</v>
      </c>
      <c r="EE4" s="7">
        <v>114</v>
      </c>
      <c r="EF4" s="7">
        <v>115</v>
      </c>
      <c r="EG4" s="7">
        <v>116</v>
      </c>
      <c r="EH4" s="7">
        <v>117</v>
      </c>
      <c r="EI4" s="7">
        <v>118</v>
      </c>
      <c r="EJ4" s="7">
        <v>119</v>
      </c>
      <c r="EK4" s="7">
        <v>120</v>
      </c>
      <c r="EL4" s="7">
        <v>121</v>
      </c>
      <c r="EM4" s="7">
        <v>122</v>
      </c>
      <c r="EN4" s="8">
        <v>123</v>
      </c>
      <c r="EO4" s="25" t="s">
        <v>38</v>
      </c>
      <c r="EP4" s="26" t="s">
        <v>39</v>
      </c>
      <c r="EQ4" s="26" t="s">
        <v>40</v>
      </c>
      <c r="ER4" s="26" t="s">
        <v>41</v>
      </c>
      <c r="ES4" s="27" t="s">
        <v>62</v>
      </c>
      <c r="ET4" s="27" t="s">
        <v>42</v>
      </c>
      <c r="EU4" s="27" t="s">
        <v>43</v>
      </c>
      <c r="EV4" s="27" t="s">
        <v>44</v>
      </c>
      <c r="EW4" s="27" t="s">
        <v>45</v>
      </c>
      <c r="EX4" s="28" t="s">
        <v>46</v>
      </c>
      <c r="EY4" s="28" t="s">
        <v>47</v>
      </c>
      <c r="EZ4" s="28" t="s">
        <v>48</v>
      </c>
      <c r="FA4" s="28" t="s">
        <v>49</v>
      </c>
      <c r="FB4" s="28" t="s">
        <v>50</v>
      </c>
      <c r="FC4" s="28" t="s">
        <v>51</v>
      </c>
      <c r="FD4" s="28" t="s">
        <v>52</v>
      </c>
      <c r="FE4" s="28" t="s">
        <v>53</v>
      </c>
      <c r="FF4" s="29" t="s">
        <v>54</v>
      </c>
      <c r="FG4" s="29" t="s">
        <v>55</v>
      </c>
      <c r="FH4" s="17" t="s">
        <v>56</v>
      </c>
      <c r="FI4" s="40" t="s">
        <v>1</v>
      </c>
      <c r="FJ4" s="41" t="s">
        <v>2</v>
      </c>
      <c r="FK4" s="42" t="s">
        <v>3</v>
      </c>
      <c r="FL4" s="43" t="s">
        <v>63</v>
      </c>
      <c r="FM4" s="5"/>
      <c r="FN4" s="77" t="s">
        <v>38</v>
      </c>
      <c r="FO4" s="77" t="s">
        <v>39</v>
      </c>
      <c r="FP4" s="77" t="s">
        <v>40</v>
      </c>
      <c r="FQ4" s="77" t="s">
        <v>41</v>
      </c>
      <c r="FR4" s="77" t="s">
        <v>62</v>
      </c>
      <c r="FS4" s="77" t="s">
        <v>42</v>
      </c>
      <c r="FT4" s="77" t="s">
        <v>43</v>
      </c>
      <c r="FU4" s="77" t="s">
        <v>44</v>
      </c>
      <c r="FV4" s="77" t="s">
        <v>45</v>
      </c>
      <c r="FW4" s="77" t="s">
        <v>46</v>
      </c>
      <c r="FX4" s="77" t="s">
        <v>47</v>
      </c>
      <c r="FY4" s="77" t="s">
        <v>48</v>
      </c>
      <c r="FZ4" s="77" t="s">
        <v>49</v>
      </c>
      <c r="GA4" s="77" t="s">
        <v>50</v>
      </c>
      <c r="GB4" s="77" t="s">
        <v>51</v>
      </c>
      <c r="GC4" s="77" t="s">
        <v>52</v>
      </c>
      <c r="GD4" s="77" t="s">
        <v>53</v>
      </c>
      <c r="GE4" s="77" t="s">
        <v>54</v>
      </c>
      <c r="GF4" s="77" t="s">
        <v>55</v>
      </c>
      <c r="GG4" s="36" t="s">
        <v>56</v>
      </c>
      <c r="GH4" s="18" t="s">
        <v>1</v>
      </c>
      <c r="GI4" s="19" t="s">
        <v>2</v>
      </c>
      <c r="GJ4" s="20" t="s">
        <v>3</v>
      </c>
      <c r="GK4" s="38" t="s">
        <v>63</v>
      </c>
      <c r="GM4" s="78" t="s">
        <v>87</v>
      </c>
      <c r="GN4" s="78" t="s">
        <v>86</v>
      </c>
    </row>
    <row r="5" spans="1:196">
      <c r="A5" s="3">
        <v>1</v>
      </c>
      <c r="B5" s="3" t="s">
        <v>179</v>
      </c>
      <c r="C5" s="3">
        <v>1075274331</v>
      </c>
      <c r="D5" s="3" t="s">
        <v>101</v>
      </c>
      <c r="E5" s="3">
        <v>1993</v>
      </c>
      <c r="F5" s="3" t="s">
        <v>180</v>
      </c>
      <c r="G5" s="3" t="s">
        <v>181</v>
      </c>
      <c r="H5" s="3" t="s">
        <v>182</v>
      </c>
      <c r="I5" s="3" t="s">
        <v>102</v>
      </c>
      <c r="J5" s="3">
        <v>2</v>
      </c>
      <c r="K5" s="3" t="s">
        <v>95</v>
      </c>
      <c r="L5" s="3">
        <v>1</v>
      </c>
      <c r="M5" s="3" t="s">
        <v>103</v>
      </c>
      <c r="N5" s="3" t="s">
        <v>148</v>
      </c>
      <c r="O5" s="3" t="s">
        <v>183</v>
      </c>
      <c r="P5" s="3" t="s">
        <v>99</v>
      </c>
      <c r="Q5" s="3" t="s">
        <v>169</v>
      </c>
      <c r="R5" s="3" t="s">
        <v>184</v>
      </c>
      <c r="S5" s="3" t="s">
        <v>114</v>
      </c>
      <c r="T5" s="3">
        <v>8</v>
      </c>
      <c r="U5" s="3" t="s">
        <v>104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2</v>
      </c>
      <c r="AI5" s="6">
        <v>2</v>
      </c>
      <c r="AJ5" s="6">
        <v>2</v>
      </c>
      <c r="AK5" s="6">
        <v>3</v>
      </c>
      <c r="AL5" s="6">
        <v>4</v>
      </c>
      <c r="AM5" s="6">
        <v>3</v>
      </c>
      <c r="AN5" s="6">
        <v>2</v>
      </c>
      <c r="AO5" s="6">
        <v>2</v>
      </c>
      <c r="AP5" s="6">
        <v>2</v>
      </c>
      <c r="AQ5" s="6">
        <v>4</v>
      </c>
      <c r="AR5" s="6">
        <v>4</v>
      </c>
      <c r="AS5" s="6">
        <v>3</v>
      </c>
      <c r="AT5" s="6">
        <v>4</v>
      </c>
      <c r="AU5" s="6">
        <v>3</v>
      </c>
      <c r="AV5" s="6">
        <v>1</v>
      </c>
      <c r="AW5" s="6">
        <v>0</v>
      </c>
      <c r="AX5" s="6">
        <v>3</v>
      </c>
      <c r="AY5" s="6">
        <v>3</v>
      </c>
      <c r="AZ5" s="6">
        <v>4</v>
      </c>
      <c r="BA5" s="6">
        <v>1</v>
      </c>
      <c r="BB5" s="6">
        <v>1</v>
      </c>
      <c r="BC5" s="6">
        <v>4</v>
      </c>
      <c r="BD5" s="6">
        <v>0</v>
      </c>
      <c r="BE5" s="6">
        <v>0</v>
      </c>
      <c r="BF5" s="6">
        <v>2</v>
      </c>
      <c r="BG5" s="6">
        <v>1</v>
      </c>
      <c r="BH5" s="6">
        <v>0</v>
      </c>
      <c r="BI5" s="6">
        <v>0</v>
      </c>
      <c r="BJ5" s="6">
        <v>0</v>
      </c>
      <c r="BK5" s="6">
        <v>1</v>
      </c>
      <c r="BL5" s="6">
        <v>1</v>
      </c>
      <c r="BM5" s="6">
        <v>3</v>
      </c>
      <c r="BN5" s="6">
        <v>3</v>
      </c>
      <c r="BO5" s="6">
        <v>2</v>
      </c>
      <c r="BP5" s="6">
        <v>3</v>
      </c>
      <c r="BQ5" s="6">
        <v>2</v>
      </c>
      <c r="BR5" s="6">
        <v>0</v>
      </c>
      <c r="BS5" s="6">
        <v>1</v>
      </c>
      <c r="BT5" s="6">
        <v>1</v>
      </c>
      <c r="BU5" s="6">
        <v>1</v>
      </c>
      <c r="BV5" s="6">
        <v>1</v>
      </c>
      <c r="BW5" s="6">
        <v>1</v>
      </c>
      <c r="BX5" s="6">
        <v>1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1</v>
      </c>
      <c r="CF5" s="6">
        <v>1</v>
      </c>
      <c r="CG5" s="6">
        <v>2</v>
      </c>
      <c r="CH5" s="6">
        <v>0</v>
      </c>
      <c r="CI5" s="6">
        <v>0</v>
      </c>
      <c r="CJ5" s="6">
        <v>3</v>
      </c>
      <c r="CK5" s="6">
        <v>1</v>
      </c>
      <c r="CL5" s="6">
        <v>1</v>
      </c>
      <c r="CM5" s="6">
        <v>0</v>
      </c>
      <c r="CN5" s="6">
        <v>1</v>
      </c>
      <c r="CO5" s="6">
        <v>0</v>
      </c>
      <c r="CP5" s="6">
        <v>0</v>
      </c>
      <c r="CQ5" s="6">
        <v>0</v>
      </c>
      <c r="CR5" s="6">
        <v>0</v>
      </c>
      <c r="CS5" s="6">
        <v>0</v>
      </c>
      <c r="CT5" s="6">
        <v>0</v>
      </c>
      <c r="CU5" s="6">
        <v>1</v>
      </c>
      <c r="CV5" s="6">
        <v>0</v>
      </c>
      <c r="CW5" s="6">
        <v>0</v>
      </c>
      <c r="CX5" s="6">
        <v>0</v>
      </c>
      <c r="CY5" s="6">
        <v>0</v>
      </c>
      <c r="CZ5" s="6">
        <v>1</v>
      </c>
      <c r="DA5" s="6">
        <v>0</v>
      </c>
      <c r="DB5" s="6">
        <v>0</v>
      </c>
      <c r="DC5" s="6">
        <v>0</v>
      </c>
      <c r="DD5" s="6">
        <v>1</v>
      </c>
      <c r="DE5" s="6">
        <v>0</v>
      </c>
      <c r="DF5" s="6">
        <v>0</v>
      </c>
      <c r="DG5" s="6">
        <v>2</v>
      </c>
      <c r="DH5" s="6">
        <v>1</v>
      </c>
      <c r="DI5" s="6">
        <v>1</v>
      </c>
      <c r="DJ5" s="6">
        <v>1</v>
      </c>
      <c r="DK5" s="6">
        <v>1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1</v>
      </c>
      <c r="DX5" s="6">
        <v>2</v>
      </c>
      <c r="DY5" s="6">
        <v>1</v>
      </c>
      <c r="DZ5" s="6">
        <v>0</v>
      </c>
      <c r="EA5" s="6">
        <v>0</v>
      </c>
      <c r="EB5" s="6">
        <v>1</v>
      </c>
      <c r="EC5" s="6">
        <v>2</v>
      </c>
      <c r="ED5" s="6">
        <v>0</v>
      </c>
      <c r="EE5" s="6">
        <v>0</v>
      </c>
      <c r="EF5" s="6">
        <v>3</v>
      </c>
      <c r="EG5" s="6">
        <v>0</v>
      </c>
      <c r="EH5" s="6">
        <v>2</v>
      </c>
      <c r="EI5" s="6">
        <v>1</v>
      </c>
      <c r="EJ5" s="6">
        <v>1</v>
      </c>
      <c r="EK5" s="6">
        <v>0</v>
      </c>
      <c r="EL5" s="6">
        <v>0</v>
      </c>
      <c r="EM5" s="6">
        <v>2</v>
      </c>
      <c r="EN5" s="6">
        <v>0</v>
      </c>
      <c r="EO5" s="32">
        <f t="shared" ref="EO5" si="0">+SUM(CF5:CR5)</f>
        <v>9</v>
      </c>
      <c r="EP5" s="32">
        <f t="shared" ref="EP5" si="1">+SUM(CS5:DF5)</f>
        <v>3</v>
      </c>
      <c r="EQ5" s="32">
        <f t="shared" ref="EQ5" si="2">+SUM(DG5:DK5)</f>
        <v>6</v>
      </c>
      <c r="ER5" s="32">
        <f t="shared" ref="ER5" si="3">+SUM(EF5:EN5)</f>
        <v>9</v>
      </c>
      <c r="ES5" s="33">
        <f t="shared" ref="ES5" si="4">+SUM(BV5:CB5)</f>
        <v>3</v>
      </c>
      <c r="ET5" s="33">
        <f t="shared" ref="ET5" si="5">+SUM(CC5:CE5)</f>
        <v>1</v>
      </c>
      <c r="EU5" s="33">
        <f t="shared" ref="EU5" si="6">+SUM(BQ5:BT5)</f>
        <v>4</v>
      </c>
      <c r="EV5" s="33">
        <f t="shared" ref="EV5" si="7">+SUM(BH5:BK5)</f>
        <v>1</v>
      </c>
      <c r="EW5" s="33">
        <f t="shared" ref="EW5" si="8">+SUM(BM5:BO5)</f>
        <v>8</v>
      </c>
      <c r="EX5" s="34">
        <f t="shared" ref="EX5" si="9">+SUM(V5:AG5)</f>
        <v>0</v>
      </c>
      <c r="EY5" s="34">
        <f t="shared" ref="EY5" si="10">+SUM(DW5:EE5)</f>
        <v>7</v>
      </c>
      <c r="EZ5" s="34">
        <f t="shared" ref="EZ5" si="11">+SUM(AH5+AI5+AJ5+BA5+BL5+BP5)</f>
        <v>11</v>
      </c>
      <c r="FA5" s="34">
        <f t="shared" ref="FA5" si="12">SUM(BD5:BG5)</f>
        <v>3</v>
      </c>
      <c r="FB5" s="34">
        <f t="shared" ref="FB5" si="13">+SUM(AN5+AQ5+AR5+AS5+AT5+AU5)</f>
        <v>20</v>
      </c>
      <c r="FC5" s="34">
        <f t="shared" ref="FC5" si="14">+SUM(AK5+AL5+AM5+AO5+AP5)</f>
        <v>14</v>
      </c>
      <c r="FD5" s="34">
        <f t="shared" ref="FD5" si="15">+SUM(AV5+AW5+AX5+AY5+BU5)</f>
        <v>8</v>
      </c>
      <c r="FE5" s="34">
        <f t="shared" ref="FE5" si="16">+SUM(AZ5+BB5+BC5)</f>
        <v>9</v>
      </c>
      <c r="FF5" s="35">
        <f t="shared" ref="FF5" si="17">+SUM(DL5+DS5+DT5+DU5+DV5)</f>
        <v>0</v>
      </c>
      <c r="FG5" s="35">
        <f t="shared" ref="FG5" si="18">+SUM(DM5:DR5)</f>
        <v>0</v>
      </c>
      <c r="FH5" s="3">
        <f t="shared" ref="FH5" si="19">+SUM(EO5:ER5)</f>
        <v>27</v>
      </c>
      <c r="FI5" s="3">
        <f t="shared" ref="FI5" si="20">+SUM(ES5:EW5)</f>
        <v>17</v>
      </c>
      <c r="FJ5" s="3">
        <f t="shared" ref="FJ5" si="21">+SUM(EX5:FE5)</f>
        <v>72</v>
      </c>
      <c r="FK5" s="3">
        <f t="shared" ref="FK5" si="22">+SUM(FF5:FG5)</f>
        <v>0</v>
      </c>
      <c r="FL5" s="24">
        <f>+SUM(FH5:FK5)</f>
        <v>116</v>
      </c>
      <c r="FM5" s="3"/>
      <c r="FN5" s="46">
        <f>+SUM(EO5/52)*100</f>
        <v>17.307692307692307</v>
      </c>
      <c r="FO5" s="46">
        <f t="shared" ref="FO5" si="23">+SUM(EP5/56)*100</f>
        <v>5.3571428571428568</v>
      </c>
      <c r="FP5" s="46">
        <f t="shared" ref="FP5" si="24">+SUM(EQ5/20)*100</f>
        <v>30</v>
      </c>
      <c r="FQ5" s="46">
        <f t="shared" ref="FQ5" si="25">+SUM(ER5/36)*100</f>
        <v>25</v>
      </c>
      <c r="FR5" s="46">
        <f t="shared" ref="FR5" si="26">+SUM(ES5/28)*100</f>
        <v>10.714285714285714</v>
      </c>
      <c r="FS5" s="46">
        <f t="shared" ref="FS5" si="27">+SUM(ET5/12)*100</f>
        <v>8.3333333333333321</v>
      </c>
      <c r="FT5" s="46">
        <f t="shared" ref="FT5" si="28">+SUM(EU5/16)*100</f>
        <v>25</v>
      </c>
      <c r="FU5" s="46">
        <f t="shared" ref="FU5" si="29">+SUM(EV5/16)*100</f>
        <v>6.25</v>
      </c>
      <c r="FV5" s="46">
        <f t="shared" ref="FV5" si="30">+SUM(EW5/12)*100</f>
        <v>66.666666666666657</v>
      </c>
      <c r="FW5" s="46">
        <f t="shared" ref="FW5" si="31">+SUM(EX5/48)*100</f>
        <v>0</v>
      </c>
      <c r="FX5" s="46">
        <f t="shared" ref="FX5" si="32">+SUM(EY5/36)*100</f>
        <v>19.444444444444446</v>
      </c>
      <c r="FY5" s="46">
        <f t="shared" ref="FY5" si="33">+SUM(EZ5/24)*100</f>
        <v>45.833333333333329</v>
      </c>
      <c r="FZ5" s="46">
        <f t="shared" ref="FZ5" si="34">+SUM(FA5/16)*100</f>
        <v>18.75</v>
      </c>
      <c r="GA5" s="46">
        <f t="shared" ref="GA5" si="35">+SUM(FB5/24)*100</f>
        <v>83.333333333333343</v>
      </c>
      <c r="GB5" s="46">
        <f t="shared" ref="GB5" si="36">+SUM(FC5/20)*100</f>
        <v>70</v>
      </c>
      <c r="GC5" s="46">
        <f t="shared" ref="GC5" si="37">+SUM(FD5/20)*100</f>
        <v>40</v>
      </c>
      <c r="GD5" s="46">
        <f t="shared" ref="GD5" si="38">+SUM(FE5/12)*100</f>
        <v>75</v>
      </c>
      <c r="GE5" s="46">
        <f t="shared" ref="GE5" si="39">+SUM(FF5/20)*100</f>
        <v>0</v>
      </c>
      <c r="GF5" s="46">
        <f t="shared" ref="GF5" si="40">+SUM(FG5/24)*100</f>
        <v>0</v>
      </c>
      <c r="GG5" s="46">
        <f t="shared" ref="GG5" si="41">+SUM(FH5/164)*100</f>
        <v>16.463414634146343</v>
      </c>
      <c r="GH5" s="46">
        <f t="shared" ref="GH5" si="42">+SUM(FI5/84)*100</f>
        <v>20.238095238095237</v>
      </c>
      <c r="GI5" s="46">
        <f t="shared" ref="GI5" si="43">+SUM(FJ5/200)*100</f>
        <v>36</v>
      </c>
      <c r="GJ5" s="46">
        <f t="shared" ref="GJ5" si="44">+SUM(FK5/44)*100</f>
        <v>0</v>
      </c>
      <c r="GK5" s="46">
        <f t="shared" ref="GK5" si="45">+SUM(FL5/492)*100</f>
        <v>23.577235772357724</v>
      </c>
      <c r="GM5" s="58">
        <f>FL5+'EXTRALABORAL A '!BH4</f>
        <v>143</v>
      </c>
      <c r="GN5" s="58">
        <f>+SUM(GM5/616)*100</f>
        <v>23.214285714285715</v>
      </c>
    </row>
    <row r="6" spans="1:196">
      <c r="A6" s="3">
        <v>2</v>
      </c>
      <c r="B6" s="3" t="s">
        <v>185</v>
      </c>
      <c r="C6" s="3">
        <v>7696889</v>
      </c>
      <c r="D6" s="3" t="s">
        <v>105</v>
      </c>
      <c r="E6" s="3">
        <v>1974</v>
      </c>
      <c r="F6" s="3" t="s">
        <v>110</v>
      </c>
      <c r="G6" s="3" t="s">
        <v>96</v>
      </c>
      <c r="H6" s="3" t="s">
        <v>186</v>
      </c>
      <c r="I6" s="3" t="s">
        <v>102</v>
      </c>
      <c r="J6" s="3">
        <v>3</v>
      </c>
      <c r="K6" s="3" t="s">
        <v>95</v>
      </c>
      <c r="L6" s="3">
        <v>1</v>
      </c>
      <c r="M6" s="3" t="s">
        <v>103</v>
      </c>
      <c r="N6" s="3" t="s">
        <v>187</v>
      </c>
      <c r="O6" s="3" t="s">
        <v>188</v>
      </c>
      <c r="P6" s="3" t="s">
        <v>99</v>
      </c>
      <c r="Q6" s="3" t="s">
        <v>189</v>
      </c>
      <c r="R6" s="3" t="s">
        <v>190</v>
      </c>
      <c r="S6" s="3" t="s">
        <v>98</v>
      </c>
      <c r="T6" s="3">
        <v>8</v>
      </c>
      <c r="U6" s="3" t="s">
        <v>191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4</v>
      </c>
      <c r="AH6" s="6">
        <v>0</v>
      </c>
      <c r="AI6" s="6">
        <v>0</v>
      </c>
      <c r="AJ6" s="6">
        <v>0</v>
      </c>
      <c r="AK6" s="6">
        <v>1</v>
      </c>
      <c r="AL6" s="6">
        <v>3</v>
      </c>
      <c r="AM6" s="6">
        <v>2</v>
      </c>
      <c r="AN6" s="6">
        <v>2</v>
      </c>
      <c r="AO6" s="6">
        <v>1</v>
      </c>
      <c r="AP6" s="6">
        <v>3</v>
      </c>
      <c r="AQ6" s="6">
        <v>1</v>
      </c>
      <c r="AR6" s="6">
        <v>3</v>
      </c>
      <c r="AS6" s="6">
        <v>3</v>
      </c>
      <c r="AT6" s="6">
        <v>4</v>
      </c>
      <c r="AU6" s="6">
        <v>2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6">
        <v>0</v>
      </c>
      <c r="CR6" s="6">
        <v>0</v>
      </c>
      <c r="CS6" s="6">
        <v>0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32">
        <f t="shared" ref="EO6:EO10" si="46">+SUM(CF6:CR6)</f>
        <v>0</v>
      </c>
      <c r="EP6" s="32">
        <f t="shared" ref="EP6:EP10" si="47">+SUM(CS6:DF6)</f>
        <v>0</v>
      </c>
      <c r="EQ6" s="32">
        <f t="shared" ref="EQ6:EQ10" si="48">+SUM(DG6:DK6)</f>
        <v>0</v>
      </c>
      <c r="ER6" s="32">
        <f t="shared" ref="ER6:ER10" si="49">+SUM(EF6:EN6)</f>
        <v>0</v>
      </c>
      <c r="ES6" s="33">
        <f t="shared" ref="ES6:ES10" si="50">+SUM(BV6:CB6)</f>
        <v>0</v>
      </c>
      <c r="ET6" s="33">
        <f t="shared" ref="ET6:ET10" si="51">+SUM(CC6:CE6)</f>
        <v>0</v>
      </c>
      <c r="EU6" s="33">
        <f t="shared" ref="EU6:EU10" si="52">+SUM(BQ6:BT6)</f>
        <v>0</v>
      </c>
      <c r="EV6" s="33">
        <f t="shared" ref="EV6:EV10" si="53">+SUM(BH6:BK6)</f>
        <v>0</v>
      </c>
      <c r="EW6" s="33">
        <f t="shared" ref="EW6:EW10" si="54">+SUM(BM6:BO6)</f>
        <v>0</v>
      </c>
      <c r="EX6" s="34">
        <f t="shared" ref="EX6:EX10" si="55">+SUM(V6:AG6)</f>
        <v>6</v>
      </c>
      <c r="EY6" s="34">
        <f t="shared" ref="EY6:EY10" si="56">+SUM(DW6:EE6)</f>
        <v>0</v>
      </c>
      <c r="EZ6" s="34">
        <f t="shared" ref="EZ6:EZ10" si="57">+SUM(AH6+AI6+AJ6+BA6+BL6+BP6)</f>
        <v>0</v>
      </c>
      <c r="FA6" s="34">
        <f t="shared" ref="FA6:FA10" si="58">SUM(BD6:BG6)</f>
        <v>0</v>
      </c>
      <c r="FB6" s="34">
        <f t="shared" ref="FB6:FB10" si="59">+SUM(AN6+AQ6+AR6+AS6+AT6+AU6)</f>
        <v>15</v>
      </c>
      <c r="FC6" s="34">
        <f t="shared" ref="FC6:FC10" si="60">+SUM(AK6+AL6+AM6+AO6+AP6)</f>
        <v>10</v>
      </c>
      <c r="FD6" s="34">
        <f t="shared" ref="FD6:FD10" si="61">+SUM(AV6+AW6+AX6+AY6+BU6)</f>
        <v>0</v>
      </c>
      <c r="FE6" s="34">
        <f t="shared" ref="FE6:FE10" si="62">+SUM(AZ6+BB6+BC6)</f>
        <v>0</v>
      </c>
      <c r="FF6" s="35">
        <f t="shared" ref="FF6:FF10" si="63">+SUM(DL6+DS6+DT6+DU6+DV6)</f>
        <v>0</v>
      </c>
      <c r="FG6" s="35">
        <f t="shared" ref="FG6:FG10" si="64">+SUM(DM6:DR6)</f>
        <v>0</v>
      </c>
      <c r="FH6" s="3">
        <f t="shared" ref="FH6:FH18" si="65">+SUM(EO6:ER6)</f>
        <v>0</v>
      </c>
      <c r="FI6" s="3">
        <f t="shared" ref="FI6:FI18" si="66">+SUM(ES6:EW6)</f>
        <v>0</v>
      </c>
      <c r="FJ6" s="3">
        <f t="shared" ref="FJ6:FJ18" si="67">+SUM(EX6:FE6)</f>
        <v>31</v>
      </c>
      <c r="FK6" s="3">
        <f t="shared" ref="FK6:FK18" si="68">+SUM(FF6:FG6)</f>
        <v>0</v>
      </c>
      <c r="FL6" s="24">
        <f t="shared" ref="FL6:FL18" si="69">+SUM(FH6:FK6)</f>
        <v>31</v>
      </c>
      <c r="FM6" s="3"/>
      <c r="FN6" s="46">
        <f t="shared" ref="FN6:FN12" si="70">+SUM(EO6/52)*100</f>
        <v>0</v>
      </c>
      <c r="FO6" s="46">
        <f t="shared" ref="FO6:FO12" si="71">+SUM(EP6/56)*100</f>
        <v>0</v>
      </c>
      <c r="FP6" s="46">
        <f t="shared" ref="FP6:FP12" si="72">+SUM(EQ6/20)*100</f>
        <v>0</v>
      </c>
      <c r="FQ6" s="46">
        <f t="shared" ref="FQ6:FQ12" si="73">+SUM(ER6/36)*100</f>
        <v>0</v>
      </c>
      <c r="FR6" s="46">
        <f t="shared" ref="FR6:FR12" si="74">+SUM(ES6/28)*100</f>
        <v>0</v>
      </c>
      <c r="FS6" s="46">
        <f t="shared" ref="FS6:FS12" si="75">+SUM(ET6/12)*100</f>
        <v>0</v>
      </c>
      <c r="FT6" s="46">
        <f t="shared" ref="FT6:FT12" si="76">+SUM(EU6/16)*100</f>
        <v>0</v>
      </c>
      <c r="FU6" s="46">
        <f t="shared" ref="FU6:FU12" si="77">+SUM(EV6/16)*100</f>
        <v>0</v>
      </c>
      <c r="FV6" s="46">
        <f t="shared" ref="FV6:FV12" si="78">+SUM(EW6/12)*100</f>
        <v>0</v>
      </c>
      <c r="FW6" s="46">
        <f t="shared" ref="FW6:FW12" si="79">+SUM(EX6/48)*100</f>
        <v>12.5</v>
      </c>
      <c r="FX6" s="46">
        <f t="shared" ref="FX6:FX12" si="80">+SUM(EY6/36)*100</f>
        <v>0</v>
      </c>
      <c r="FY6" s="46">
        <f t="shared" ref="FY6:FY12" si="81">+SUM(EZ6/24)*100</f>
        <v>0</v>
      </c>
      <c r="FZ6" s="46">
        <f t="shared" ref="FZ6:FZ12" si="82">+SUM(FA6/16)*100</f>
        <v>0</v>
      </c>
      <c r="GA6" s="46">
        <f t="shared" ref="GA6:GA12" si="83">+SUM(FB6/24)*100</f>
        <v>62.5</v>
      </c>
      <c r="GB6" s="46">
        <f t="shared" ref="GB6:GB12" si="84">+SUM(FC6/20)*100</f>
        <v>50</v>
      </c>
      <c r="GC6" s="46">
        <f t="shared" ref="GC6:GC12" si="85">+SUM(FD6/20)*100</f>
        <v>0</v>
      </c>
      <c r="GD6" s="46">
        <f t="shared" ref="GD6:GD12" si="86">+SUM(FE6/12)*100</f>
        <v>0</v>
      </c>
      <c r="GE6" s="46">
        <f t="shared" ref="GE6:GE12" si="87">+SUM(FF6/20)*100</f>
        <v>0</v>
      </c>
      <c r="GF6" s="46">
        <f t="shared" ref="GF6:GF12" si="88">+SUM(FG6/24)*100</f>
        <v>0</v>
      </c>
      <c r="GG6" s="46">
        <f t="shared" ref="GG6:GG12" si="89">+SUM(FH6/164)*100</f>
        <v>0</v>
      </c>
      <c r="GH6" s="46">
        <f t="shared" ref="GH6:GH12" si="90">+SUM(FI6/84)*100</f>
        <v>0</v>
      </c>
      <c r="GI6" s="46">
        <f t="shared" ref="GI6:GI12" si="91">+SUM(FJ6/200)*100</f>
        <v>15.5</v>
      </c>
      <c r="GJ6" s="46">
        <f t="shared" ref="GJ6:GJ12" si="92">+SUM(FK6/44)*100</f>
        <v>0</v>
      </c>
      <c r="GK6" s="46">
        <f t="shared" ref="GK6:GK12" si="93">+SUM(FL6/492)*100</f>
        <v>6.3008130081300813</v>
      </c>
      <c r="GM6" s="58">
        <f>FL6+'EXTRALABORAL A '!BH5</f>
        <v>58</v>
      </c>
      <c r="GN6" s="58">
        <f t="shared" ref="GN6:GN31" si="94">+SUM(GM6/616)*100</f>
        <v>9.4155844155844157</v>
      </c>
    </row>
    <row r="7" spans="1:196">
      <c r="A7" s="3">
        <v>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EO7" s="32">
        <f t="shared" si="46"/>
        <v>0</v>
      </c>
      <c r="EP7" s="32">
        <f t="shared" si="47"/>
        <v>0</v>
      </c>
      <c r="EQ7" s="32">
        <f t="shared" si="48"/>
        <v>0</v>
      </c>
      <c r="ER7" s="32">
        <f t="shared" si="49"/>
        <v>0</v>
      </c>
      <c r="ES7" s="33">
        <f t="shared" si="50"/>
        <v>0</v>
      </c>
      <c r="ET7" s="33">
        <f t="shared" si="51"/>
        <v>0</v>
      </c>
      <c r="EU7" s="33">
        <f t="shared" si="52"/>
        <v>0</v>
      </c>
      <c r="EV7" s="33">
        <f t="shared" si="53"/>
        <v>0</v>
      </c>
      <c r="EW7" s="33">
        <f t="shared" si="54"/>
        <v>0</v>
      </c>
      <c r="EX7" s="34">
        <f t="shared" si="55"/>
        <v>0</v>
      </c>
      <c r="EY7" s="34">
        <f t="shared" si="56"/>
        <v>0</v>
      </c>
      <c r="EZ7" s="34">
        <f t="shared" si="57"/>
        <v>0</v>
      </c>
      <c r="FA7" s="34">
        <f t="shared" si="58"/>
        <v>0</v>
      </c>
      <c r="FB7" s="34">
        <f t="shared" si="59"/>
        <v>0</v>
      </c>
      <c r="FC7" s="34">
        <f t="shared" si="60"/>
        <v>0</v>
      </c>
      <c r="FD7" s="34">
        <f t="shared" si="61"/>
        <v>0</v>
      </c>
      <c r="FE7" s="34">
        <f t="shared" si="62"/>
        <v>0</v>
      </c>
      <c r="FF7" s="35">
        <f t="shared" si="63"/>
        <v>0</v>
      </c>
      <c r="FG7" s="35">
        <f t="shared" si="64"/>
        <v>0</v>
      </c>
      <c r="FH7" s="3">
        <f t="shared" si="65"/>
        <v>0</v>
      </c>
      <c r="FI7" s="3">
        <f t="shared" si="66"/>
        <v>0</v>
      </c>
      <c r="FJ7" s="3">
        <f t="shared" si="67"/>
        <v>0</v>
      </c>
      <c r="FK7" s="3">
        <f t="shared" si="68"/>
        <v>0</v>
      </c>
      <c r="FL7" s="24">
        <f t="shared" si="69"/>
        <v>0</v>
      </c>
      <c r="FM7" s="3"/>
      <c r="FN7" s="46">
        <f t="shared" si="70"/>
        <v>0</v>
      </c>
      <c r="FO7" s="46">
        <f t="shared" si="71"/>
        <v>0</v>
      </c>
      <c r="FP7" s="46">
        <f t="shared" si="72"/>
        <v>0</v>
      </c>
      <c r="FQ7" s="46">
        <f t="shared" si="73"/>
        <v>0</v>
      </c>
      <c r="FR7" s="46">
        <f t="shared" si="74"/>
        <v>0</v>
      </c>
      <c r="FS7" s="46">
        <f t="shared" si="75"/>
        <v>0</v>
      </c>
      <c r="FT7" s="46">
        <f t="shared" si="76"/>
        <v>0</v>
      </c>
      <c r="FU7" s="46">
        <f t="shared" si="77"/>
        <v>0</v>
      </c>
      <c r="FV7" s="46">
        <f t="shared" si="78"/>
        <v>0</v>
      </c>
      <c r="FW7" s="46">
        <f t="shared" si="79"/>
        <v>0</v>
      </c>
      <c r="FX7" s="46">
        <f t="shared" si="80"/>
        <v>0</v>
      </c>
      <c r="FY7" s="46">
        <f t="shared" si="81"/>
        <v>0</v>
      </c>
      <c r="FZ7" s="46">
        <f t="shared" si="82"/>
        <v>0</v>
      </c>
      <c r="GA7" s="46">
        <f t="shared" si="83"/>
        <v>0</v>
      </c>
      <c r="GB7" s="46">
        <f t="shared" si="84"/>
        <v>0</v>
      </c>
      <c r="GC7" s="46">
        <f t="shared" si="85"/>
        <v>0</v>
      </c>
      <c r="GD7" s="46">
        <f t="shared" si="86"/>
        <v>0</v>
      </c>
      <c r="GE7" s="46">
        <f t="shared" si="87"/>
        <v>0</v>
      </c>
      <c r="GF7" s="46">
        <f t="shared" si="88"/>
        <v>0</v>
      </c>
      <c r="GG7" s="46">
        <f t="shared" si="89"/>
        <v>0</v>
      </c>
      <c r="GH7" s="46">
        <f t="shared" si="90"/>
        <v>0</v>
      </c>
      <c r="GI7" s="46">
        <f t="shared" si="91"/>
        <v>0</v>
      </c>
      <c r="GJ7" s="46">
        <f t="shared" si="92"/>
        <v>0</v>
      </c>
      <c r="GK7" s="46">
        <f t="shared" si="93"/>
        <v>0</v>
      </c>
      <c r="GM7" s="58">
        <f>FL7+'EXTRALABORAL A '!BH6</f>
        <v>0</v>
      </c>
      <c r="GN7" s="58">
        <f t="shared" si="94"/>
        <v>0</v>
      </c>
    </row>
    <row r="8" spans="1:196">
      <c r="A8" s="3">
        <v>4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EO8" s="32">
        <f t="shared" si="46"/>
        <v>0</v>
      </c>
      <c r="EP8" s="32">
        <f t="shared" si="47"/>
        <v>0</v>
      </c>
      <c r="EQ8" s="32">
        <f t="shared" si="48"/>
        <v>0</v>
      </c>
      <c r="ER8" s="32">
        <f t="shared" si="49"/>
        <v>0</v>
      </c>
      <c r="ES8" s="33">
        <f t="shared" si="50"/>
        <v>0</v>
      </c>
      <c r="ET8" s="33">
        <f t="shared" si="51"/>
        <v>0</v>
      </c>
      <c r="EU8" s="33">
        <f t="shared" si="52"/>
        <v>0</v>
      </c>
      <c r="EV8" s="33">
        <f t="shared" si="53"/>
        <v>0</v>
      </c>
      <c r="EW8" s="33">
        <f t="shared" si="54"/>
        <v>0</v>
      </c>
      <c r="EX8" s="34">
        <f t="shared" si="55"/>
        <v>0</v>
      </c>
      <c r="EY8" s="34">
        <f t="shared" si="56"/>
        <v>0</v>
      </c>
      <c r="EZ8" s="34">
        <f t="shared" si="57"/>
        <v>0</v>
      </c>
      <c r="FA8" s="34">
        <f t="shared" si="58"/>
        <v>0</v>
      </c>
      <c r="FB8" s="34">
        <f t="shared" si="59"/>
        <v>0</v>
      </c>
      <c r="FC8" s="34">
        <f t="shared" si="60"/>
        <v>0</v>
      </c>
      <c r="FD8" s="34">
        <f t="shared" si="61"/>
        <v>0</v>
      </c>
      <c r="FE8" s="34">
        <f t="shared" si="62"/>
        <v>0</v>
      </c>
      <c r="FF8" s="35">
        <f t="shared" si="63"/>
        <v>0</v>
      </c>
      <c r="FG8" s="35">
        <f t="shared" si="64"/>
        <v>0</v>
      </c>
      <c r="FH8" s="3">
        <f t="shared" si="65"/>
        <v>0</v>
      </c>
      <c r="FI8" s="3">
        <f t="shared" si="66"/>
        <v>0</v>
      </c>
      <c r="FJ8" s="3">
        <f t="shared" si="67"/>
        <v>0</v>
      </c>
      <c r="FK8" s="3">
        <f t="shared" si="68"/>
        <v>0</v>
      </c>
      <c r="FL8" s="24">
        <f t="shared" si="69"/>
        <v>0</v>
      </c>
      <c r="FM8" s="3"/>
      <c r="FN8" s="46">
        <f t="shared" si="70"/>
        <v>0</v>
      </c>
      <c r="FO8" s="46">
        <f t="shared" si="71"/>
        <v>0</v>
      </c>
      <c r="FP8" s="46">
        <f t="shared" si="72"/>
        <v>0</v>
      </c>
      <c r="FQ8" s="46">
        <f t="shared" si="73"/>
        <v>0</v>
      </c>
      <c r="FR8" s="46">
        <f t="shared" si="74"/>
        <v>0</v>
      </c>
      <c r="FS8" s="46">
        <f t="shared" si="75"/>
        <v>0</v>
      </c>
      <c r="FT8" s="46">
        <f t="shared" si="76"/>
        <v>0</v>
      </c>
      <c r="FU8" s="46">
        <f t="shared" si="77"/>
        <v>0</v>
      </c>
      <c r="FV8" s="46">
        <f t="shared" si="78"/>
        <v>0</v>
      </c>
      <c r="FW8" s="46">
        <f t="shared" si="79"/>
        <v>0</v>
      </c>
      <c r="FX8" s="46">
        <f t="shared" si="80"/>
        <v>0</v>
      </c>
      <c r="FY8" s="46">
        <f t="shared" si="81"/>
        <v>0</v>
      </c>
      <c r="FZ8" s="46">
        <f t="shared" si="82"/>
        <v>0</v>
      </c>
      <c r="GA8" s="46">
        <f t="shared" si="83"/>
        <v>0</v>
      </c>
      <c r="GB8" s="46">
        <f t="shared" si="84"/>
        <v>0</v>
      </c>
      <c r="GC8" s="46">
        <f t="shared" si="85"/>
        <v>0</v>
      </c>
      <c r="GD8" s="46">
        <f t="shared" si="86"/>
        <v>0</v>
      </c>
      <c r="GE8" s="46">
        <f t="shared" si="87"/>
        <v>0</v>
      </c>
      <c r="GF8" s="46">
        <f t="shared" si="88"/>
        <v>0</v>
      </c>
      <c r="GG8" s="46">
        <f t="shared" si="89"/>
        <v>0</v>
      </c>
      <c r="GH8" s="46">
        <f t="shared" si="90"/>
        <v>0</v>
      </c>
      <c r="GI8" s="46">
        <f t="shared" si="91"/>
        <v>0</v>
      </c>
      <c r="GJ8" s="46">
        <f t="shared" si="92"/>
        <v>0</v>
      </c>
      <c r="GK8" s="46">
        <f t="shared" si="93"/>
        <v>0</v>
      </c>
      <c r="GM8" s="58">
        <f>FL8+'EXTRALABORAL A '!BH7</f>
        <v>0</v>
      </c>
      <c r="GN8" s="58">
        <f t="shared" si="94"/>
        <v>0</v>
      </c>
    </row>
    <row r="9" spans="1:196">
      <c r="A9" s="3">
        <v>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EO9" s="32">
        <f t="shared" si="46"/>
        <v>0</v>
      </c>
      <c r="EP9" s="32">
        <f t="shared" si="47"/>
        <v>0</v>
      </c>
      <c r="EQ9" s="32">
        <f t="shared" si="48"/>
        <v>0</v>
      </c>
      <c r="ER9" s="32">
        <f t="shared" si="49"/>
        <v>0</v>
      </c>
      <c r="ES9" s="33">
        <f t="shared" si="50"/>
        <v>0</v>
      </c>
      <c r="ET9" s="33">
        <f t="shared" si="51"/>
        <v>0</v>
      </c>
      <c r="EU9" s="33">
        <f t="shared" si="52"/>
        <v>0</v>
      </c>
      <c r="EV9" s="33">
        <f t="shared" si="53"/>
        <v>0</v>
      </c>
      <c r="EW9" s="33">
        <f t="shared" si="54"/>
        <v>0</v>
      </c>
      <c r="EX9" s="34">
        <f t="shared" si="55"/>
        <v>0</v>
      </c>
      <c r="EY9" s="34">
        <f t="shared" si="56"/>
        <v>0</v>
      </c>
      <c r="EZ9" s="34">
        <f t="shared" si="57"/>
        <v>0</v>
      </c>
      <c r="FA9" s="34">
        <f t="shared" si="58"/>
        <v>0</v>
      </c>
      <c r="FB9" s="34">
        <f t="shared" si="59"/>
        <v>0</v>
      </c>
      <c r="FC9" s="34">
        <f t="shared" si="60"/>
        <v>0</v>
      </c>
      <c r="FD9" s="34">
        <f t="shared" si="61"/>
        <v>0</v>
      </c>
      <c r="FE9" s="34">
        <f t="shared" si="62"/>
        <v>0</v>
      </c>
      <c r="FF9" s="35">
        <f t="shared" si="63"/>
        <v>0</v>
      </c>
      <c r="FG9" s="35">
        <f t="shared" si="64"/>
        <v>0</v>
      </c>
      <c r="FH9" s="3">
        <f t="shared" si="65"/>
        <v>0</v>
      </c>
      <c r="FI9" s="3">
        <f t="shared" si="66"/>
        <v>0</v>
      </c>
      <c r="FJ9" s="3">
        <f t="shared" si="67"/>
        <v>0</v>
      </c>
      <c r="FK9" s="3">
        <f t="shared" si="68"/>
        <v>0</v>
      </c>
      <c r="FL9" s="24">
        <f t="shared" si="69"/>
        <v>0</v>
      </c>
      <c r="FM9" s="3"/>
      <c r="FN9" s="46">
        <f t="shared" si="70"/>
        <v>0</v>
      </c>
      <c r="FO9" s="46">
        <f t="shared" si="71"/>
        <v>0</v>
      </c>
      <c r="FP9" s="46">
        <f t="shared" si="72"/>
        <v>0</v>
      </c>
      <c r="FQ9" s="46">
        <f t="shared" si="73"/>
        <v>0</v>
      </c>
      <c r="FR9" s="46">
        <f t="shared" si="74"/>
        <v>0</v>
      </c>
      <c r="FS9" s="46">
        <f t="shared" si="75"/>
        <v>0</v>
      </c>
      <c r="FT9" s="46">
        <f t="shared" si="76"/>
        <v>0</v>
      </c>
      <c r="FU9" s="46">
        <f t="shared" si="77"/>
        <v>0</v>
      </c>
      <c r="FV9" s="46">
        <f t="shared" si="78"/>
        <v>0</v>
      </c>
      <c r="FW9" s="46">
        <f t="shared" si="79"/>
        <v>0</v>
      </c>
      <c r="FX9" s="46">
        <f t="shared" si="80"/>
        <v>0</v>
      </c>
      <c r="FY9" s="46">
        <f t="shared" si="81"/>
        <v>0</v>
      </c>
      <c r="FZ9" s="46">
        <f t="shared" si="82"/>
        <v>0</v>
      </c>
      <c r="GA9" s="46">
        <f t="shared" si="83"/>
        <v>0</v>
      </c>
      <c r="GB9" s="46">
        <f t="shared" si="84"/>
        <v>0</v>
      </c>
      <c r="GC9" s="46">
        <f t="shared" si="85"/>
        <v>0</v>
      </c>
      <c r="GD9" s="46">
        <f t="shared" si="86"/>
        <v>0</v>
      </c>
      <c r="GE9" s="46">
        <f t="shared" si="87"/>
        <v>0</v>
      </c>
      <c r="GF9" s="46">
        <f t="shared" si="88"/>
        <v>0</v>
      </c>
      <c r="GG9" s="46">
        <f t="shared" si="89"/>
        <v>0</v>
      </c>
      <c r="GH9" s="46">
        <f t="shared" si="90"/>
        <v>0</v>
      </c>
      <c r="GI9" s="46">
        <f t="shared" si="91"/>
        <v>0</v>
      </c>
      <c r="GJ9" s="46">
        <f t="shared" si="92"/>
        <v>0</v>
      </c>
      <c r="GK9" s="46">
        <f t="shared" si="93"/>
        <v>0</v>
      </c>
      <c r="GM9" s="58">
        <f>FL9+'EXTRALABORAL A '!BH8</f>
        <v>0</v>
      </c>
      <c r="GN9" s="58">
        <f t="shared" si="94"/>
        <v>0</v>
      </c>
    </row>
    <row r="10" spans="1:196">
      <c r="A10" s="3">
        <v>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EO10" s="32">
        <f t="shared" si="46"/>
        <v>0</v>
      </c>
      <c r="EP10" s="32">
        <f t="shared" si="47"/>
        <v>0</v>
      </c>
      <c r="EQ10" s="32">
        <f t="shared" si="48"/>
        <v>0</v>
      </c>
      <c r="ER10" s="32">
        <f t="shared" si="49"/>
        <v>0</v>
      </c>
      <c r="ES10" s="33">
        <f t="shared" si="50"/>
        <v>0</v>
      </c>
      <c r="ET10" s="33">
        <f t="shared" si="51"/>
        <v>0</v>
      </c>
      <c r="EU10" s="33">
        <f t="shared" si="52"/>
        <v>0</v>
      </c>
      <c r="EV10" s="33">
        <f t="shared" si="53"/>
        <v>0</v>
      </c>
      <c r="EW10" s="33">
        <f t="shared" si="54"/>
        <v>0</v>
      </c>
      <c r="EX10" s="34">
        <f t="shared" si="55"/>
        <v>0</v>
      </c>
      <c r="EY10" s="34">
        <f t="shared" si="56"/>
        <v>0</v>
      </c>
      <c r="EZ10" s="34">
        <f t="shared" si="57"/>
        <v>0</v>
      </c>
      <c r="FA10" s="34">
        <f t="shared" si="58"/>
        <v>0</v>
      </c>
      <c r="FB10" s="34">
        <f t="shared" si="59"/>
        <v>0</v>
      </c>
      <c r="FC10" s="34">
        <f t="shared" si="60"/>
        <v>0</v>
      </c>
      <c r="FD10" s="34">
        <f t="shared" si="61"/>
        <v>0</v>
      </c>
      <c r="FE10" s="34">
        <f t="shared" si="62"/>
        <v>0</v>
      </c>
      <c r="FF10" s="35">
        <f t="shared" si="63"/>
        <v>0</v>
      </c>
      <c r="FG10" s="35">
        <f t="shared" si="64"/>
        <v>0</v>
      </c>
      <c r="FH10" s="3">
        <f t="shared" si="65"/>
        <v>0</v>
      </c>
      <c r="FI10" s="3">
        <f t="shared" si="66"/>
        <v>0</v>
      </c>
      <c r="FJ10" s="3">
        <f t="shared" si="67"/>
        <v>0</v>
      </c>
      <c r="FK10" s="3">
        <f t="shared" si="68"/>
        <v>0</v>
      </c>
      <c r="FL10" s="24">
        <f t="shared" si="69"/>
        <v>0</v>
      </c>
      <c r="FM10" s="3"/>
      <c r="FN10" s="46">
        <f t="shared" si="70"/>
        <v>0</v>
      </c>
      <c r="FO10" s="46">
        <f t="shared" si="71"/>
        <v>0</v>
      </c>
      <c r="FP10" s="46">
        <f t="shared" si="72"/>
        <v>0</v>
      </c>
      <c r="FQ10" s="46">
        <f t="shared" si="73"/>
        <v>0</v>
      </c>
      <c r="FR10" s="46">
        <f t="shared" si="74"/>
        <v>0</v>
      </c>
      <c r="FS10" s="46">
        <f t="shared" si="75"/>
        <v>0</v>
      </c>
      <c r="FT10" s="46">
        <f t="shared" si="76"/>
        <v>0</v>
      </c>
      <c r="FU10" s="46">
        <f t="shared" si="77"/>
        <v>0</v>
      </c>
      <c r="FV10" s="46">
        <f t="shared" si="78"/>
        <v>0</v>
      </c>
      <c r="FW10" s="46">
        <f t="shared" si="79"/>
        <v>0</v>
      </c>
      <c r="FX10" s="46">
        <f t="shared" si="80"/>
        <v>0</v>
      </c>
      <c r="FY10" s="46">
        <f t="shared" si="81"/>
        <v>0</v>
      </c>
      <c r="FZ10" s="46">
        <f t="shared" si="82"/>
        <v>0</v>
      </c>
      <c r="GA10" s="46">
        <f t="shared" si="83"/>
        <v>0</v>
      </c>
      <c r="GB10" s="46">
        <f t="shared" si="84"/>
        <v>0</v>
      </c>
      <c r="GC10" s="46">
        <f t="shared" si="85"/>
        <v>0</v>
      </c>
      <c r="GD10" s="46">
        <f t="shared" si="86"/>
        <v>0</v>
      </c>
      <c r="GE10" s="46">
        <f t="shared" si="87"/>
        <v>0</v>
      </c>
      <c r="GF10" s="46">
        <f t="shared" si="88"/>
        <v>0</v>
      </c>
      <c r="GG10" s="46">
        <f t="shared" si="89"/>
        <v>0</v>
      </c>
      <c r="GH10" s="46">
        <f t="shared" si="90"/>
        <v>0</v>
      </c>
      <c r="GI10" s="46">
        <f t="shared" si="91"/>
        <v>0</v>
      </c>
      <c r="GJ10" s="46">
        <f t="shared" si="92"/>
        <v>0</v>
      </c>
      <c r="GK10" s="46">
        <f t="shared" si="93"/>
        <v>0</v>
      </c>
      <c r="GM10" s="58">
        <f>FL10+'EXTRALABORAL A '!BH9</f>
        <v>0</v>
      </c>
      <c r="GN10" s="58">
        <f t="shared" si="94"/>
        <v>0</v>
      </c>
    </row>
    <row r="11" spans="1:196">
      <c r="A11" s="3">
        <v>7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EO11" s="32">
        <f t="shared" ref="EO11:EO23" si="95">+SUM(CF11:CR11)</f>
        <v>0</v>
      </c>
      <c r="EP11" s="32">
        <f t="shared" ref="EP11:EP23" si="96">+SUM(CS11:DF11)</f>
        <v>0</v>
      </c>
      <c r="EQ11" s="32">
        <f t="shared" ref="EQ11:EQ23" si="97">+SUM(DG11:DK11)</f>
        <v>0</v>
      </c>
      <c r="ER11" s="32">
        <f t="shared" ref="ER11:ER23" si="98">+SUM(EF11:EN11)</f>
        <v>0</v>
      </c>
      <c r="ES11" s="33">
        <f t="shared" ref="ES11:ES23" si="99">+SUM(BV11:CB11)</f>
        <v>0</v>
      </c>
      <c r="ET11" s="33">
        <f t="shared" ref="ET11:ET23" si="100">+SUM(CC11:CE11)</f>
        <v>0</v>
      </c>
      <c r="EU11" s="33">
        <f t="shared" ref="EU11:EU23" si="101">+SUM(BQ11:BT11)</f>
        <v>0</v>
      </c>
      <c r="EV11" s="33">
        <f t="shared" ref="EV11:EV23" si="102">+SUM(BH11:BK11)</f>
        <v>0</v>
      </c>
      <c r="EW11" s="33">
        <f t="shared" ref="EW11:EW23" si="103">+SUM(BM11:BO11)</f>
        <v>0</v>
      </c>
      <c r="EX11" s="34">
        <f t="shared" ref="EX11:EX23" si="104">+SUM(V11:AG11)</f>
        <v>0</v>
      </c>
      <c r="EY11" s="34">
        <f t="shared" ref="EY11:EY23" si="105">+SUM(DW11:EE11)</f>
        <v>0</v>
      </c>
      <c r="EZ11" s="34">
        <f t="shared" ref="EZ11:EZ23" si="106">+SUM(AH11+AI11+AJ11+BA11+BL11+BP11)</f>
        <v>0</v>
      </c>
      <c r="FA11" s="34">
        <f t="shared" ref="FA11:FA23" si="107">SUM(BD11:BG11)</f>
        <v>0</v>
      </c>
      <c r="FB11" s="34">
        <f t="shared" ref="FB11:FB23" si="108">+SUM(AN11+AQ11+AR11+AS11+AT11+AU11)</f>
        <v>0</v>
      </c>
      <c r="FC11" s="34">
        <f t="shared" ref="FC11:FC23" si="109">+SUM(AK11+AL11+AM11+AO11+AP11)</f>
        <v>0</v>
      </c>
      <c r="FD11" s="34">
        <f t="shared" ref="FD11:FD23" si="110">+SUM(AV11+AW11+AX11+AY11+BU11)</f>
        <v>0</v>
      </c>
      <c r="FE11" s="34">
        <f t="shared" ref="FE11:FE23" si="111">+SUM(AZ11+BB11+BC11)</f>
        <v>0</v>
      </c>
      <c r="FF11" s="35">
        <f t="shared" ref="FF11:FF23" si="112">+SUM(DL11+DS11+DT11+DU11+DV11)</f>
        <v>0</v>
      </c>
      <c r="FG11" s="35">
        <f t="shared" ref="FG11:FG23" si="113">+SUM(DM11:DR11)</f>
        <v>0</v>
      </c>
      <c r="FH11" s="3">
        <f t="shared" si="65"/>
        <v>0</v>
      </c>
      <c r="FI11" s="3">
        <f t="shared" si="66"/>
        <v>0</v>
      </c>
      <c r="FJ11" s="3">
        <f t="shared" si="67"/>
        <v>0</v>
      </c>
      <c r="FK11" s="3">
        <f t="shared" si="68"/>
        <v>0</v>
      </c>
      <c r="FL11" s="24">
        <f t="shared" si="69"/>
        <v>0</v>
      </c>
      <c r="FM11" s="3"/>
      <c r="FN11" s="46">
        <f t="shared" si="70"/>
        <v>0</v>
      </c>
      <c r="FO11" s="46">
        <f t="shared" si="71"/>
        <v>0</v>
      </c>
      <c r="FP11" s="46">
        <f t="shared" si="72"/>
        <v>0</v>
      </c>
      <c r="FQ11" s="46">
        <f t="shared" si="73"/>
        <v>0</v>
      </c>
      <c r="FR11" s="46">
        <f t="shared" si="74"/>
        <v>0</v>
      </c>
      <c r="FS11" s="46">
        <f t="shared" si="75"/>
        <v>0</v>
      </c>
      <c r="FT11" s="46">
        <f t="shared" si="76"/>
        <v>0</v>
      </c>
      <c r="FU11" s="46">
        <f t="shared" si="77"/>
        <v>0</v>
      </c>
      <c r="FV11" s="46">
        <f t="shared" si="78"/>
        <v>0</v>
      </c>
      <c r="FW11" s="46">
        <f t="shared" si="79"/>
        <v>0</v>
      </c>
      <c r="FX11" s="46">
        <f t="shared" si="80"/>
        <v>0</v>
      </c>
      <c r="FY11" s="46">
        <f t="shared" si="81"/>
        <v>0</v>
      </c>
      <c r="FZ11" s="46">
        <f t="shared" si="82"/>
        <v>0</v>
      </c>
      <c r="GA11" s="46">
        <f t="shared" si="83"/>
        <v>0</v>
      </c>
      <c r="GB11" s="46">
        <f t="shared" si="84"/>
        <v>0</v>
      </c>
      <c r="GC11" s="46">
        <f t="shared" si="85"/>
        <v>0</v>
      </c>
      <c r="GD11" s="46">
        <f t="shared" si="86"/>
        <v>0</v>
      </c>
      <c r="GE11" s="46">
        <f t="shared" si="87"/>
        <v>0</v>
      </c>
      <c r="GF11" s="46">
        <f t="shared" si="88"/>
        <v>0</v>
      </c>
      <c r="GG11" s="46">
        <f t="shared" si="89"/>
        <v>0</v>
      </c>
      <c r="GH11" s="46">
        <f t="shared" si="90"/>
        <v>0</v>
      </c>
      <c r="GI11" s="46">
        <f t="shared" si="91"/>
        <v>0</v>
      </c>
      <c r="GJ11" s="46">
        <f t="shared" si="92"/>
        <v>0</v>
      </c>
      <c r="GK11" s="46">
        <f t="shared" si="93"/>
        <v>0</v>
      </c>
      <c r="GM11" s="58">
        <f>FL11+'EXTRALABORAL A '!BH10</f>
        <v>0</v>
      </c>
      <c r="GN11" s="58">
        <f t="shared" si="94"/>
        <v>0</v>
      </c>
    </row>
    <row r="12" spans="1:196">
      <c r="A12" s="3">
        <v>8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EO12" s="32">
        <f t="shared" si="95"/>
        <v>0</v>
      </c>
      <c r="EP12" s="32">
        <f t="shared" si="96"/>
        <v>0</v>
      </c>
      <c r="EQ12" s="32">
        <f t="shared" si="97"/>
        <v>0</v>
      </c>
      <c r="ER12" s="32">
        <f t="shared" si="98"/>
        <v>0</v>
      </c>
      <c r="ES12" s="33">
        <f t="shared" si="99"/>
        <v>0</v>
      </c>
      <c r="ET12" s="33">
        <f t="shared" si="100"/>
        <v>0</v>
      </c>
      <c r="EU12" s="33">
        <f t="shared" si="101"/>
        <v>0</v>
      </c>
      <c r="EV12" s="33">
        <f t="shared" si="102"/>
        <v>0</v>
      </c>
      <c r="EW12" s="33">
        <f t="shared" si="103"/>
        <v>0</v>
      </c>
      <c r="EX12" s="34">
        <f t="shared" si="104"/>
        <v>0</v>
      </c>
      <c r="EY12" s="34">
        <f t="shared" si="105"/>
        <v>0</v>
      </c>
      <c r="EZ12" s="34">
        <f t="shared" si="106"/>
        <v>0</v>
      </c>
      <c r="FA12" s="34">
        <f t="shared" si="107"/>
        <v>0</v>
      </c>
      <c r="FB12" s="34">
        <f t="shared" si="108"/>
        <v>0</v>
      </c>
      <c r="FC12" s="34">
        <f t="shared" si="109"/>
        <v>0</v>
      </c>
      <c r="FD12" s="34">
        <f t="shared" si="110"/>
        <v>0</v>
      </c>
      <c r="FE12" s="34">
        <f t="shared" si="111"/>
        <v>0</v>
      </c>
      <c r="FF12" s="35">
        <f t="shared" si="112"/>
        <v>0</v>
      </c>
      <c r="FG12" s="35">
        <f t="shared" si="113"/>
        <v>0</v>
      </c>
      <c r="FH12" s="3">
        <f t="shared" si="65"/>
        <v>0</v>
      </c>
      <c r="FI12" s="3">
        <f t="shared" si="66"/>
        <v>0</v>
      </c>
      <c r="FJ12" s="3">
        <f t="shared" si="67"/>
        <v>0</v>
      </c>
      <c r="FK12" s="3">
        <f t="shared" si="68"/>
        <v>0</v>
      </c>
      <c r="FL12" s="24">
        <f t="shared" si="69"/>
        <v>0</v>
      </c>
      <c r="FM12" s="3"/>
      <c r="FN12" s="46">
        <f t="shared" si="70"/>
        <v>0</v>
      </c>
      <c r="FO12" s="46">
        <f t="shared" si="71"/>
        <v>0</v>
      </c>
      <c r="FP12" s="46">
        <f t="shared" si="72"/>
        <v>0</v>
      </c>
      <c r="FQ12" s="46">
        <f t="shared" si="73"/>
        <v>0</v>
      </c>
      <c r="FR12" s="46">
        <f t="shared" si="74"/>
        <v>0</v>
      </c>
      <c r="FS12" s="46">
        <f t="shared" si="75"/>
        <v>0</v>
      </c>
      <c r="FT12" s="46">
        <f t="shared" si="76"/>
        <v>0</v>
      </c>
      <c r="FU12" s="46">
        <f t="shared" si="77"/>
        <v>0</v>
      </c>
      <c r="FV12" s="46">
        <f t="shared" si="78"/>
        <v>0</v>
      </c>
      <c r="FW12" s="46">
        <f t="shared" si="79"/>
        <v>0</v>
      </c>
      <c r="FX12" s="46">
        <f t="shared" si="80"/>
        <v>0</v>
      </c>
      <c r="FY12" s="46">
        <f t="shared" si="81"/>
        <v>0</v>
      </c>
      <c r="FZ12" s="46">
        <f t="shared" si="82"/>
        <v>0</v>
      </c>
      <c r="GA12" s="46">
        <f t="shared" si="83"/>
        <v>0</v>
      </c>
      <c r="GB12" s="46">
        <f t="shared" si="84"/>
        <v>0</v>
      </c>
      <c r="GC12" s="46">
        <f t="shared" si="85"/>
        <v>0</v>
      </c>
      <c r="GD12" s="46">
        <f t="shared" si="86"/>
        <v>0</v>
      </c>
      <c r="GE12" s="46">
        <f t="shared" si="87"/>
        <v>0</v>
      </c>
      <c r="GF12" s="46">
        <f t="shared" si="88"/>
        <v>0</v>
      </c>
      <c r="GG12" s="46">
        <f t="shared" si="89"/>
        <v>0</v>
      </c>
      <c r="GH12" s="46">
        <f t="shared" si="90"/>
        <v>0</v>
      </c>
      <c r="GI12" s="46">
        <f t="shared" si="91"/>
        <v>0</v>
      </c>
      <c r="GJ12" s="46">
        <f t="shared" si="92"/>
        <v>0</v>
      </c>
      <c r="GK12" s="46">
        <f t="shared" si="93"/>
        <v>0</v>
      </c>
      <c r="GM12" s="58">
        <f>FL12+'EXTRALABORAL A '!BH11</f>
        <v>0</v>
      </c>
      <c r="GN12" s="58">
        <f t="shared" si="94"/>
        <v>0</v>
      </c>
    </row>
    <row r="13" spans="1:196">
      <c r="A13" s="3">
        <v>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CK13" s="6">
        <v>1</v>
      </c>
      <c r="EO13" s="32">
        <f t="shared" si="95"/>
        <v>1</v>
      </c>
      <c r="EP13" s="32">
        <f t="shared" si="96"/>
        <v>0</v>
      </c>
      <c r="EQ13" s="32">
        <f t="shared" si="97"/>
        <v>0</v>
      </c>
      <c r="ER13" s="32">
        <f t="shared" si="98"/>
        <v>0</v>
      </c>
      <c r="ES13" s="33">
        <f t="shared" si="99"/>
        <v>0</v>
      </c>
      <c r="ET13" s="33">
        <f t="shared" si="100"/>
        <v>0</v>
      </c>
      <c r="EU13" s="33">
        <f t="shared" si="101"/>
        <v>0</v>
      </c>
      <c r="EV13" s="33">
        <f t="shared" si="102"/>
        <v>0</v>
      </c>
      <c r="EW13" s="33">
        <f t="shared" si="103"/>
        <v>0</v>
      </c>
      <c r="EX13" s="34">
        <f t="shared" si="104"/>
        <v>0</v>
      </c>
      <c r="EY13" s="34">
        <f t="shared" si="105"/>
        <v>0</v>
      </c>
      <c r="EZ13" s="34">
        <f t="shared" si="106"/>
        <v>0</v>
      </c>
      <c r="FA13" s="34">
        <f t="shared" si="107"/>
        <v>0</v>
      </c>
      <c r="FB13" s="34">
        <f t="shared" si="108"/>
        <v>0</v>
      </c>
      <c r="FC13" s="34">
        <f t="shared" si="109"/>
        <v>0</v>
      </c>
      <c r="FD13" s="34">
        <f t="shared" si="110"/>
        <v>0</v>
      </c>
      <c r="FE13" s="34">
        <f t="shared" si="111"/>
        <v>0</v>
      </c>
      <c r="FF13" s="35">
        <f t="shared" si="112"/>
        <v>0</v>
      </c>
      <c r="FG13" s="35">
        <f t="shared" si="113"/>
        <v>0</v>
      </c>
      <c r="FH13" s="3">
        <f t="shared" si="65"/>
        <v>1</v>
      </c>
      <c r="FI13" s="3">
        <f t="shared" si="66"/>
        <v>0</v>
      </c>
      <c r="FJ13" s="3">
        <f t="shared" si="67"/>
        <v>0</v>
      </c>
      <c r="FK13" s="3">
        <f t="shared" si="68"/>
        <v>0</v>
      </c>
      <c r="FL13" s="24">
        <f t="shared" si="69"/>
        <v>1</v>
      </c>
      <c r="FM13" s="3"/>
      <c r="FN13" s="46">
        <f t="shared" ref="FN13:FN26" si="114">+SUM(EO13/52)*100</f>
        <v>1.9230769230769231</v>
      </c>
      <c r="FO13" s="46">
        <f t="shared" ref="FO13:FO48" si="115">+SUM(EP13/56)*100</f>
        <v>0</v>
      </c>
      <c r="FP13" s="46">
        <f t="shared" ref="FP13:FP58" si="116">+SUM(EQ13/20)*100</f>
        <v>0</v>
      </c>
      <c r="FQ13" s="46">
        <f t="shared" ref="FQ13:FQ31" si="117">+SUM(ER13/36)*100</f>
        <v>0</v>
      </c>
      <c r="FR13" s="46">
        <f t="shared" ref="FR13:FR58" si="118">+SUM(ES13/28)*100</f>
        <v>0</v>
      </c>
      <c r="FS13" s="46">
        <f t="shared" ref="FS13:FS40" si="119">+SUM(ET13/12)*100</f>
        <v>0</v>
      </c>
      <c r="FT13" s="46">
        <f t="shared" ref="FT13:FT40" si="120">+SUM(EU13/16)*100</f>
        <v>0</v>
      </c>
      <c r="FU13" s="46">
        <f t="shared" ref="FU13:FU40" si="121">+SUM(EV13/16)*100</f>
        <v>0</v>
      </c>
      <c r="FV13" s="46">
        <f t="shared" ref="FV13:FV40" si="122">+SUM(EW13/12)*100</f>
        <v>0</v>
      </c>
      <c r="FW13" s="46">
        <f t="shared" ref="FW13:FW39" si="123">+SUM(EX13/48)*100</f>
        <v>0</v>
      </c>
      <c r="FX13" s="46">
        <f t="shared" ref="FX13:FX32" si="124">+SUM(EY13/36)*100</f>
        <v>0</v>
      </c>
      <c r="FY13" s="46">
        <f t="shared" ref="FY13:FY34" si="125">+SUM(EZ13/24)*100</f>
        <v>0</v>
      </c>
      <c r="FZ13" s="46">
        <f t="shared" ref="FZ13:FZ40" si="126">+SUM(FA13/16)*100</f>
        <v>0</v>
      </c>
      <c r="GA13" s="46">
        <f t="shared" ref="GA13:GA40" si="127">+SUM(FB13/24)*100</f>
        <v>0</v>
      </c>
      <c r="GB13" s="46">
        <f t="shared" ref="GB13:GB58" si="128">+SUM(FC13/20)*100</f>
        <v>0</v>
      </c>
      <c r="GC13" s="46">
        <f t="shared" ref="GC13:GC40" si="129">+SUM(FD13/20)*100</f>
        <v>0</v>
      </c>
      <c r="GD13" s="46">
        <f t="shared" ref="GD13:GD40" si="130">+SUM(FE13/12)*100</f>
        <v>0</v>
      </c>
      <c r="GE13" s="46">
        <f t="shared" ref="GE13:GE58" si="131">+SUM(FF13/20)*100</f>
        <v>0</v>
      </c>
      <c r="GF13" s="46">
        <f t="shared" ref="GF13:GF40" si="132">+SUM(FG13/24)*100</f>
        <v>0</v>
      </c>
      <c r="GG13" s="46">
        <f t="shared" ref="GG13:GG31" si="133">+SUM(FH13/164)*100</f>
        <v>0.6097560975609756</v>
      </c>
      <c r="GH13" s="46">
        <f t="shared" ref="GH13:GH40" si="134">+SUM(FI13/84)*100</f>
        <v>0</v>
      </c>
      <c r="GI13" s="46">
        <f t="shared" ref="GI13:GI32" si="135">+SUM(FJ13/200)*100</f>
        <v>0</v>
      </c>
      <c r="GJ13" s="46">
        <f t="shared" ref="GJ13:GJ40" si="136">+SUM(FK13/44)*100</f>
        <v>0</v>
      </c>
      <c r="GK13" s="46">
        <f t="shared" ref="GK13:GK32" si="137">+SUM(FL13/492)*100</f>
        <v>0.20325203252032523</v>
      </c>
      <c r="GM13" s="58">
        <f>FL13+'EXTRALABORAL A '!BH12</f>
        <v>1</v>
      </c>
      <c r="GN13" s="58">
        <f t="shared" si="94"/>
        <v>0.16233766233766234</v>
      </c>
    </row>
    <row r="14" spans="1:196">
      <c r="A14" s="3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EO14" s="32">
        <f t="shared" si="95"/>
        <v>0</v>
      </c>
      <c r="EP14" s="32">
        <f t="shared" si="96"/>
        <v>0</v>
      </c>
      <c r="EQ14" s="32">
        <f t="shared" si="97"/>
        <v>0</v>
      </c>
      <c r="ER14" s="32">
        <f t="shared" si="98"/>
        <v>0</v>
      </c>
      <c r="ES14" s="33">
        <f t="shared" si="99"/>
        <v>0</v>
      </c>
      <c r="ET14" s="33">
        <f t="shared" si="100"/>
        <v>0</v>
      </c>
      <c r="EU14" s="33">
        <f t="shared" si="101"/>
        <v>0</v>
      </c>
      <c r="EV14" s="33">
        <f t="shared" si="102"/>
        <v>0</v>
      </c>
      <c r="EW14" s="33">
        <f t="shared" si="103"/>
        <v>0</v>
      </c>
      <c r="EX14" s="34">
        <f t="shared" si="104"/>
        <v>0</v>
      </c>
      <c r="EY14" s="34">
        <f t="shared" si="105"/>
        <v>0</v>
      </c>
      <c r="EZ14" s="34">
        <f t="shared" si="106"/>
        <v>0</v>
      </c>
      <c r="FA14" s="34">
        <f t="shared" si="107"/>
        <v>0</v>
      </c>
      <c r="FB14" s="34">
        <f t="shared" si="108"/>
        <v>0</v>
      </c>
      <c r="FC14" s="34">
        <f t="shared" si="109"/>
        <v>0</v>
      </c>
      <c r="FD14" s="34">
        <f t="shared" si="110"/>
        <v>0</v>
      </c>
      <c r="FE14" s="34">
        <f t="shared" si="111"/>
        <v>0</v>
      </c>
      <c r="FF14" s="35">
        <f t="shared" si="112"/>
        <v>0</v>
      </c>
      <c r="FG14" s="35">
        <f t="shared" si="113"/>
        <v>0</v>
      </c>
      <c r="FH14" s="3">
        <f t="shared" si="65"/>
        <v>0</v>
      </c>
      <c r="FI14" s="3">
        <f t="shared" si="66"/>
        <v>0</v>
      </c>
      <c r="FJ14" s="3">
        <f t="shared" si="67"/>
        <v>0</v>
      </c>
      <c r="FK14" s="3">
        <f t="shared" si="68"/>
        <v>0</v>
      </c>
      <c r="FL14" s="24">
        <f t="shared" si="69"/>
        <v>0</v>
      </c>
      <c r="FM14" s="3"/>
      <c r="FN14" s="46">
        <f t="shared" si="114"/>
        <v>0</v>
      </c>
      <c r="FO14" s="46">
        <f t="shared" si="115"/>
        <v>0</v>
      </c>
      <c r="FP14" s="46">
        <f t="shared" si="116"/>
        <v>0</v>
      </c>
      <c r="FQ14" s="46">
        <f t="shared" si="117"/>
        <v>0</v>
      </c>
      <c r="FR14" s="46">
        <f t="shared" si="118"/>
        <v>0</v>
      </c>
      <c r="FS14" s="46">
        <f t="shared" si="119"/>
        <v>0</v>
      </c>
      <c r="FT14" s="46">
        <f t="shared" si="120"/>
        <v>0</v>
      </c>
      <c r="FU14" s="46">
        <f t="shared" si="121"/>
        <v>0</v>
      </c>
      <c r="FV14" s="46">
        <f t="shared" si="122"/>
        <v>0</v>
      </c>
      <c r="FW14" s="46">
        <f t="shared" si="123"/>
        <v>0</v>
      </c>
      <c r="FX14" s="46">
        <f t="shared" si="124"/>
        <v>0</v>
      </c>
      <c r="FY14" s="46">
        <f t="shared" si="125"/>
        <v>0</v>
      </c>
      <c r="FZ14" s="46">
        <f t="shared" si="126"/>
        <v>0</v>
      </c>
      <c r="GA14" s="46">
        <f t="shared" si="127"/>
        <v>0</v>
      </c>
      <c r="GB14" s="46">
        <f t="shared" si="128"/>
        <v>0</v>
      </c>
      <c r="GC14" s="46">
        <f t="shared" si="129"/>
        <v>0</v>
      </c>
      <c r="GD14" s="46">
        <f t="shared" si="130"/>
        <v>0</v>
      </c>
      <c r="GE14" s="46">
        <f t="shared" si="131"/>
        <v>0</v>
      </c>
      <c r="GF14" s="46">
        <f t="shared" si="132"/>
        <v>0</v>
      </c>
      <c r="GG14" s="46">
        <f t="shared" si="133"/>
        <v>0</v>
      </c>
      <c r="GH14" s="46">
        <f t="shared" si="134"/>
        <v>0</v>
      </c>
      <c r="GI14" s="46">
        <f t="shared" si="135"/>
        <v>0</v>
      </c>
      <c r="GJ14" s="46">
        <f t="shared" si="136"/>
        <v>0</v>
      </c>
      <c r="GK14" s="46">
        <f t="shared" si="137"/>
        <v>0</v>
      </c>
      <c r="GM14" s="58">
        <f>FL14+'EXTRALABORAL A '!BH13</f>
        <v>0</v>
      </c>
      <c r="GN14" s="58">
        <f t="shared" si="94"/>
        <v>0</v>
      </c>
    </row>
    <row r="15" spans="1:196">
      <c r="A15" s="3">
        <v>11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EO15" s="32">
        <f t="shared" si="95"/>
        <v>0</v>
      </c>
      <c r="EP15" s="32">
        <f t="shared" si="96"/>
        <v>0</v>
      </c>
      <c r="EQ15" s="32">
        <f t="shared" si="97"/>
        <v>0</v>
      </c>
      <c r="ER15" s="32">
        <f t="shared" si="98"/>
        <v>0</v>
      </c>
      <c r="ES15" s="33">
        <f t="shared" si="99"/>
        <v>0</v>
      </c>
      <c r="ET15" s="33">
        <f t="shared" si="100"/>
        <v>0</v>
      </c>
      <c r="EU15" s="33">
        <f t="shared" si="101"/>
        <v>0</v>
      </c>
      <c r="EV15" s="33">
        <f t="shared" si="102"/>
        <v>0</v>
      </c>
      <c r="EW15" s="33">
        <f t="shared" si="103"/>
        <v>0</v>
      </c>
      <c r="EX15" s="34">
        <f t="shared" si="104"/>
        <v>0</v>
      </c>
      <c r="EY15" s="34">
        <f t="shared" si="105"/>
        <v>0</v>
      </c>
      <c r="EZ15" s="34">
        <f t="shared" si="106"/>
        <v>0</v>
      </c>
      <c r="FA15" s="34">
        <f t="shared" si="107"/>
        <v>0</v>
      </c>
      <c r="FB15" s="34">
        <f t="shared" si="108"/>
        <v>0</v>
      </c>
      <c r="FC15" s="34">
        <f t="shared" si="109"/>
        <v>0</v>
      </c>
      <c r="FD15" s="34">
        <f t="shared" si="110"/>
        <v>0</v>
      </c>
      <c r="FE15" s="34">
        <f t="shared" si="111"/>
        <v>0</v>
      </c>
      <c r="FF15" s="35">
        <f t="shared" si="112"/>
        <v>0</v>
      </c>
      <c r="FG15" s="35">
        <f t="shared" si="113"/>
        <v>0</v>
      </c>
      <c r="FH15" s="3">
        <f t="shared" si="65"/>
        <v>0</v>
      </c>
      <c r="FI15" s="3">
        <f t="shared" si="66"/>
        <v>0</v>
      </c>
      <c r="FJ15" s="3">
        <f t="shared" si="67"/>
        <v>0</v>
      </c>
      <c r="FK15" s="3">
        <f t="shared" si="68"/>
        <v>0</v>
      </c>
      <c r="FL15" s="24">
        <f t="shared" si="69"/>
        <v>0</v>
      </c>
      <c r="FM15" s="3"/>
      <c r="FN15" s="46">
        <f t="shared" si="114"/>
        <v>0</v>
      </c>
      <c r="FO15" s="46">
        <f t="shared" si="115"/>
        <v>0</v>
      </c>
      <c r="FP15" s="46">
        <f t="shared" si="116"/>
        <v>0</v>
      </c>
      <c r="FQ15" s="46">
        <f t="shared" si="117"/>
        <v>0</v>
      </c>
      <c r="FR15" s="46">
        <f t="shared" si="118"/>
        <v>0</v>
      </c>
      <c r="FS15" s="46">
        <f t="shared" si="119"/>
        <v>0</v>
      </c>
      <c r="FT15" s="46">
        <f t="shared" si="120"/>
        <v>0</v>
      </c>
      <c r="FU15" s="46">
        <f t="shared" si="121"/>
        <v>0</v>
      </c>
      <c r="FV15" s="46">
        <f t="shared" si="122"/>
        <v>0</v>
      </c>
      <c r="FW15" s="46">
        <f t="shared" si="123"/>
        <v>0</v>
      </c>
      <c r="FX15" s="46">
        <f t="shared" si="124"/>
        <v>0</v>
      </c>
      <c r="FY15" s="46">
        <f t="shared" si="125"/>
        <v>0</v>
      </c>
      <c r="FZ15" s="46">
        <f t="shared" si="126"/>
        <v>0</v>
      </c>
      <c r="GA15" s="46">
        <f t="shared" si="127"/>
        <v>0</v>
      </c>
      <c r="GB15" s="46">
        <f t="shared" si="128"/>
        <v>0</v>
      </c>
      <c r="GC15" s="46">
        <f t="shared" si="129"/>
        <v>0</v>
      </c>
      <c r="GD15" s="46">
        <f t="shared" si="130"/>
        <v>0</v>
      </c>
      <c r="GE15" s="46">
        <f t="shared" si="131"/>
        <v>0</v>
      </c>
      <c r="GF15" s="46">
        <f t="shared" si="132"/>
        <v>0</v>
      </c>
      <c r="GG15" s="46">
        <f t="shared" si="133"/>
        <v>0</v>
      </c>
      <c r="GH15" s="46">
        <f t="shared" si="134"/>
        <v>0</v>
      </c>
      <c r="GI15" s="46">
        <f t="shared" si="135"/>
        <v>0</v>
      </c>
      <c r="GJ15" s="46">
        <f t="shared" si="136"/>
        <v>0</v>
      </c>
      <c r="GK15" s="46">
        <f t="shared" si="137"/>
        <v>0</v>
      </c>
      <c r="GM15" s="58">
        <f>FL15+'EXTRALABORAL A '!BH14</f>
        <v>0</v>
      </c>
      <c r="GN15" s="58">
        <f t="shared" si="94"/>
        <v>0</v>
      </c>
    </row>
    <row r="16" spans="1:196">
      <c r="A16" s="3">
        <v>12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EO16" s="32">
        <f t="shared" si="95"/>
        <v>0</v>
      </c>
      <c r="EP16" s="32">
        <f t="shared" si="96"/>
        <v>0</v>
      </c>
      <c r="EQ16" s="32">
        <f t="shared" si="97"/>
        <v>0</v>
      </c>
      <c r="ER16" s="32">
        <f t="shared" si="98"/>
        <v>0</v>
      </c>
      <c r="ES16" s="33">
        <f t="shared" si="99"/>
        <v>0</v>
      </c>
      <c r="ET16" s="33">
        <f t="shared" si="100"/>
        <v>0</v>
      </c>
      <c r="EU16" s="33">
        <f t="shared" si="101"/>
        <v>0</v>
      </c>
      <c r="EV16" s="33">
        <f t="shared" si="102"/>
        <v>0</v>
      </c>
      <c r="EW16" s="33">
        <f t="shared" si="103"/>
        <v>0</v>
      </c>
      <c r="EX16" s="34">
        <f t="shared" si="104"/>
        <v>0</v>
      </c>
      <c r="EY16" s="34">
        <f t="shared" si="105"/>
        <v>0</v>
      </c>
      <c r="EZ16" s="34">
        <f t="shared" si="106"/>
        <v>0</v>
      </c>
      <c r="FA16" s="34">
        <f t="shared" si="107"/>
        <v>0</v>
      </c>
      <c r="FB16" s="34">
        <f t="shared" si="108"/>
        <v>0</v>
      </c>
      <c r="FC16" s="34">
        <f t="shared" si="109"/>
        <v>0</v>
      </c>
      <c r="FD16" s="34">
        <f t="shared" si="110"/>
        <v>0</v>
      </c>
      <c r="FE16" s="34">
        <f t="shared" si="111"/>
        <v>0</v>
      </c>
      <c r="FF16" s="35">
        <f t="shared" si="112"/>
        <v>0</v>
      </c>
      <c r="FG16" s="35">
        <f t="shared" si="113"/>
        <v>0</v>
      </c>
      <c r="FH16" s="3">
        <f t="shared" si="65"/>
        <v>0</v>
      </c>
      <c r="FI16" s="3">
        <f t="shared" si="66"/>
        <v>0</v>
      </c>
      <c r="FJ16" s="3">
        <f t="shared" si="67"/>
        <v>0</v>
      </c>
      <c r="FK16" s="3">
        <f t="shared" si="68"/>
        <v>0</v>
      </c>
      <c r="FL16" s="24">
        <f t="shared" si="69"/>
        <v>0</v>
      </c>
      <c r="FM16" s="3"/>
      <c r="FN16" s="46">
        <f t="shared" si="114"/>
        <v>0</v>
      </c>
      <c r="FO16" s="46">
        <f t="shared" si="115"/>
        <v>0</v>
      </c>
      <c r="FP16" s="46">
        <f t="shared" si="116"/>
        <v>0</v>
      </c>
      <c r="FQ16" s="46">
        <f t="shared" si="117"/>
        <v>0</v>
      </c>
      <c r="FR16" s="46">
        <f t="shared" si="118"/>
        <v>0</v>
      </c>
      <c r="FS16" s="46">
        <f t="shared" si="119"/>
        <v>0</v>
      </c>
      <c r="FT16" s="46">
        <f t="shared" si="120"/>
        <v>0</v>
      </c>
      <c r="FU16" s="46">
        <f t="shared" si="121"/>
        <v>0</v>
      </c>
      <c r="FV16" s="46">
        <f t="shared" si="122"/>
        <v>0</v>
      </c>
      <c r="FW16" s="46">
        <f t="shared" si="123"/>
        <v>0</v>
      </c>
      <c r="FX16" s="46">
        <f t="shared" si="124"/>
        <v>0</v>
      </c>
      <c r="FY16" s="46">
        <f t="shared" si="125"/>
        <v>0</v>
      </c>
      <c r="FZ16" s="46">
        <f t="shared" si="126"/>
        <v>0</v>
      </c>
      <c r="GA16" s="46">
        <f t="shared" si="127"/>
        <v>0</v>
      </c>
      <c r="GB16" s="46">
        <f t="shared" si="128"/>
        <v>0</v>
      </c>
      <c r="GC16" s="46">
        <f t="shared" si="129"/>
        <v>0</v>
      </c>
      <c r="GD16" s="46">
        <f t="shared" si="130"/>
        <v>0</v>
      </c>
      <c r="GE16" s="46">
        <f t="shared" si="131"/>
        <v>0</v>
      </c>
      <c r="GF16" s="46">
        <f t="shared" si="132"/>
        <v>0</v>
      </c>
      <c r="GG16" s="46">
        <f t="shared" si="133"/>
        <v>0</v>
      </c>
      <c r="GH16" s="46">
        <f t="shared" si="134"/>
        <v>0</v>
      </c>
      <c r="GI16" s="46">
        <f t="shared" si="135"/>
        <v>0</v>
      </c>
      <c r="GJ16" s="46">
        <f t="shared" si="136"/>
        <v>0</v>
      </c>
      <c r="GK16" s="46">
        <f t="shared" si="137"/>
        <v>0</v>
      </c>
      <c r="GM16" s="58">
        <f>FL16+'EXTRALABORAL A '!BH15</f>
        <v>0</v>
      </c>
      <c r="GN16" s="58">
        <f t="shared" si="94"/>
        <v>0</v>
      </c>
    </row>
    <row r="17" spans="1:196">
      <c r="A17" s="3">
        <v>13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EO17" s="32">
        <f t="shared" si="95"/>
        <v>0</v>
      </c>
      <c r="EP17" s="32">
        <f t="shared" si="96"/>
        <v>0</v>
      </c>
      <c r="EQ17" s="32">
        <f t="shared" si="97"/>
        <v>0</v>
      </c>
      <c r="ER17" s="32">
        <f t="shared" si="98"/>
        <v>0</v>
      </c>
      <c r="ES17" s="33">
        <f t="shared" si="99"/>
        <v>0</v>
      </c>
      <c r="ET17" s="33">
        <f t="shared" si="100"/>
        <v>0</v>
      </c>
      <c r="EU17" s="33">
        <f t="shared" si="101"/>
        <v>0</v>
      </c>
      <c r="EV17" s="33">
        <f t="shared" si="102"/>
        <v>0</v>
      </c>
      <c r="EW17" s="33">
        <f t="shared" si="103"/>
        <v>0</v>
      </c>
      <c r="EX17" s="34">
        <f t="shared" si="104"/>
        <v>0</v>
      </c>
      <c r="EY17" s="34">
        <f t="shared" si="105"/>
        <v>0</v>
      </c>
      <c r="EZ17" s="34">
        <f t="shared" si="106"/>
        <v>0</v>
      </c>
      <c r="FA17" s="34">
        <f t="shared" si="107"/>
        <v>0</v>
      </c>
      <c r="FB17" s="34">
        <f t="shared" si="108"/>
        <v>0</v>
      </c>
      <c r="FC17" s="34">
        <f t="shared" si="109"/>
        <v>0</v>
      </c>
      <c r="FD17" s="34">
        <f t="shared" si="110"/>
        <v>0</v>
      </c>
      <c r="FE17" s="34">
        <f t="shared" si="111"/>
        <v>0</v>
      </c>
      <c r="FF17" s="35">
        <f t="shared" si="112"/>
        <v>0</v>
      </c>
      <c r="FG17" s="35">
        <f t="shared" si="113"/>
        <v>0</v>
      </c>
      <c r="FH17" s="3">
        <f t="shared" si="65"/>
        <v>0</v>
      </c>
      <c r="FI17" s="3">
        <f t="shared" si="66"/>
        <v>0</v>
      </c>
      <c r="FJ17" s="3">
        <f t="shared" si="67"/>
        <v>0</v>
      </c>
      <c r="FK17" s="3">
        <f t="shared" si="68"/>
        <v>0</v>
      </c>
      <c r="FL17" s="24">
        <f t="shared" si="69"/>
        <v>0</v>
      </c>
      <c r="FM17" s="3"/>
      <c r="FN17" s="46">
        <f t="shared" si="114"/>
        <v>0</v>
      </c>
      <c r="FO17" s="46">
        <f t="shared" si="115"/>
        <v>0</v>
      </c>
      <c r="FP17" s="46">
        <f t="shared" si="116"/>
        <v>0</v>
      </c>
      <c r="FQ17" s="46">
        <f t="shared" si="117"/>
        <v>0</v>
      </c>
      <c r="FR17" s="46">
        <f t="shared" si="118"/>
        <v>0</v>
      </c>
      <c r="FS17" s="46">
        <f t="shared" si="119"/>
        <v>0</v>
      </c>
      <c r="FT17" s="46">
        <f t="shared" si="120"/>
        <v>0</v>
      </c>
      <c r="FU17" s="46">
        <f t="shared" si="121"/>
        <v>0</v>
      </c>
      <c r="FV17" s="46">
        <f t="shared" si="122"/>
        <v>0</v>
      </c>
      <c r="FW17" s="46">
        <f t="shared" si="123"/>
        <v>0</v>
      </c>
      <c r="FX17" s="46">
        <f t="shared" si="124"/>
        <v>0</v>
      </c>
      <c r="FY17" s="46">
        <f t="shared" si="125"/>
        <v>0</v>
      </c>
      <c r="FZ17" s="46">
        <f t="shared" si="126"/>
        <v>0</v>
      </c>
      <c r="GA17" s="46">
        <f t="shared" si="127"/>
        <v>0</v>
      </c>
      <c r="GB17" s="46">
        <f t="shared" si="128"/>
        <v>0</v>
      </c>
      <c r="GC17" s="46">
        <f t="shared" si="129"/>
        <v>0</v>
      </c>
      <c r="GD17" s="46">
        <f t="shared" si="130"/>
        <v>0</v>
      </c>
      <c r="GE17" s="46">
        <f t="shared" si="131"/>
        <v>0</v>
      </c>
      <c r="GF17" s="46">
        <f t="shared" si="132"/>
        <v>0</v>
      </c>
      <c r="GG17" s="46">
        <f t="shared" si="133"/>
        <v>0</v>
      </c>
      <c r="GH17" s="46">
        <f t="shared" si="134"/>
        <v>0</v>
      </c>
      <c r="GI17" s="46">
        <f t="shared" si="135"/>
        <v>0</v>
      </c>
      <c r="GJ17" s="46">
        <f t="shared" si="136"/>
        <v>0</v>
      </c>
      <c r="GK17" s="46">
        <f t="shared" si="137"/>
        <v>0</v>
      </c>
      <c r="GM17" s="58">
        <f>FL17+'EXTRALABORAL A '!BH16</f>
        <v>0</v>
      </c>
      <c r="GN17" s="58">
        <f t="shared" si="94"/>
        <v>0</v>
      </c>
    </row>
    <row r="18" spans="1:196">
      <c r="A18" s="3">
        <v>14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EO18" s="32">
        <f t="shared" si="95"/>
        <v>0</v>
      </c>
      <c r="EP18" s="32">
        <f t="shared" si="96"/>
        <v>0</v>
      </c>
      <c r="EQ18" s="32">
        <f t="shared" si="97"/>
        <v>0</v>
      </c>
      <c r="ER18" s="32">
        <f t="shared" si="98"/>
        <v>0</v>
      </c>
      <c r="ES18" s="33">
        <f t="shared" si="99"/>
        <v>0</v>
      </c>
      <c r="ET18" s="33">
        <f t="shared" si="100"/>
        <v>0</v>
      </c>
      <c r="EU18" s="33">
        <f t="shared" si="101"/>
        <v>0</v>
      </c>
      <c r="EV18" s="33">
        <f t="shared" si="102"/>
        <v>0</v>
      </c>
      <c r="EW18" s="33">
        <f t="shared" si="103"/>
        <v>0</v>
      </c>
      <c r="EX18" s="34">
        <f t="shared" si="104"/>
        <v>0</v>
      </c>
      <c r="EY18" s="34">
        <f t="shared" si="105"/>
        <v>0</v>
      </c>
      <c r="EZ18" s="34">
        <f t="shared" si="106"/>
        <v>0</v>
      </c>
      <c r="FA18" s="34">
        <f t="shared" si="107"/>
        <v>0</v>
      </c>
      <c r="FB18" s="34">
        <f t="shared" si="108"/>
        <v>0</v>
      </c>
      <c r="FC18" s="34">
        <f t="shared" si="109"/>
        <v>0</v>
      </c>
      <c r="FD18" s="34">
        <f t="shared" si="110"/>
        <v>0</v>
      </c>
      <c r="FE18" s="34">
        <f t="shared" si="111"/>
        <v>0</v>
      </c>
      <c r="FF18" s="35">
        <f t="shared" si="112"/>
        <v>0</v>
      </c>
      <c r="FG18" s="35">
        <f t="shared" si="113"/>
        <v>0</v>
      </c>
      <c r="FH18" s="3">
        <f t="shared" si="65"/>
        <v>0</v>
      </c>
      <c r="FI18" s="3">
        <f t="shared" si="66"/>
        <v>0</v>
      </c>
      <c r="FJ18" s="3">
        <f t="shared" si="67"/>
        <v>0</v>
      </c>
      <c r="FK18" s="3">
        <f t="shared" si="68"/>
        <v>0</v>
      </c>
      <c r="FL18" s="24">
        <f t="shared" si="69"/>
        <v>0</v>
      </c>
      <c r="FM18" s="3"/>
      <c r="FN18" s="46">
        <f t="shared" si="114"/>
        <v>0</v>
      </c>
      <c r="FO18" s="46">
        <f t="shared" si="115"/>
        <v>0</v>
      </c>
      <c r="FP18" s="46">
        <f t="shared" si="116"/>
        <v>0</v>
      </c>
      <c r="FQ18" s="46">
        <f t="shared" si="117"/>
        <v>0</v>
      </c>
      <c r="FR18" s="46">
        <f t="shared" si="118"/>
        <v>0</v>
      </c>
      <c r="FS18" s="46">
        <f t="shared" si="119"/>
        <v>0</v>
      </c>
      <c r="FT18" s="46">
        <f t="shared" si="120"/>
        <v>0</v>
      </c>
      <c r="FU18" s="46">
        <f t="shared" si="121"/>
        <v>0</v>
      </c>
      <c r="FV18" s="46">
        <f t="shared" si="122"/>
        <v>0</v>
      </c>
      <c r="FW18" s="46">
        <f t="shared" si="123"/>
        <v>0</v>
      </c>
      <c r="FX18" s="46">
        <f t="shared" si="124"/>
        <v>0</v>
      </c>
      <c r="FY18" s="46">
        <f t="shared" si="125"/>
        <v>0</v>
      </c>
      <c r="FZ18" s="46">
        <f t="shared" si="126"/>
        <v>0</v>
      </c>
      <c r="GA18" s="46">
        <f t="shared" si="127"/>
        <v>0</v>
      </c>
      <c r="GB18" s="46">
        <f t="shared" si="128"/>
        <v>0</v>
      </c>
      <c r="GC18" s="46">
        <f t="shared" si="129"/>
        <v>0</v>
      </c>
      <c r="GD18" s="46">
        <f t="shared" si="130"/>
        <v>0</v>
      </c>
      <c r="GE18" s="46">
        <f t="shared" si="131"/>
        <v>0</v>
      </c>
      <c r="GF18" s="46">
        <f t="shared" si="132"/>
        <v>0</v>
      </c>
      <c r="GG18" s="46">
        <f t="shared" si="133"/>
        <v>0</v>
      </c>
      <c r="GH18" s="46">
        <f t="shared" si="134"/>
        <v>0</v>
      </c>
      <c r="GI18" s="46">
        <f t="shared" si="135"/>
        <v>0</v>
      </c>
      <c r="GJ18" s="46">
        <f t="shared" si="136"/>
        <v>0</v>
      </c>
      <c r="GK18" s="46">
        <f t="shared" si="137"/>
        <v>0</v>
      </c>
      <c r="GM18" s="58">
        <f>FL18+'EXTRALABORAL A '!BH17</f>
        <v>0</v>
      </c>
      <c r="GN18" s="58">
        <f t="shared" si="94"/>
        <v>0</v>
      </c>
    </row>
    <row r="19" spans="1:196">
      <c r="A19" s="3">
        <v>15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EO19" s="32">
        <f t="shared" si="95"/>
        <v>0</v>
      </c>
      <c r="EP19" s="32">
        <f t="shared" si="96"/>
        <v>0</v>
      </c>
      <c r="EQ19" s="32">
        <f t="shared" si="97"/>
        <v>0</v>
      </c>
      <c r="ER19" s="32">
        <f t="shared" si="98"/>
        <v>0</v>
      </c>
      <c r="ES19" s="33">
        <f t="shared" si="99"/>
        <v>0</v>
      </c>
      <c r="ET19" s="33">
        <f t="shared" si="100"/>
        <v>0</v>
      </c>
      <c r="EU19" s="33">
        <f t="shared" si="101"/>
        <v>0</v>
      </c>
      <c r="EV19" s="33">
        <f t="shared" si="102"/>
        <v>0</v>
      </c>
      <c r="EW19" s="33">
        <f t="shared" si="103"/>
        <v>0</v>
      </c>
      <c r="EX19" s="34">
        <f t="shared" si="104"/>
        <v>0</v>
      </c>
      <c r="EY19" s="34">
        <f t="shared" si="105"/>
        <v>0</v>
      </c>
      <c r="EZ19" s="34">
        <f t="shared" si="106"/>
        <v>0</v>
      </c>
      <c r="FA19" s="34">
        <f t="shared" si="107"/>
        <v>0</v>
      </c>
      <c r="FB19" s="34">
        <f t="shared" si="108"/>
        <v>0</v>
      </c>
      <c r="FC19" s="34">
        <f t="shared" si="109"/>
        <v>0</v>
      </c>
      <c r="FD19" s="34">
        <f t="shared" si="110"/>
        <v>0</v>
      </c>
      <c r="FE19" s="34">
        <f t="shared" si="111"/>
        <v>0</v>
      </c>
      <c r="FF19" s="35">
        <f t="shared" si="112"/>
        <v>0</v>
      </c>
      <c r="FG19" s="35">
        <f t="shared" si="113"/>
        <v>0</v>
      </c>
      <c r="FH19" s="3">
        <f t="shared" ref="FH19:FH31" si="138">+SUM(EO19:ER19)</f>
        <v>0</v>
      </c>
      <c r="FI19" s="3">
        <f t="shared" ref="FI19:FI40" si="139">+SUM(ES19:EW19)</f>
        <v>0</v>
      </c>
      <c r="FJ19" s="3">
        <f t="shared" ref="FJ19:FJ32" si="140">+SUM(EX19:FE19)</f>
        <v>0</v>
      </c>
      <c r="FK19" s="3">
        <f t="shared" ref="FK19:FK40" si="141">+SUM(FF19:FG19)</f>
        <v>0</v>
      </c>
      <c r="FL19" s="24">
        <f t="shared" ref="FL19:FL31" si="142">+SUM(FH19:FK19)</f>
        <v>0</v>
      </c>
      <c r="FM19" s="3"/>
      <c r="FN19" s="46">
        <f t="shared" si="114"/>
        <v>0</v>
      </c>
      <c r="FO19" s="46">
        <f t="shared" si="115"/>
        <v>0</v>
      </c>
      <c r="FP19" s="46">
        <f t="shared" si="116"/>
        <v>0</v>
      </c>
      <c r="FQ19" s="46">
        <f t="shared" si="117"/>
        <v>0</v>
      </c>
      <c r="FR19" s="46">
        <f t="shared" si="118"/>
        <v>0</v>
      </c>
      <c r="FS19" s="46">
        <f t="shared" si="119"/>
        <v>0</v>
      </c>
      <c r="FT19" s="46">
        <f t="shared" si="120"/>
        <v>0</v>
      </c>
      <c r="FU19" s="46">
        <f t="shared" si="121"/>
        <v>0</v>
      </c>
      <c r="FV19" s="46">
        <f t="shared" si="122"/>
        <v>0</v>
      </c>
      <c r="FW19" s="46">
        <f t="shared" si="123"/>
        <v>0</v>
      </c>
      <c r="FX19" s="46">
        <f t="shared" si="124"/>
        <v>0</v>
      </c>
      <c r="FY19" s="46">
        <f t="shared" si="125"/>
        <v>0</v>
      </c>
      <c r="FZ19" s="46">
        <f t="shared" si="126"/>
        <v>0</v>
      </c>
      <c r="GA19" s="46">
        <f t="shared" si="127"/>
        <v>0</v>
      </c>
      <c r="GB19" s="46">
        <f t="shared" si="128"/>
        <v>0</v>
      </c>
      <c r="GC19" s="46">
        <f t="shared" si="129"/>
        <v>0</v>
      </c>
      <c r="GD19" s="46">
        <f t="shared" si="130"/>
        <v>0</v>
      </c>
      <c r="GE19" s="46">
        <f t="shared" si="131"/>
        <v>0</v>
      </c>
      <c r="GF19" s="46">
        <f t="shared" si="132"/>
        <v>0</v>
      </c>
      <c r="GG19" s="46">
        <f t="shared" si="133"/>
        <v>0</v>
      </c>
      <c r="GH19" s="46">
        <f t="shared" si="134"/>
        <v>0</v>
      </c>
      <c r="GI19" s="46">
        <f t="shared" si="135"/>
        <v>0</v>
      </c>
      <c r="GJ19" s="46">
        <f t="shared" si="136"/>
        <v>0</v>
      </c>
      <c r="GK19" s="46">
        <f t="shared" si="137"/>
        <v>0</v>
      </c>
      <c r="GM19" s="58">
        <f>FL19+'EXTRALABORAL A '!BH18</f>
        <v>0</v>
      </c>
      <c r="GN19" s="58">
        <f t="shared" si="94"/>
        <v>0</v>
      </c>
    </row>
    <row r="20" spans="1:196">
      <c r="A20" s="3">
        <v>16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EO20" s="32">
        <f t="shared" si="95"/>
        <v>0</v>
      </c>
      <c r="EP20" s="32">
        <f t="shared" si="96"/>
        <v>0</v>
      </c>
      <c r="EQ20" s="32">
        <f t="shared" si="97"/>
        <v>0</v>
      </c>
      <c r="ER20" s="32">
        <f t="shared" si="98"/>
        <v>0</v>
      </c>
      <c r="ES20" s="33">
        <f t="shared" si="99"/>
        <v>0</v>
      </c>
      <c r="ET20" s="33">
        <f t="shared" si="100"/>
        <v>0</v>
      </c>
      <c r="EU20" s="33">
        <f t="shared" si="101"/>
        <v>0</v>
      </c>
      <c r="EV20" s="33">
        <f t="shared" si="102"/>
        <v>0</v>
      </c>
      <c r="EW20" s="33">
        <f t="shared" si="103"/>
        <v>0</v>
      </c>
      <c r="EX20" s="34">
        <f t="shared" si="104"/>
        <v>0</v>
      </c>
      <c r="EY20" s="34">
        <f t="shared" si="105"/>
        <v>0</v>
      </c>
      <c r="EZ20" s="34">
        <f t="shared" si="106"/>
        <v>0</v>
      </c>
      <c r="FA20" s="34">
        <f t="shared" si="107"/>
        <v>0</v>
      </c>
      <c r="FB20" s="34">
        <f t="shared" si="108"/>
        <v>0</v>
      </c>
      <c r="FC20" s="34">
        <f t="shared" si="109"/>
        <v>0</v>
      </c>
      <c r="FD20" s="34">
        <f t="shared" si="110"/>
        <v>0</v>
      </c>
      <c r="FE20" s="34">
        <f t="shared" si="111"/>
        <v>0</v>
      </c>
      <c r="FF20" s="35">
        <f t="shared" si="112"/>
        <v>0</v>
      </c>
      <c r="FG20" s="35">
        <f t="shared" si="113"/>
        <v>0</v>
      </c>
      <c r="FH20" s="3">
        <f t="shared" si="138"/>
        <v>0</v>
      </c>
      <c r="FI20" s="3">
        <f t="shared" si="139"/>
        <v>0</v>
      </c>
      <c r="FJ20" s="3">
        <f t="shared" si="140"/>
        <v>0</v>
      </c>
      <c r="FK20" s="3">
        <f t="shared" si="141"/>
        <v>0</v>
      </c>
      <c r="FL20" s="24">
        <f t="shared" si="142"/>
        <v>0</v>
      </c>
      <c r="FM20" s="3"/>
      <c r="FN20" s="46">
        <f t="shared" si="114"/>
        <v>0</v>
      </c>
      <c r="FO20" s="46">
        <f t="shared" si="115"/>
        <v>0</v>
      </c>
      <c r="FP20" s="46">
        <f t="shared" si="116"/>
        <v>0</v>
      </c>
      <c r="FQ20" s="46">
        <f t="shared" si="117"/>
        <v>0</v>
      </c>
      <c r="FR20" s="46">
        <f t="shared" si="118"/>
        <v>0</v>
      </c>
      <c r="FS20" s="46">
        <f t="shared" si="119"/>
        <v>0</v>
      </c>
      <c r="FT20" s="46">
        <f t="shared" si="120"/>
        <v>0</v>
      </c>
      <c r="FU20" s="46">
        <f t="shared" si="121"/>
        <v>0</v>
      </c>
      <c r="FV20" s="46">
        <f t="shared" si="122"/>
        <v>0</v>
      </c>
      <c r="FW20" s="46">
        <f t="shared" si="123"/>
        <v>0</v>
      </c>
      <c r="FX20" s="46">
        <f t="shared" si="124"/>
        <v>0</v>
      </c>
      <c r="FY20" s="46">
        <f t="shared" si="125"/>
        <v>0</v>
      </c>
      <c r="FZ20" s="46">
        <f t="shared" si="126"/>
        <v>0</v>
      </c>
      <c r="GA20" s="46">
        <f t="shared" si="127"/>
        <v>0</v>
      </c>
      <c r="GB20" s="46">
        <f t="shared" si="128"/>
        <v>0</v>
      </c>
      <c r="GC20" s="46">
        <f t="shared" si="129"/>
        <v>0</v>
      </c>
      <c r="GD20" s="46">
        <f t="shared" si="130"/>
        <v>0</v>
      </c>
      <c r="GE20" s="46">
        <f t="shared" si="131"/>
        <v>0</v>
      </c>
      <c r="GF20" s="46">
        <f t="shared" si="132"/>
        <v>0</v>
      </c>
      <c r="GG20" s="46">
        <f t="shared" si="133"/>
        <v>0</v>
      </c>
      <c r="GH20" s="46">
        <f t="shared" si="134"/>
        <v>0</v>
      </c>
      <c r="GI20" s="46">
        <f t="shared" si="135"/>
        <v>0</v>
      </c>
      <c r="GJ20" s="46">
        <f t="shared" si="136"/>
        <v>0</v>
      </c>
      <c r="GK20" s="46">
        <f t="shared" si="137"/>
        <v>0</v>
      </c>
      <c r="GM20" s="58">
        <f>FL20+'EXTRALABORAL A '!BH19</f>
        <v>0</v>
      </c>
      <c r="GN20" s="58">
        <f t="shared" si="94"/>
        <v>0</v>
      </c>
    </row>
    <row r="21" spans="1:196">
      <c r="A21" s="3">
        <v>17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EO21" s="32">
        <f t="shared" si="95"/>
        <v>0</v>
      </c>
      <c r="EP21" s="32">
        <f t="shared" si="96"/>
        <v>0</v>
      </c>
      <c r="EQ21" s="32">
        <f t="shared" si="97"/>
        <v>0</v>
      </c>
      <c r="ER21" s="32">
        <f t="shared" si="98"/>
        <v>0</v>
      </c>
      <c r="ES21" s="33">
        <f t="shared" si="99"/>
        <v>0</v>
      </c>
      <c r="ET21" s="33">
        <f t="shared" si="100"/>
        <v>0</v>
      </c>
      <c r="EU21" s="33">
        <f t="shared" si="101"/>
        <v>0</v>
      </c>
      <c r="EV21" s="33">
        <f t="shared" si="102"/>
        <v>0</v>
      </c>
      <c r="EW21" s="33">
        <f t="shared" si="103"/>
        <v>0</v>
      </c>
      <c r="EX21" s="34">
        <f t="shared" si="104"/>
        <v>0</v>
      </c>
      <c r="EY21" s="34">
        <f t="shared" si="105"/>
        <v>0</v>
      </c>
      <c r="EZ21" s="34">
        <f t="shared" si="106"/>
        <v>0</v>
      </c>
      <c r="FA21" s="34">
        <f t="shared" si="107"/>
        <v>0</v>
      </c>
      <c r="FB21" s="34">
        <f t="shared" si="108"/>
        <v>0</v>
      </c>
      <c r="FC21" s="34">
        <f t="shared" si="109"/>
        <v>0</v>
      </c>
      <c r="FD21" s="34">
        <f t="shared" si="110"/>
        <v>0</v>
      </c>
      <c r="FE21" s="34">
        <f t="shared" si="111"/>
        <v>0</v>
      </c>
      <c r="FF21" s="35">
        <f t="shared" si="112"/>
        <v>0</v>
      </c>
      <c r="FG21" s="35">
        <f t="shared" si="113"/>
        <v>0</v>
      </c>
      <c r="FH21" s="3">
        <f t="shared" si="138"/>
        <v>0</v>
      </c>
      <c r="FI21" s="3">
        <f t="shared" si="139"/>
        <v>0</v>
      </c>
      <c r="FJ21" s="3">
        <f t="shared" si="140"/>
        <v>0</v>
      </c>
      <c r="FK21" s="3">
        <f t="shared" si="141"/>
        <v>0</v>
      </c>
      <c r="FL21" s="24">
        <f t="shared" si="142"/>
        <v>0</v>
      </c>
      <c r="FM21" s="3"/>
      <c r="FN21" s="46">
        <f t="shared" si="114"/>
        <v>0</v>
      </c>
      <c r="FO21" s="46">
        <f t="shared" si="115"/>
        <v>0</v>
      </c>
      <c r="FP21" s="46">
        <f t="shared" si="116"/>
        <v>0</v>
      </c>
      <c r="FQ21" s="46">
        <f t="shared" si="117"/>
        <v>0</v>
      </c>
      <c r="FR21" s="46">
        <f t="shared" si="118"/>
        <v>0</v>
      </c>
      <c r="FS21" s="46">
        <f t="shared" si="119"/>
        <v>0</v>
      </c>
      <c r="FT21" s="46">
        <f t="shared" si="120"/>
        <v>0</v>
      </c>
      <c r="FU21" s="46">
        <f t="shared" si="121"/>
        <v>0</v>
      </c>
      <c r="FV21" s="46">
        <f t="shared" si="122"/>
        <v>0</v>
      </c>
      <c r="FW21" s="46">
        <f t="shared" si="123"/>
        <v>0</v>
      </c>
      <c r="FX21" s="46">
        <f t="shared" si="124"/>
        <v>0</v>
      </c>
      <c r="FY21" s="46">
        <f t="shared" si="125"/>
        <v>0</v>
      </c>
      <c r="FZ21" s="46">
        <f t="shared" si="126"/>
        <v>0</v>
      </c>
      <c r="GA21" s="46">
        <f t="shared" si="127"/>
        <v>0</v>
      </c>
      <c r="GB21" s="46">
        <f t="shared" si="128"/>
        <v>0</v>
      </c>
      <c r="GC21" s="46">
        <f t="shared" si="129"/>
        <v>0</v>
      </c>
      <c r="GD21" s="46">
        <f t="shared" si="130"/>
        <v>0</v>
      </c>
      <c r="GE21" s="46">
        <f t="shared" si="131"/>
        <v>0</v>
      </c>
      <c r="GF21" s="46">
        <f t="shared" si="132"/>
        <v>0</v>
      </c>
      <c r="GG21" s="46">
        <f t="shared" si="133"/>
        <v>0</v>
      </c>
      <c r="GH21" s="46">
        <f t="shared" si="134"/>
        <v>0</v>
      </c>
      <c r="GI21" s="46">
        <f t="shared" si="135"/>
        <v>0</v>
      </c>
      <c r="GJ21" s="46">
        <f t="shared" si="136"/>
        <v>0</v>
      </c>
      <c r="GK21" s="46">
        <f t="shared" si="137"/>
        <v>0</v>
      </c>
      <c r="GM21" s="58">
        <f>FL21+'EXTRALABORAL A '!BH20</f>
        <v>0</v>
      </c>
      <c r="GN21" s="58">
        <f t="shared" si="94"/>
        <v>0</v>
      </c>
    </row>
    <row r="22" spans="1:196">
      <c r="A22" s="3">
        <v>18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EO22" s="32">
        <f t="shared" si="95"/>
        <v>0</v>
      </c>
      <c r="EP22" s="32">
        <f t="shared" si="96"/>
        <v>0</v>
      </c>
      <c r="EQ22" s="32">
        <f t="shared" si="97"/>
        <v>0</v>
      </c>
      <c r="ER22" s="32">
        <f t="shared" si="98"/>
        <v>0</v>
      </c>
      <c r="ES22" s="33">
        <f t="shared" si="99"/>
        <v>0</v>
      </c>
      <c r="ET22" s="33">
        <f t="shared" si="100"/>
        <v>0</v>
      </c>
      <c r="EU22" s="33">
        <f t="shared" si="101"/>
        <v>0</v>
      </c>
      <c r="EV22" s="33">
        <f t="shared" si="102"/>
        <v>0</v>
      </c>
      <c r="EW22" s="33">
        <f t="shared" si="103"/>
        <v>0</v>
      </c>
      <c r="EX22" s="34">
        <f t="shared" si="104"/>
        <v>0</v>
      </c>
      <c r="EY22" s="34">
        <f t="shared" si="105"/>
        <v>0</v>
      </c>
      <c r="EZ22" s="34">
        <f t="shared" si="106"/>
        <v>0</v>
      </c>
      <c r="FA22" s="34">
        <f t="shared" si="107"/>
        <v>0</v>
      </c>
      <c r="FB22" s="34">
        <f t="shared" si="108"/>
        <v>0</v>
      </c>
      <c r="FC22" s="34">
        <f t="shared" si="109"/>
        <v>0</v>
      </c>
      <c r="FD22" s="34">
        <f t="shared" si="110"/>
        <v>0</v>
      </c>
      <c r="FE22" s="34">
        <f t="shared" si="111"/>
        <v>0</v>
      </c>
      <c r="FF22" s="35">
        <f t="shared" si="112"/>
        <v>0</v>
      </c>
      <c r="FG22" s="35">
        <f t="shared" si="113"/>
        <v>0</v>
      </c>
      <c r="FH22" s="3">
        <f t="shared" si="138"/>
        <v>0</v>
      </c>
      <c r="FI22" s="3">
        <f t="shared" si="139"/>
        <v>0</v>
      </c>
      <c r="FJ22" s="3">
        <f t="shared" si="140"/>
        <v>0</v>
      </c>
      <c r="FK22" s="3">
        <f t="shared" si="141"/>
        <v>0</v>
      </c>
      <c r="FL22" s="24">
        <f t="shared" si="142"/>
        <v>0</v>
      </c>
      <c r="FM22" s="3"/>
      <c r="FN22" s="46">
        <f t="shared" si="114"/>
        <v>0</v>
      </c>
      <c r="FO22" s="46">
        <f t="shared" si="115"/>
        <v>0</v>
      </c>
      <c r="FP22" s="46">
        <f t="shared" si="116"/>
        <v>0</v>
      </c>
      <c r="FQ22" s="46">
        <f t="shared" si="117"/>
        <v>0</v>
      </c>
      <c r="FR22" s="46">
        <f t="shared" si="118"/>
        <v>0</v>
      </c>
      <c r="FS22" s="46">
        <f t="shared" si="119"/>
        <v>0</v>
      </c>
      <c r="FT22" s="46">
        <f t="shared" si="120"/>
        <v>0</v>
      </c>
      <c r="FU22" s="46">
        <f t="shared" si="121"/>
        <v>0</v>
      </c>
      <c r="FV22" s="46">
        <f t="shared" si="122"/>
        <v>0</v>
      </c>
      <c r="FW22" s="46">
        <f t="shared" si="123"/>
        <v>0</v>
      </c>
      <c r="FX22" s="46">
        <f t="shared" si="124"/>
        <v>0</v>
      </c>
      <c r="FY22" s="46">
        <f t="shared" si="125"/>
        <v>0</v>
      </c>
      <c r="FZ22" s="46">
        <f t="shared" si="126"/>
        <v>0</v>
      </c>
      <c r="GA22" s="46">
        <f t="shared" si="127"/>
        <v>0</v>
      </c>
      <c r="GB22" s="46">
        <f t="shared" si="128"/>
        <v>0</v>
      </c>
      <c r="GC22" s="46">
        <f t="shared" si="129"/>
        <v>0</v>
      </c>
      <c r="GD22" s="46">
        <f t="shared" si="130"/>
        <v>0</v>
      </c>
      <c r="GE22" s="46">
        <f t="shared" si="131"/>
        <v>0</v>
      </c>
      <c r="GF22" s="46">
        <f t="shared" si="132"/>
        <v>0</v>
      </c>
      <c r="GG22" s="46">
        <f t="shared" si="133"/>
        <v>0</v>
      </c>
      <c r="GH22" s="46">
        <f t="shared" si="134"/>
        <v>0</v>
      </c>
      <c r="GI22" s="46">
        <f t="shared" si="135"/>
        <v>0</v>
      </c>
      <c r="GJ22" s="46">
        <f t="shared" si="136"/>
        <v>0</v>
      </c>
      <c r="GK22" s="46">
        <f t="shared" si="137"/>
        <v>0</v>
      </c>
      <c r="GM22" s="58">
        <f>FL22+'EXTRALABORAL A '!BH21</f>
        <v>0</v>
      </c>
      <c r="GN22" s="58">
        <f t="shared" si="94"/>
        <v>0</v>
      </c>
    </row>
    <row r="23" spans="1:196">
      <c r="A23" s="3">
        <v>19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EO23" s="32">
        <f t="shared" si="95"/>
        <v>0</v>
      </c>
      <c r="EP23" s="32">
        <f t="shared" si="96"/>
        <v>0</v>
      </c>
      <c r="EQ23" s="32">
        <f t="shared" si="97"/>
        <v>0</v>
      </c>
      <c r="ER23" s="32">
        <f t="shared" si="98"/>
        <v>0</v>
      </c>
      <c r="ES23" s="33">
        <f t="shared" si="99"/>
        <v>0</v>
      </c>
      <c r="ET23" s="33">
        <f t="shared" si="100"/>
        <v>0</v>
      </c>
      <c r="EU23" s="33">
        <f t="shared" si="101"/>
        <v>0</v>
      </c>
      <c r="EV23" s="33">
        <f t="shared" si="102"/>
        <v>0</v>
      </c>
      <c r="EW23" s="33">
        <f t="shared" si="103"/>
        <v>0</v>
      </c>
      <c r="EX23" s="34">
        <f t="shared" si="104"/>
        <v>0</v>
      </c>
      <c r="EY23" s="34">
        <f t="shared" si="105"/>
        <v>0</v>
      </c>
      <c r="EZ23" s="34">
        <f t="shared" si="106"/>
        <v>0</v>
      </c>
      <c r="FA23" s="34">
        <f t="shared" si="107"/>
        <v>0</v>
      </c>
      <c r="FB23" s="34">
        <f t="shared" si="108"/>
        <v>0</v>
      </c>
      <c r="FC23" s="34">
        <f t="shared" si="109"/>
        <v>0</v>
      </c>
      <c r="FD23" s="34">
        <f t="shared" si="110"/>
        <v>0</v>
      </c>
      <c r="FE23" s="34">
        <f t="shared" si="111"/>
        <v>0</v>
      </c>
      <c r="FF23" s="35">
        <f t="shared" si="112"/>
        <v>0</v>
      </c>
      <c r="FG23" s="35">
        <f t="shared" si="113"/>
        <v>0</v>
      </c>
      <c r="FH23" s="3">
        <f t="shared" si="138"/>
        <v>0</v>
      </c>
      <c r="FI23" s="3">
        <f t="shared" si="139"/>
        <v>0</v>
      </c>
      <c r="FJ23" s="3">
        <f t="shared" si="140"/>
        <v>0</v>
      </c>
      <c r="FK23" s="3">
        <f t="shared" si="141"/>
        <v>0</v>
      </c>
      <c r="FL23" s="24">
        <f t="shared" si="142"/>
        <v>0</v>
      </c>
      <c r="FM23" s="3"/>
      <c r="FN23" s="46">
        <f t="shared" si="114"/>
        <v>0</v>
      </c>
      <c r="FO23" s="46">
        <f t="shared" si="115"/>
        <v>0</v>
      </c>
      <c r="FP23" s="46">
        <f t="shared" si="116"/>
        <v>0</v>
      </c>
      <c r="FQ23" s="46">
        <f t="shared" si="117"/>
        <v>0</v>
      </c>
      <c r="FR23" s="46">
        <f t="shared" si="118"/>
        <v>0</v>
      </c>
      <c r="FS23" s="46">
        <f t="shared" si="119"/>
        <v>0</v>
      </c>
      <c r="FT23" s="46">
        <f t="shared" si="120"/>
        <v>0</v>
      </c>
      <c r="FU23" s="46">
        <f t="shared" si="121"/>
        <v>0</v>
      </c>
      <c r="FV23" s="46">
        <f t="shared" si="122"/>
        <v>0</v>
      </c>
      <c r="FW23" s="46">
        <f t="shared" si="123"/>
        <v>0</v>
      </c>
      <c r="FX23" s="46">
        <f t="shared" si="124"/>
        <v>0</v>
      </c>
      <c r="FY23" s="46">
        <f t="shared" si="125"/>
        <v>0</v>
      </c>
      <c r="FZ23" s="46">
        <f t="shared" si="126"/>
        <v>0</v>
      </c>
      <c r="GA23" s="46">
        <f t="shared" si="127"/>
        <v>0</v>
      </c>
      <c r="GB23" s="46">
        <f t="shared" si="128"/>
        <v>0</v>
      </c>
      <c r="GC23" s="46">
        <f t="shared" si="129"/>
        <v>0</v>
      </c>
      <c r="GD23" s="46">
        <f t="shared" si="130"/>
        <v>0</v>
      </c>
      <c r="GE23" s="46">
        <f t="shared" si="131"/>
        <v>0</v>
      </c>
      <c r="GF23" s="46">
        <f t="shared" si="132"/>
        <v>0</v>
      </c>
      <c r="GG23" s="46">
        <f t="shared" si="133"/>
        <v>0</v>
      </c>
      <c r="GH23" s="46">
        <f t="shared" si="134"/>
        <v>0</v>
      </c>
      <c r="GI23" s="46">
        <f t="shared" si="135"/>
        <v>0</v>
      </c>
      <c r="GJ23" s="46">
        <f t="shared" si="136"/>
        <v>0</v>
      </c>
      <c r="GK23" s="46">
        <f t="shared" si="137"/>
        <v>0</v>
      </c>
      <c r="GM23" s="58">
        <f>FL23+'EXTRALABORAL A '!BH22</f>
        <v>0</v>
      </c>
      <c r="GN23" s="58">
        <f t="shared" si="94"/>
        <v>0</v>
      </c>
    </row>
    <row r="24" spans="1:196">
      <c r="A24" s="3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EO24" s="32">
        <f t="shared" ref="EO24:EO58" si="143">+SUM(CF24:CR24)</f>
        <v>0</v>
      </c>
      <c r="EP24" s="32">
        <f t="shared" ref="EP24:EP48" si="144">+SUM(CS24:DF24)</f>
        <v>0</v>
      </c>
      <c r="EQ24" s="32">
        <f t="shared" ref="EQ24:EQ58" si="145">+SUM(DG24:DK24)</f>
        <v>0</v>
      </c>
      <c r="ER24" s="32">
        <f t="shared" ref="ER24:ER31" si="146">+SUM(EF24:EN24)</f>
        <v>0</v>
      </c>
      <c r="ES24" s="33">
        <f t="shared" ref="ES24:ES58" si="147">+SUM(BV24:CB24)</f>
        <v>0</v>
      </c>
      <c r="ET24" s="33">
        <f t="shared" ref="ET24:ET40" si="148">+SUM(CC24:CE24)</f>
        <v>0</v>
      </c>
      <c r="EU24" s="33">
        <f t="shared" ref="EU24:EU40" si="149">+SUM(BQ24:BT24)</f>
        <v>0</v>
      </c>
      <c r="EV24" s="33">
        <f t="shared" ref="EV24:EV40" si="150">+SUM(BH24:BK24)</f>
        <v>0</v>
      </c>
      <c r="EW24" s="33">
        <f t="shared" ref="EW24:EW40" si="151">+SUM(BM24:BO24)</f>
        <v>0</v>
      </c>
      <c r="EX24" s="34">
        <f t="shared" ref="EX24:EX39" si="152">+SUM(V24:AG24)</f>
        <v>0</v>
      </c>
      <c r="EY24" s="34">
        <f t="shared" ref="EY24:EY32" si="153">+SUM(DW24:EE24)</f>
        <v>0</v>
      </c>
      <c r="EZ24" s="34">
        <f t="shared" ref="EZ24:EZ34" si="154">+SUM(AH24+AI24+AJ24+BA24+BL24+BP24)</f>
        <v>0</v>
      </c>
      <c r="FA24" s="34">
        <f t="shared" ref="FA24:FA40" si="155">SUM(BD24:BG24)</f>
        <v>0</v>
      </c>
      <c r="FB24" s="34">
        <f t="shared" ref="FB24:FB40" si="156">+SUM(AN24+AQ24+AR24+AS24+AT24+AU24)</f>
        <v>0</v>
      </c>
      <c r="FC24" s="34">
        <f t="shared" ref="FC24:FC58" si="157">+SUM(AK24+AL24+AM24+AO24+AP24)</f>
        <v>0</v>
      </c>
      <c r="FD24" s="34">
        <f t="shared" ref="FD24:FD40" si="158">+SUM(AV24+AW24+AX24+AY24+BU24)</f>
        <v>0</v>
      </c>
      <c r="FE24" s="34">
        <f t="shared" ref="FE24:FE40" si="159">+SUM(AZ24+BB24+BC24)</f>
        <v>0</v>
      </c>
      <c r="FF24" s="35">
        <f t="shared" ref="FF24:FF58" si="160">+SUM(DL24+DS24+DT24+DU24+DV24)</f>
        <v>0</v>
      </c>
      <c r="FG24" s="35">
        <f t="shared" ref="FG24:FG40" si="161">+SUM(DM24:DR24)</f>
        <v>0</v>
      </c>
      <c r="FH24" s="3">
        <f t="shared" si="138"/>
        <v>0</v>
      </c>
      <c r="FI24" s="3">
        <f t="shared" si="139"/>
        <v>0</v>
      </c>
      <c r="FJ24" s="3">
        <f t="shared" si="140"/>
        <v>0</v>
      </c>
      <c r="FK24" s="3">
        <f t="shared" si="141"/>
        <v>0</v>
      </c>
      <c r="FL24" s="24">
        <f t="shared" si="142"/>
        <v>0</v>
      </c>
      <c r="FM24" s="3"/>
      <c r="FN24" s="46">
        <f t="shared" si="114"/>
        <v>0</v>
      </c>
      <c r="FO24" s="46">
        <f t="shared" si="115"/>
        <v>0</v>
      </c>
      <c r="FP24" s="46">
        <f t="shared" si="116"/>
        <v>0</v>
      </c>
      <c r="FQ24" s="46">
        <f t="shared" si="117"/>
        <v>0</v>
      </c>
      <c r="FR24" s="46">
        <f t="shared" si="118"/>
        <v>0</v>
      </c>
      <c r="FS24" s="46">
        <f t="shared" si="119"/>
        <v>0</v>
      </c>
      <c r="FT24" s="46">
        <f t="shared" si="120"/>
        <v>0</v>
      </c>
      <c r="FU24" s="46">
        <f t="shared" si="121"/>
        <v>0</v>
      </c>
      <c r="FV24" s="46">
        <f t="shared" si="122"/>
        <v>0</v>
      </c>
      <c r="FW24" s="46">
        <f t="shared" si="123"/>
        <v>0</v>
      </c>
      <c r="FX24" s="46">
        <f t="shared" si="124"/>
        <v>0</v>
      </c>
      <c r="FY24" s="46">
        <f t="shared" si="125"/>
        <v>0</v>
      </c>
      <c r="FZ24" s="46">
        <f t="shared" si="126"/>
        <v>0</v>
      </c>
      <c r="GA24" s="46">
        <f t="shared" si="127"/>
        <v>0</v>
      </c>
      <c r="GB24" s="46">
        <f t="shared" si="128"/>
        <v>0</v>
      </c>
      <c r="GC24" s="46">
        <f t="shared" si="129"/>
        <v>0</v>
      </c>
      <c r="GD24" s="46">
        <f t="shared" si="130"/>
        <v>0</v>
      </c>
      <c r="GE24" s="46">
        <f t="shared" si="131"/>
        <v>0</v>
      </c>
      <c r="GF24" s="46">
        <f t="shared" si="132"/>
        <v>0</v>
      </c>
      <c r="GG24" s="46">
        <f t="shared" si="133"/>
        <v>0</v>
      </c>
      <c r="GH24" s="46">
        <f t="shared" si="134"/>
        <v>0</v>
      </c>
      <c r="GI24" s="46">
        <f t="shared" si="135"/>
        <v>0</v>
      </c>
      <c r="GJ24" s="46">
        <f t="shared" si="136"/>
        <v>0</v>
      </c>
      <c r="GK24" s="46">
        <f t="shared" si="137"/>
        <v>0</v>
      </c>
      <c r="GM24" s="58">
        <f>FL24+'EXTRALABORAL A '!BH23</f>
        <v>0</v>
      </c>
      <c r="GN24" s="58">
        <f t="shared" si="94"/>
        <v>0</v>
      </c>
    </row>
    <row r="25" spans="1:196">
      <c r="A25" s="3">
        <v>21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EO25" s="32">
        <f t="shared" si="143"/>
        <v>0</v>
      </c>
      <c r="EP25" s="32">
        <f t="shared" si="144"/>
        <v>0</v>
      </c>
      <c r="EQ25" s="32">
        <f t="shared" si="145"/>
        <v>0</v>
      </c>
      <c r="ER25" s="32">
        <f t="shared" si="146"/>
        <v>0</v>
      </c>
      <c r="ES25" s="33">
        <f t="shared" si="147"/>
        <v>0</v>
      </c>
      <c r="ET25" s="33">
        <f t="shared" si="148"/>
        <v>0</v>
      </c>
      <c r="EU25" s="33">
        <f t="shared" si="149"/>
        <v>0</v>
      </c>
      <c r="EV25" s="33">
        <f t="shared" si="150"/>
        <v>0</v>
      </c>
      <c r="EW25" s="33">
        <f t="shared" si="151"/>
        <v>0</v>
      </c>
      <c r="EX25" s="34">
        <f t="shared" si="152"/>
        <v>0</v>
      </c>
      <c r="EY25" s="34">
        <f t="shared" si="153"/>
        <v>0</v>
      </c>
      <c r="EZ25" s="34">
        <f t="shared" si="154"/>
        <v>0</v>
      </c>
      <c r="FA25" s="34">
        <f t="shared" si="155"/>
        <v>0</v>
      </c>
      <c r="FB25" s="34">
        <f t="shared" si="156"/>
        <v>0</v>
      </c>
      <c r="FC25" s="34">
        <f t="shared" si="157"/>
        <v>0</v>
      </c>
      <c r="FD25" s="34">
        <f t="shared" si="158"/>
        <v>0</v>
      </c>
      <c r="FE25" s="34">
        <f t="shared" si="159"/>
        <v>0</v>
      </c>
      <c r="FF25" s="35">
        <f t="shared" si="160"/>
        <v>0</v>
      </c>
      <c r="FG25" s="35">
        <f t="shared" si="161"/>
        <v>0</v>
      </c>
      <c r="FH25" s="3">
        <f t="shared" si="138"/>
        <v>0</v>
      </c>
      <c r="FI25" s="3">
        <f t="shared" si="139"/>
        <v>0</v>
      </c>
      <c r="FJ25" s="3">
        <f t="shared" si="140"/>
        <v>0</v>
      </c>
      <c r="FK25" s="3">
        <f t="shared" si="141"/>
        <v>0</v>
      </c>
      <c r="FL25" s="24">
        <f t="shared" si="142"/>
        <v>0</v>
      </c>
      <c r="FM25" s="3"/>
      <c r="FN25" s="46">
        <f t="shared" si="114"/>
        <v>0</v>
      </c>
      <c r="FO25" s="46">
        <f t="shared" si="115"/>
        <v>0</v>
      </c>
      <c r="FP25" s="46">
        <f t="shared" si="116"/>
        <v>0</v>
      </c>
      <c r="FQ25" s="46">
        <f t="shared" si="117"/>
        <v>0</v>
      </c>
      <c r="FR25" s="46">
        <f t="shared" si="118"/>
        <v>0</v>
      </c>
      <c r="FS25" s="46">
        <f t="shared" si="119"/>
        <v>0</v>
      </c>
      <c r="FT25" s="46">
        <f t="shared" si="120"/>
        <v>0</v>
      </c>
      <c r="FU25" s="46">
        <f t="shared" si="121"/>
        <v>0</v>
      </c>
      <c r="FV25" s="46">
        <f t="shared" si="122"/>
        <v>0</v>
      </c>
      <c r="FW25" s="46">
        <f t="shared" si="123"/>
        <v>0</v>
      </c>
      <c r="FX25" s="46">
        <f t="shared" si="124"/>
        <v>0</v>
      </c>
      <c r="FY25" s="46">
        <f t="shared" si="125"/>
        <v>0</v>
      </c>
      <c r="FZ25" s="46">
        <f t="shared" si="126"/>
        <v>0</v>
      </c>
      <c r="GA25" s="46">
        <f t="shared" si="127"/>
        <v>0</v>
      </c>
      <c r="GB25" s="46">
        <f t="shared" si="128"/>
        <v>0</v>
      </c>
      <c r="GC25" s="46">
        <f t="shared" si="129"/>
        <v>0</v>
      </c>
      <c r="GD25" s="46">
        <f t="shared" si="130"/>
        <v>0</v>
      </c>
      <c r="GE25" s="46">
        <f t="shared" si="131"/>
        <v>0</v>
      </c>
      <c r="GF25" s="46">
        <f t="shared" si="132"/>
        <v>0</v>
      </c>
      <c r="GG25" s="46">
        <f t="shared" si="133"/>
        <v>0</v>
      </c>
      <c r="GH25" s="46">
        <f t="shared" si="134"/>
        <v>0</v>
      </c>
      <c r="GI25" s="46">
        <f t="shared" si="135"/>
        <v>0</v>
      </c>
      <c r="GJ25" s="46">
        <f t="shared" si="136"/>
        <v>0</v>
      </c>
      <c r="GK25" s="46">
        <f t="shared" si="137"/>
        <v>0</v>
      </c>
      <c r="GM25" s="58">
        <f>FL25+'EXTRALABORAL A '!BH24</f>
        <v>0</v>
      </c>
      <c r="GN25" s="58">
        <f t="shared" si="94"/>
        <v>0</v>
      </c>
    </row>
    <row r="26" spans="1:196">
      <c r="A26" s="3">
        <v>22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EO26" s="32">
        <f t="shared" si="143"/>
        <v>0</v>
      </c>
      <c r="EP26" s="32">
        <f t="shared" si="144"/>
        <v>0</v>
      </c>
      <c r="EQ26" s="32">
        <f t="shared" si="145"/>
        <v>0</v>
      </c>
      <c r="ER26" s="32">
        <f t="shared" si="146"/>
        <v>0</v>
      </c>
      <c r="ES26" s="33">
        <f t="shared" si="147"/>
        <v>0</v>
      </c>
      <c r="ET26" s="33">
        <f t="shared" si="148"/>
        <v>0</v>
      </c>
      <c r="EU26" s="33">
        <f t="shared" si="149"/>
        <v>0</v>
      </c>
      <c r="EV26" s="33">
        <f t="shared" si="150"/>
        <v>0</v>
      </c>
      <c r="EW26" s="33">
        <f t="shared" si="151"/>
        <v>0</v>
      </c>
      <c r="EX26" s="34">
        <f t="shared" si="152"/>
        <v>0</v>
      </c>
      <c r="EY26" s="34">
        <f t="shared" si="153"/>
        <v>0</v>
      </c>
      <c r="EZ26" s="34">
        <f t="shared" si="154"/>
        <v>0</v>
      </c>
      <c r="FA26" s="34">
        <f t="shared" si="155"/>
        <v>0</v>
      </c>
      <c r="FB26" s="34">
        <f t="shared" si="156"/>
        <v>0</v>
      </c>
      <c r="FC26" s="34">
        <f t="shared" si="157"/>
        <v>0</v>
      </c>
      <c r="FD26" s="34">
        <f t="shared" si="158"/>
        <v>0</v>
      </c>
      <c r="FE26" s="34">
        <f t="shared" si="159"/>
        <v>0</v>
      </c>
      <c r="FF26" s="35">
        <f t="shared" si="160"/>
        <v>0</v>
      </c>
      <c r="FG26" s="35">
        <f t="shared" si="161"/>
        <v>0</v>
      </c>
      <c r="FH26" s="3">
        <f t="shared" si="138"/>
        <v>0</v>
      </c>
      <c r="FI26" s="3">
        <f t="shared" si="139"/>
        <v>0</v>
      </c>
      <c r="FJ26" s="3">
        <f t="shared" si="140"/>
        <v>0</v>
      </c>
      <c r="FK26" s="3">
        <f t="shared" si="141"/>
        <v>0</v>
      </c>
      <c r="FL26" s="24">
        <f t="shared" si="142"/>
        <v>0</v>
      </c>
      <c r="FM26" s="3"/>
      <c r="FN26" s="46">
        <f t="shared" si="114"/>
        <v>0</v>
      </c>
      <c r="FO26" s="46">
        <f t="shared" si="115"/>
        <v>0</v>
      </c>
      <c r="FP26" s="46">
        <f t="shared" si="116"/>
        <v>0</v>
      </c>
      <c r="FQ26" s="46">
        <f t="shared" si="117"/>
        <v>0</v>
      </c>
      <c r="FR26" s="46">
        <f t="shared" si="118"/>
        <v>0</v>
      </c>
      <c r="FS26" s="46">
        <f t="shared" si="119"/>
        <v>0</v>
      </c>
      <c r="FT26" s="46">
        <f t="shared" si="120"/>
        <v>0</v>
      </c>
      <c r="FU26" s="46">
        <f t="shared" si="121"/>
        <v>0</v>
      </c>
      <c r="FV26" s="46">
        <f t="shared" si="122"/>
        <v>0</v>
      </c>
      <c r="FW26" s="46">
        <f t="shared" si="123"/>
        <v>0</v>
      </c>
      <c r="FX26" s="46">
        <f t="shared" si="124"/>
        <v>0</v>
      </c>
      <c r="FY26" s="46">
        <f t="shared" si="125"/>
        <v>0</v>
      </c>
      <c r="FZ26" s="46">
        <f t="shared" si="126"/>
        <v>0</v>
      </c>
      <c r="GA26" s="46">
        <f t="shared" si="127"/>
        <v>0</v>
      </c>
      <c r="GB26" s="46">
        <f t="shared" si="128"/>
        <v>0</v>
      </c>
      <c r="GC26" s="46">
        <f t="shared" si="129"/>
        <v>0</v>
      </c>
      <c r="GD26" s="46">
        <f t="shared" si="130"/>
        <v>0</v>
      </c>
      <c r="GE26" s="46">
        <f t="shared" si="131"/>
        <v>0</v>
      </c>
      <c r="GF26" s="46">
        <f t="shared" si="132"/>
        <v>0</v>
      </c>
      <c r="GG26" s="46">
        <f t="shared" si="133"/>
        <v>0</v>
      </c>
      <c r="GH26" s="46">
        <f t="shared" si="134"/>
        <v>0</v>
      </c>
      <c r="GI26" s="46">
        <f t="shared" si="135"/>
        <v>0</v>
      </c>
      <c r="GJ26" s="46">
        <f t="shared" si="136"/>
        <v>0</v>
      </c>
      <c r="GK26" s="46">
        <f t="shared" si="137"/>
        <v>0</v>
      </c>
      <c r="GM26" s="58">
        <f>FL26+'EXTRALABORAL A '!BH25</f>
        <v>0</v>
      </c>
      <c r="GN26" s="58">
        <f t="shared" si="94"/>
        <v>0</v>
      </c>
    </row>
    <row r="27" spans="1:196">
      <c r="A27" s="3">
        <v>23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EO27" s="32">
        <f t="shared" si="143"/>
        <v>0</v>
      </c>
      <c r="EP27" s="32">
        <f t="shared" si="144"/>
        <v>0</v>
      </c>
      <c r="EQ27" s="32">
        <f t="shared" si="145"/>
        <v>0</v>
      </c>
      <c r="ER27" s="32">
        <f t="shared" si="146"/>
        <v>0</v>
      </c>
      <c r="ES27" s="33">
        <f t="shared" si="147"/>
        <v>0</v>
      </c>
      <c r="ET27" s="33">
        <f t="shared" si="148"/>
        <v>0</v>
      </c>
      <c r="EU27" s="33">
        <f t="shared" si="149"/>
        <v>0</v>
      </c>
      <c r="EV27" s="33">
        <f t="shared" si="150"/>
        <v>0</v>
      </c>
      <c r="EW27" s="33">
        <f t="shared" si="151"/>
        <v>0</v>
      </c>
      <c r="EX27" s="34">
        <f t="shared" si="152"/>
        <v>0</v>
      </c>
      <c r="EY27" s="34">
        <f t="shared" si="153"/>
        <v>0</v>
      </c>
      <c r="EZ27" s="34">
        <f t="shared" si="154"/>
        <v>0</v>
      </c>
      <c r="FA27" s="34">
        <f t="shared" si="155"/>
        <v>0</v>
      </c>
      <c r="FB27" s="34">
        <f t="shared" si="156"/>
        <v>0</v>
      </c>
      <c r="FC27" s="34">
        <f t="shared" si="157"/>
        <v>0</v>
      </c>
      <c r="FD27" s="34">
        <f t="shared" si="158"/>
        <v>0</v>
      </c>
      <c r="FE27" s="34">
        <f t="shared" si="159"/>
        <v>0</v>
      </c>
      <c r="FF27" s="35">
        <f t="shared" si="160"/>
        <v>0</v>
      </c>
      <c r="FG27" s="35">
        <f t="shared" si="161"/>
        <v>0</v>
      </c>
      <c r="FH27" s="3">
        <f t="shared" si="138"/>
        <v>0</v>
      </c>
      <c r="FI27" s="3">
        <f t="shared" si="139"/>
        <v>0</v>
      </c>
      <c r="FJ27" s="3">
        <f t="shared" si="140"/>
        <v>0</v>
      </c>
      <c r="FK27" s="3">
        <f t="shared" si="141"/>
        <v>0</v>
      </c>
      <c r="FL27" s="24">
        <f t="shared" si="142"/>
        <v>0</v>
      </c>
      <c r="FM27" s="3"/>
      <c r="FN27" s="46">
        <f>+SUM(EO27/52)*100</f>
        <v>0</v>
      </c>
      <c r="FO27" s="46">
        <f t="shared" si="115"/>
        <v>0</v>
      </c>
      <c r="FP27" s="46">
        <f t="shared" si="116"/>
        <v>0</v>
      </c>
      <c r="FQ27" s="46">
        <f t="shared" si="117"/>
        <v>0</v>
      </c>
      <c r="FR27" s="46">
        <f t="shared" si="118"/>
        <v>0</v>
      </c>
      <c r="FS27" s="46">
        <f t="shared" si="119"/>
        <v>0</v>
      </c>
      <c r="FT27" s="46">
        <f t="shared" si="120"/>
        <v>0</v>
      </c>
      <c r="FU27" s="46">
        <f t="shared" si="121"/>
        <v>0</v>
      </c>
      <c r="FV27" s="46">
        <f t="shared" si="122"/>
        <v>0</v>
      </c>
      <c r="FW27" s="46">
        <f t="shared" si="123"/>
        <v>0</v>
      </c>
      <c r="FX27" s="46">
        <f t="shared" si="124"/>
        <v>0</v>
      </c>
      <c r="FY27" s="46">
        <f t="shared" si="125"/>
        <v>0</v>
      </c>
      <c r="FZ27" s="46">
        <f t="shared" si="126"/>
        <v>0</v>
      </c>
      <c r="GA27" s="46">
        <f t="shared" si="127"/>
        <v>0</v>
      </c>
      <c r="GB27" s="46">
        <f t="shared" si="128"/>
        <v>0</v>
      </c>
      <c r="GC27" s="46">
        <f t="shared" si="129"/>
        <v>0</v>
      </c>
      <c r="GD27" s="46">
        <f t="shared" si="130"/>
        <v>0</v>
      </c>
      <c r="GE27" s="46">
        <f t="shared" si="131"/>
        <v>0</v>
      </c>
      <c r="GF27" s="46">
        <f t="shared" si="132"/>
        <v>0</v>
      </c>
      <c r="GG27" s="46">
        <f t="shared" si="133"/>
        <v>0</v>
      </c>
      <c r="GH27" s="46">
        <f t="shared" si="134"/>
        <v>0</v>
      </c>
      <c r="GI27" s="46">
        <f t="shared" si="135"/>
        <v>0</v>
      </c>
      <c r="GJ27" s="46">
        <f t="shared" si="136"/>
        <v>0</v>
      </c>
      <c r="GK27" s="46">
        <f t="shared" si="137"/>
        <v>0</v>
      </c>
      <c r="GM27" s="58">
        <f>FL27+'EXTRALABORAL A '!BH26</f>
        <v>0</v>
      </c>
      <c r="GN27" s="58">
        <f>+SUM(GM27/616)*100</f>
        <v>0</v>
      </c>
    </row>
    <row r="28" spans="1:196">
      <c r="A28" s="3">
        <v>24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EO28" s="32">
        <f t="shared" si="143"/>
        <v>0</v>
      </c>
      <c r="EP28" s="32">
        <f t="shared" si="144"/>
        <v>0</v>
      </c>
      <c r="EQ28" s="32">
        <f t="shared" si="145"/>
        <v>0</v>
      </c>
      <c r="ER28" s="32">
        <f t="shared" si="146"/>
        <v>0</v>
      </c>
      <c r="ES28" s="33">
        <f t="shared" si="147"/>
        <v>0</v>
      </c>
      <c r="ET28" s="33">
        <f t="shared" si="148"/>
        <v>0</v>
      </c>
      <c r="EU28" s="33">
        <f t="shared" si="149"/>
        <v>0</v>
      </c>
      <c r="EV28" s="33">
        <f t="shared" si="150"/>
        <v>0</v>
      </c>
      <c r="EW28" s="33">
        <f t="shared" si="151"/>
        <v>0</v>
      </c>
      <c r="EX28" s="34">
        <f t="shared" si="152"/>
        <v>0</v>
      </c>
      <c r="EY28" s="34">
        <f t="shared" si="153"/>
        <v>0</v>
      </c>
      <c r="EZ28" s="34">
        <f t="shared" si="154"/>
        <v>0</v>
      </c>
      <c r="FA28" s="34">
        <f t="shared" si="155"/>
        <v>0</v>
      </c>
      <c r="FB28" s="34">
        <f t="shared" si="156"/>
        <v>0</v>
      </c>
      <c r="FC28" s="34">
        <f t="shared" si="157"/>
        <v>0</v>
      </c>
      <c r="FD28" s="34">
        <f t="shared" si="158"/>
        <v>0</v>
      </c>
      <c r="FE28" s="34">
        <f t="shared" si="159"/>
        <v>0</v>
      </c>
      <c r="FF28" s="35">
        <f t="shared" si="160"/>
        <v>0</v>
      </c>
      <c r="FG28" s="35">
        <f t="shared" si="161"/>
        <v>0</v>
      </c>
      <c r="FH28" s="3">
        <f t="shared" si="138"/>
        <v>0</v>
      </c>
      <c r="FI28" s="3">
        <f t="shared" si="139"/>
        <v>0</v>
      </c>
      <c r="FJ28" s="3">
        <f t="shared" si="140"/>
        <v>0</v>
      </c>
      <c r="FK28" s="3">
        <f t="shared" si="141"/>
        <v>0</v>
      </c>
      <c r="FL28" s="24">
        <f t="shared" si="142"/>
        <v>0</v>
      </c>
      <c r="FM28" s="3"/>
      <c r="FN28" s="46">
        <f t="shared" ref="FN28:FN58" si="162">+SUM(EO28/52)*100</f>
        <v>0</v>
      </c>
      <c r="FO28" s="46">
        <f t="shared" si="115"/>
        <v>0</v>
      </c>
      <c r="FP28" s="46">
        <f t="shared" si="116"/>
        <v>0</v>
      </c>
      <c r="FQ28" s="46">
        <f t="shared" si="117"/>
        <v>0</v>
      </c>
      <c r="FR28" s="46">
        <f t="shared" si="118"/>
        <v>0</v>
      </c>
      <c r="FS28" s="46">
        <f t="shared" si="119"/>
        <v>0</v>
      </c>
      <c r="FT28" s="46">
        <f t="shared" si="120"/>
        <v>0</v>
      </c>
      <c r="FU28" s="46">
        <f t="shared" si="121"/>
        <v>0</v>
      </c>
      <c r="FV28" s="46">
        <f t="shared" si="122"/>
        <v>0</v>
      </c>
      <c r="FW28" s="46">
        <f t="shared" si="123"/>
        <v>0</v>
      </c>
      <c r="FX28" s="46">
        <f t="shared" si="124"/>
        <v>0</v>
      </c>
      <c r="FY28" s="46">
        <f t="shared" si="125"/>
        <v>0</v>
      </c>
      <c r="FZ28" s="46">
        <f t="shared" si="126"/>
        <v>0</v>
      </c>
      <c r="GA28" s="46">
        <f t="shared" si="127"/>
        <v>0</v>
      </c>
      <c r="GB28" s="46">
        <f t="shared" si="128"/>
        <v>0</v>
      </c>
      <c r="GC28" s="46">
        <f t="shared" si="129"/>
        <v>0</v>
      </c>
      <c r="GD28" s="46">
        <f t="shared" si="130"/>
        <v>0</v>
      </c>
      <c r="GE28" s="46">
        <f t="shared" si="131"/>
        <v>0</v>
      </c>
      <c r="GF28" s="46">
        <f t="shared" si="132"/>
        <v>0</v>
      </c>
      <c r="GG28" s="46">
        <f t="shared" si="133"/>
        <v>0</v>
      </c>
      <c r="GH28" s="46">
        <f t="shared" si="134"/>
        <v>0</v>
      </c>
      <c r="GI28" s="46">
        <f t="shared" si="135"/>
        <v>0</v>
      </c>
      <c r="GJ28" s="46">
        <f t="shared" si="136"/>
        <v>0</v>
      </c>
      <c r="GK28" s="46">
        <f t="shared" si="137"/>
        <v>0</v>
      </c>
      <c r="GM28" s="58">
        <f>FL28+'EXTRALABORAL A '!BH27</f>
        <v>0</v>
      </c>
      <c r="GN28" s="58">
        <f t="shared" si="94"/>
        <v>0</v>
      </c>
    </row>
    <row r="29" spans="1:196">
      <c r="A29" s="3">
        <v>25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EO29" s="32">
        <f t="shared" si="143"/>
        <v>0</v>
      </c>
      <c r="EP29" s="32">
        <f t="shared" si="144"/>
        <v>0</v>
      </c>
      <c r="EQ29" s="32">
        <f t="shared" si="145"/>
        <v>0</v>
      </c>
      <c r="ER29" s="32">
        <f t="shared" si="146"/>
        <v>0</v>
      </c>
      <c r="ES29" s="33">
        <f t="shared" si="147"/>
        <v>0</v>
      </c>
      <c r="ET29" s="33">
        <f t="shared" si="148"/>
        <v>0</v>
      </c>
      <c r="EU29" s="33">
        <f t="shared" si="149"/>
        <v>0</v>
      </c>
      <c r="EV29" s="33">
        <f t="shared" si="150"/>
        <v>0</v>
      </c>
      <c r="EW29" s="33">
        <f t="shared" si="151"/>
        <v>0</v>
      </c>
      <c r="EX29" s="34">
        <f t="shared" si="152"/>
        <v>0</v>
      </c>
      <c r="EY29" s="34">
        <f t="shared" si="153"/>
        <v>0</v>
      </c>
      <c r="EZ29" s="34">
        <f t="shared" si="154"/>
        <v>0</v>
      </c>
      <c r="FA29" s="34">
        <f t="shared" si="155"/>
        <v>0</v>
      </c>
      <c r="FB29" s="34">
        <f t="shared" si="156"/>
        <v>0</v>
      </c>
      <c r="FC29" s="34">
        <f t="shared" si="157"/>
        <v>0</v>
      </c>
      <c r="FD29" s="34">
        <f t="shared" si="158"/>
        <v>0</v>
      </c>
      <c r="FE29" s="34">
        <f t="shared" si="159"/>
        <v>0</v>
      </c>
      <c r="FF29" s="35">
        <f t="shared" si="160"/>
        <v>0</v>
      </c>
      <c r="FG29" s="35">
        <f t="shared" si="161"/>
        <v>0</v>
      </c>
      <c r="FH29" s="3">
        <f t="shared" si="138"/>
        <v>0</v>
      </c>
      <c r="FI29" s="3">
        <f t="shared" si="139"/>
        <v>0</v>
      </c>
      <c r="FJ29" s="3">
        <f t="shared" si="140"/>
        <v>0</v>
      </c>
      <c r="FK29" s="3">
        <f t="shared" si="141"/>
        <v>0</v>
      </c>
      <c r="FL29" s="24">
        <f t="shared" si="142"/>
        <v>0</v>
      </c>
      <c r="FM29" s="3"/>
      <c r="FN29" s="46">
        <f t="shared" si="162"/>
        <v>0</v>
      </c>
      <c r="FO29" s="46">
        <f t="shared" si="115"/>
        <v>0</v>
      </c>
      <c r="FP29" s="46">
        <f t="shared" si="116"/>
        <v>0</v>
      </c>
      <c r="FQ29" s="46">
        <f t="shared" si="117"/>
        <v>0</v>
      </c>
      <c r="FR29" s="46">
        <f t="shared" si="118"/>
        <v>0</v>
      </c>
      <c r="FS29" s="46">
        <f t="shared" si="119"/>
        <v>0</v>
      </c>
      <c r="FT29" s="46">
        <f t="shared" si="120"/>
        <v>0</v>
      </c>
      <c r="FU29" s="46">
        <f t="shared" si="121"/>
        <v>0</v>
      </c>
      <c r="FV29" s="46">
        <f t="shared" si="122"/>
        <v>0</v>
      </c>
      <c r="FW29" s="46">
        <f t="shared" si="123"/>
        <v>0</v>
      </c>
      <c r="FX29" s="46">
        <f t="shared" si="124"/>
        <v>0</v>
      </c>
      <c r="FY29" s="46">
        <f t="shared" si="125"/>
        <v>0</v>
      </c>
      <c r="FZ29" s="46">
        <f t="shared" si="126"/>
        <v>0</v>
      </c>
      <c r="GA29" s="46">
        <f t="shared" si="127"/>
        <v>0</v>
      </c>
      <c r="GB29" s="46">
        <f t="shared" si="128"/>
        <v>0</v>
      </c>
      <c r="GC29" s="46">
        <f t="shared" si="129"/>
        <v>0</v>
      </c>
      <c r="GD29" s="46">
        <f t="shared" si="130"/>
        <v>0</v>
      </c>
      <c r="GE29" s="46">
        <f t="shared" si="131"/>
        <v>0</v>
      </c>
      <c r="GF29" s="46">
        <f t="shared" si="132"/>
        <v>0</v>
      </c>
      <c r="GG29" s="46">
        <f t="shared" si="133"/>
        <v>0</v>
      </c>
      <c r="GH29" s="46">
        <f t="shared" si="134"/>
        <v>0</v>
      </c>
      <c r="GI29" s="46">
        <f t="shared" si="135"/>
        <v>0</v>
      </c>
      <c r="GJ29" s="46">
        <f t="shared" si="136"/>
        <v>0</v>
      </c>
      <c r="GK29" s="46">
        <f t="shared" si="137"/>
        <v>0</v>
      </c>
      <c r="GM29" s="58">
        <f>FL29+'EXTRALABORAL A '!BH28</f>
        <v>0</v>
      </c>
      <c r="GN29" s="58">
        <f t="shared" si="94"/>
        <v>0</v>
      </c>
    </row>
    <row r="30" spans="1:196">
      <c r="A30" s="3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EO30" s="32">
        <f t="shared" si="143"/>
        <v>0</v>
      </c>
      <c r="EP30" s="32">
        <f t="shared" si="144"/>
        <v>0</v>
      </c>
      <c r="EQ30" s="32">
        <f t="shared" si="145"/>
        <v>0</v>
      </c>
      <c r="ER30" s="32">
        <f t="shared" si="146"/>
        <v>0</v>
      </c>
      <c r="ES30" s="33">
        <f t="shared" si="147"/>
        <v>0</v>
      </c>
      <c r="ET30" s="33">
        <f t="shared" si="148"/>
        <v>0</v>
      </c>
      <c r="EU30" s="33">
        <f t="shared" si="149"/>
        <v>0</v>
      </c>
      <c r="EV30" s="33">
        <f t="shared" si="150"/>
        <v>0</v>
      </c>
      <c r="EW30" s="33">
        <f t="shared" si="151"/>
        <v>0</v>
      </c>
      <c r="EX30" s="34">
        <f t="shared" si="152"/>
        <v>0</v>
      </c>
      <c r="EY30" s="34">
        <f t="shared" si="153"/>
        <v>0</v>
      </c>
      <c r="EZ30" s="34">
        <f t="shared" si="154"/>
        <v>0</v>
      </c>
      <c r="FA30" s="34">
        <f t="shared" si="155"/>
        <v>0</v>
      </c>
      <c r="FB30" s="34">
        <f t="shared" si="156"/>
        <v>0</v>
      </c>
      <c r="FC30" s="34">
        <f t="shared" si="157"/>
        <v>0</v>
      </c>
      <c r="FD30" s="34">
        <f t="shared" si="158"/>
        <v>0</v>
      </c>
      <c r="FE30" s="34">
        <f t="shared" si="159"/>
        <v>0</v>
      </c>
      <c r="FF30" s="35">
        <f t="shared" si="160"/>
        <v>0</v>
      </c>
      <c r="FG30" s="35">
        <f t="shared" si="161"/>
        <v>0</v>
      </c>
      <c r="FH30" s="3">
        <f t="shared" si="138"/>
        <v>0</v>
      </c>
      <c r="FI30" s="3">
        <f t="shared" si="139"/>
        <v>0</v>
      </c>
      <c r="FJ30" s="3">
        <f t="shared" si="140"/>
        <v>0</v>
      </c>
      <c r="FK30" s="3">
        <f t="shared" si="141"/>
        <v>0</v>
      </c>
      <c r="FL30" s="24">
        <f t="shared" si="142"/>
        <v>0</v>
      </c>
      <c r="FM30" s="3"/>
      <c r="FN30" s="46">
        <f t="shared" si="162"/>
        <v>0</v>
      </c>
      <c r="FO30" s="46">
        <f t="shared" si="115"/>
        <v>0</v>
      </c>
      <c r="FP30" s="46">
        <f t="shared" si="116"/>
        <v>0</v>
      </c>
      <c r="FQ30" s="46">
        <f t="shared" si="117"/>
        <v>0</v>
      </c>
      <c r="FR30" s="46">
        <f t="shared" si="118"/>
        <v>0</v>
      </c>
      <c r="FS30" s="46">
        <f t="shared" si="119"/>
        <v>0</v>
      </c>
      <c r="FT30" s="46">
        <f t="shared" si="120"/>
        <v>0</v>
      </c>
      <c r="FU30" s="46">
        <f t="shared" si="121"/>
        <v>0</v>
      </c>
      <c r="FV30" s="46">
        <f t="shared" si="122"/>
        <v>0</v>
      </c>
      <c r="FW30" s="46">
        <f t="shared" si="123"/>
        <v>0</v>
      </c>
      <c r="FX30" s="46">
        <f t="shared" si="124"/>
        <v>0</v>
      </c>
      <c r="FY30" s="46">
        <f t="shared" si="125"/>
        <v>0</v>
      </c>
      <c r="FZ30" s="46">
        <f t="shared" si="126"/>
        <v>0</v>
      </c>
      <c r="GA30" s="46">
        <f t="shared" si="127"/>
        <v>0</v>
      </c>
      <c r="GB30" s="46">
        <f t="shared" si="128"/>
        <v>0</v>
      </c>
      <c r="GC30" s="46">
        <f t="shared" si="129"/>
        <v>0</v>
      </c>
      <c r="GD30" s="46">
        <f t="shared" si="130"/>
        <v>0</v>
      </c>
      <c r="GE30" s="46">
        <f t="shared" si="131"/>
        <v>0</v>
      </c>
      <c r="GF30" s="46">
        <f t="shared" si="132"/>
        <v>0</v>
      </c>
      <c r="GG30" s="46">
        <f t="shared" si="133"/>
        <v>0</v>
      </c>
      <c r="GH30" s="46">
        <f t="shared" si="134"/>
        <v>0</v>
      </c>
      <c r="GI30" s="46">
        <f t="shared" si="135"/>
        <v>0</v>
      </c>
      <c r="GJ30" s="46">
        <f t="shared" si="136"/>
        <v>0</v>
      </c>
      <c r="GK30" s="46">
        <f t="shared" si="137"/>
        <v>0</v>
      </c>
      <c r="GM30" s="58">
        <f>FL30+'EXTRALABORAL A '!BH29</f>
        <v>0</v>
      </c>
      <c r="GN30" s="58">
        <f t="shared" si="94"/>
        <v>0</v>
      </c>
    </row>
    <row r="31" spans="1:196">
      <c r="A31" s="3">
        <v>27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EO31" s="32">
        <f t="shared" si="143"/>
        <v>0</v>
      </c>
      <c r="EP31" s="32">
        <f t="shared" si="144"/>
        <v>0</v>
      </c>
      <c r="EQ31" s="32">
        <f t="shared" si="145"/>
        <v>0</v>
      </c>
      <c r="ER31" s="32">
        <f t="shared" si="146"/>
        <v>0</v>
      </c>
      <c r="ES31" s="33">
        <f t="shared" si="147"/>
        <v>0</v>
      </c>
      <c r="ET31" s="33">
        <f t="shared" si="148"/>
        <v>0</v>
      </c>
      <c r="EU31" s="33">
        <f t="shared" si="149"/>
        <v>0</v>
      </c>
      <c r="EV31" s="33">
        <f t="shared" si="150"/>
        <v>0</v>
      </c>
      <c r="EW31" s="33">
        <f t="shared" si="151"/>
        <v>0</v>
      </c>
      <c r="EX31" s="34">
        <f t="shared" si="152"/>
        <v>0</v>
      </c>
      <c r="EY31" s="34">
        <f t="shared" si="153"/>
        <v>0</v>
      </c>
      <c r="EZ31" s="34">
        <f t="shared" si="154"/>
        <v>0</v>
      </c>
      <c r="FA31" s="34">
        <f t="shared" si="155"/>
        <v>0</v>
      </c>
      <c r="FB31" s="34">
        <f t="shared" si="156"/>
        <v>0</v>
      </c>
      <c r="FC31" s="34">
        <f t="shared" si="157"/>
        <v>0</v>
      </c>
      <c r="FD31" s="34">
        <f t="shared" si="158"/>
        <v>0</v>
      </c>
      <c r="FE31" s="34">
        <f t="shared" si="159"/>
        <v>0</v>
      </c>
      <c r="FF31" s="35">
        <f t="shared" si="160"/>
        <v>0</v>
      </c>
      <c r="FG31" s="35">
        <f t="shared" si="161"/>
        <v>0</v>
      </c>
      <c r="FH31" s="3">
        <f t="shared" si="138"/>
        <v>0</v>
      </c>
      <c r="FI31" s="3">
        <f t="shared" si="139"/>
        <v>0</v>
      </c>
      <c r="FJ31" s="3">
        <f t="shared" si="140"/>
        <v>0</v>
      </c>
      <c r="FK31" s="3">
        <f t="shared" si="141"/>
        <v>0</v>
      </c>
      <c r="FL31" s="24">
        <f t="shared" si="142"/>
        <v>0</v>
      </c>
      <c r="FM31" s="3"/>
      <c r="FN31" s="46">
        <f t="shared" si="162"/>
        <v>0</v>
      </c>
      <c r="FO31" s="46">
        <f t="shared" si="115"/>
        <v>0</v>
      </c>
      <c r="FP31" s="46">
        <f t="shared" si="116"/>
        <v>0</v>
      </c>
      <c r="FQ31" s="46">
        <f t="shared" si="117"/>
        <v>0</v>
      </c>
      <c r="FR31" s="46">
        <f t="shared" si="118"/>
        <v>0</v>
      </c>
      <c r="FS31" s="46">
        <f t="shared" si="119"/>
        <v>0</v>
      </c>
      <c r="FT31" s="46">
        <f t="shared" si="120"/>
        <v>0</v>
      </c>
      <c r="FU31" s="46">
        <f t="shared" si="121"/>
        <v>0</v>
      </c>
      <c r="FV31" s="46">
        <f t="shared" si="122"/>
        <v>0</v>
      </c>
      <c r="FW31" s="46">
        <f t="shared" si="123"/>
        <v>0</v>
      </c>
      <c r="FX31" s="46">
        <f t="shared" si="124"/>
        <v>0</v>
      </c>
      <c r="FY31" s="46">
        <f t="shared" si="125"/>
        <v>0</v>
      </c>
      <c r="FZ31" s="46">
        <f t="shared" si="126"/>
        <v>0</v>
      </c>
      <c r="GA31" s="46">
        <f t="shared" si="127"/>
        <v>0</v>
      </c>
      <c r="GB31" s="46">
        <f t="shared" si="128"/>
        <v>0</v>
      </c>
      <c r="GC31" s="46">
        <f t="shared" si="129"/>
        <v>0</v>
      </c>
      <c r="GD31" s="46">
        <f t="shared" si="130"/>
        <v>0</v>
      </c>
      <c r="GE31" s="46">
        <f t="shared" si="131"/>
        <v>0</v>
      </c>
      <c r="GF31" s="46">
        <f t="shared" si="132"/>
        <v>0</v>
      </c>
      <c r="GG31" s="46">
        <f t="shared" si="133"/>
        <v>0</v>
      </c>
      <c r="GH31" s="46">
        <f t="shared" si="134"/>
        <v>0</v>
      </c>
      <c r="GI31" s="46">
        <f t="shared" si="135"/>
        <v>0</v>
      </c>
      <c r="GJ31" s="46">
        <f t="shared" si="136"/>
        <v>0</v>
      </c>
      <c r="GK31" s="46">
        <f t="shared" si="137"/>
        <v>0</v>
      </c>
      <c r="GM31" s="58">
        <f>FL31+'EXTRALABORAL A '!BH30</f>
        <v>0</v>
      </c>
      <c r="GN31" s="58">
        <f t="shared" si="94"/>
        <v>0</v>
      </c>
    </row>
    <row r="32" spans="1:196">
      <c r="A32" s="3">
        <v>28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EO32" s="32">
        <f t="shared" si="143"/>
        <v>0</v>
      </c>
      <c r="EP32" s="32">
        <f t="shared" si="144"/>
        <v>0</v>
      </c>
      <c r="EQ32" s="32">
        <f t="shared" si="145"/>
        <v>0</v>
      </c>
      <c r="ER32" s="32"/>
      <c r="ES32" s="33">
        <f t="shared" si="147"/>
        <v>0</v>
      </c>
      <c r="ET32" s="33">
        <f t="shared" si="148"/>
        <v>0</v>
      </c>
      <c r="EU32" s="33">
        <f t="shared" si="149"/>
        <v>0</v>
      </c>
      <c r="EV32" s="33">
        <f t="shared" si="150"/>
        <v>0</v>
      </c>
      <c r="EW32" s="33">
        <f t="shared" si="151"/>
        <v>0</v>
      </c>
      <c r="EX32" s="34">
        <f t="shared" si="152"/>
        <v>0</v>
      </c>
      <c r="EY32" s="34">
        <f t="shared" si="153"/>
        <v>0</v>
      </c>
      <c r="EZ32" s="34">
        <f t="shared" si="154"/>
        <v>0</v>
      </c>
      <c r="FA32" s="34">
        <f t="shared" si="155"/>
        <v>0</v>
      </c>
      <c r="FB32" s="34">
        <f t="shared" si="156"/>
        <v>0</v>
      </c>
      <c r="FC32" s="34">
        <f t="shared" si="157"/>
        <v>0</v>
      </c>
      <c r="FD32" s="34">
        <f t="shared" si="158"/>
        <v>0</v>
      </c>
      <c r="FE32" s="34">
        <f t="shared" si="159"/>
        <v>0</v>
      </c>
      <c r="FF32" s="35">
        <f t="shared" si="160"/>
        <v>0</v>
      </c>
      <c r="FG32" s="35">
        <f t="shared" si="161"/>
        <v>0</v>
      </c>
      <c r="FH32" s="3"/>
      <c r="FI32" s="3">
        <f t="shared" si="139"/>
        <v>0</v>
      </c>
      <c r="FJ32" s="3">
        <f t="shared" si="140"/>
        <v>0</v>
      </c>
      <c r="FK32" s="3">
        <f t="shared" si="141"/>
        <v>0</v>
      </c>
      <c r="FL32" s="24"/>
      <c r="FM32" s="3"/>
      <c r="FN32" s="46">
        <f t="shared" si="162"/>
        <v>0</v>
      </c>
      <c r="FO32" s="46">
        <f t="shared" si="115"/>
        <v>0</v>
      </c>
      <c r="FP32" s="46">
        <f t="shared" si="116"/>
        <v>0</v>
      </c>
      <c r="FQ32" s="46"/>
      <c r="FR32" s="46">
        <f t="shared" si="118"/>
        <v>0</v>
      </c>
      <c r="FS32" s="46">
        <f t="shared" si="119"/>
        <v>0</v>
      </c>
      <c r="FT32" s="46">
        <f t="shared" si="120"/>
        <v>0</v>
      </c>
      <c r="FU32" s="46">
        <f t="shared" si="121"/>
        <v>0</v>
      </c>
      <c r="FV32" s="46">
        <f t="shared" si="122"/>
        <v>0</v>
      </c>
      <c r="FW32" s="46">
        <f t="shared" si="123"/>
        <v>0</v>
      </c>
      <c r="FX32" s="46">
        <f t="shared" si="124"/>
        <v>0</v>
      </c>
      <c r="FY32" s="46">
        <f t="shared" si="125"/>
        <v>0</v>
      </c>
      <c r="FZ32" s="46">
        <f t="shared" si="126"/>
        <v>0</v>
      </c>
      <c r="GA32" s="46">
        <f t="shared" si="127"/>
        <v>0</v>
      </c>
      <c r="GB32" s="46">
        <f t="shared" si="128"/>
        <v>0</v>
      </c>
      <c r="GC32" s="46">
        <f t="shared" si="129"/>
        <v>0</v>
      </c>
      <c r="GD32" s="46">
        <f t="shared" si="130"/>
        <v>0</v>
      </c>
      <c r="GE32" s="46">
        <f t="shared" si="131"/>
        <v>0</v>
      </c>
      <c r="GF32" s="46">
        <f t="shared" si="132"/>
        <v>0</v>
      </c>
      <c r="GG32" s="46"/>
      <c r="GH32" s="46">
        <f t="shared" si="134"/>
        <v>0</v>
      </c>
      <c r="GI32" s="46">
        <f t="shared" si="135"/>
        <v>0</v>
      </c>
      <c r="GJ32" s="46">
        <f t="shared" si="136"/>
        <v>0</v>
      </c>
      <c r="GK32" s="46">
        <f t="shared" si="137"/>
        <v>0</v>
      </c>
      <c r="GM32" s="58"/>
      <c r="GN32" s="58"/>
    </row>
    <row r="33" spans="1:196">
      <c r="A33" s="3">
        <v>29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EO33" s="32">
        <f t="shared" si="143"/>
        <v>0</v>
      </c>
      <c r="EP33" s="32">
        <f t="shared" si="144"/>
        <v>0</v>
      </c>
      <c r="EQ33" s="32">
        <f t="shared" si="145"/>
        <v>0</v>
      </c>
      <c r="ER33" s="32"/>
      <c r="ES33" s="33">
        <f t="shared" si="147"/>
        <v>0</v>
      </c>
      <c r="ET33" s="33">
        <f t="shared" si="148"/>
        <v>0</v>
      </c>
      <c r="EU33" s="33">
        <f t="shared" si="149"/>
        <v>0</v>
      </c>
      <c r="EV33" s="33">
        <f t="shared" si="150"/>
        <v>0</v>
      </c>
      <c r="EW33" s="33">
        <f t="shared" si="151"/>
        <v>0</v>
      </c>
      <c r="EX33" s="34">
        <f t="shared" si="152"/>
        <v>0</v>
      </c>
      <c r="EY33" s="34"/>
      <c r="EZ33" s="34">
        <f t="shared" si="154"/>
        <v>0</v>
      </c>
      <c r="FA33" s="34">
        <f t="shared" si="155"/>
        <v>0</v>
      </c>
      <c r="FB33" s="34">
        <f t="shared" si="156"/>
        <v>0</v>
      </c>
      <c r="FC33" s="34">
        <f t="shared" si="157"/>
        <v>0</v>
      </c>
      <c r="FD33" s="34">
        <f t="shared" si="158"/>
        <v>0</v>
      </c>
      <c r="FE33" s="34">
        <f t="shared" si="159"/>
        <v>0</v>
      </c>
      <c r="FF33" s="35">
        <f t="shared" si="160"/>
        <v>0</v>
      </c>
      <c r="FG33" s="35">
        <f t="shared" si="161"/>
        <v>0</v>
      </c>
      <c r="FH33" s="3"/>
      <c r="FI33" s="3">
        <f t="shared" si="139"/>
        <v>0</v>
      </c>
      <c r="FJ33" s="3"/>
      <c r="FK33" s="3">
        <f t="shared" si="141"/>
        <v>0</v>
      </c>
      <c r="FL33" s="24"/>
      <c r="FM33" s="3"/>
      <c r="FN33" s="46">
        <f t="shared" si="162"/>
        <v>0</v>
      </c>
      <c r="FO33" s="46">
        <f t="shared" si="115"/>
        <v>0</v>
      </c>
      <c r="FP33" s="46">
        <f t="shared" si="116"/>
        <v>0</v>
      </c>
      <c r="FQ33" s="46"/>
      <c r="FR33" s="46">
        <f t="shared" si="118"/>
        <v>0</v>
      </c>
      <c r="FS33" s="46">
        <f t="shared" si="119"/>
        <v>0</v>
      </c>
      <c r="FT33" s="46">
        <f t="shared" si="120"/>
        <v>0</v>
      </c>
      <c r="FU33" s="46">
        <f t="shared" si="121"/>
        <v>0</v>
      </c>
      <c r="FV33" s="46">
        <f t="shared" si="122"/>
        <v>0</v>
      </c>
      <c r="FW33" s="46">
        <f t="shared" si="123"/>
        <v>0</v>
      </c>
      <c r="FX33" s="46"/>
      <c r="FY33" s="46">
        <f t="shared" si="125"/>
        <v>0</v>
      </c>
      <c r="FZ33" s="46">
        <f t="shared" si="126"/>
        <v>0</v>
      </c>
      <c r="GA33" s="46">
        <f t="shared" si="127"/>
        <v>0</v>
      </c>
      <c r="GB33" s="46">
        <f t="shared" si="128"/>
        <v>0</v>
      </c>
      <c r="GC33" s="46">
        <f t="shared" si="129"/>
        <v>0</v>
      </c>
      <c r="GD33" s="46">
        <f t="shared" si="130"/>
        <v>0</v>
      </c>
      <c r="GE33" s="46">
        <f t="shared" si="131"/>
        <v>0</v>
      </c>
      <c r="GF33" s="46">
        <f t="shared" si="132"/>
        <v>0</v>
      </c>
      <c r="GG33" s="46"/>
      <c r="GH33" s="46">
        <f t="shared" si="134"/>
        <v>0</v>
      </c>
      <c r="GI33" s="46"/>
      <c r="GJ33" s="46">
        <f t="shared" si="136"/>
        <v>0</v>
      </c>
      <c r="GK33" s="46"/>
      <c r="GM33" s="58"/>
      <c r="GN33" s="58"/>
    </row>
    <row r="34" spans="1:196">
      <c r="A34" s="3">
        <v>30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EO34" s="32">
        <f t="shared" si="143"/>
        <v>0</v>
      </c>
      <c r="EP34" s="32">
        <f t="shared" si="144"/>
        <v>0</v>
      </c>
      <c r="EQ34" s="32">
        <f t="shared" si="145"/>
        <v>0</v>
      </c>
      <c r="ER34" s="32"/>
      <c r="ES34" s="33">
        <f t="shared" si="147"/>
        <v>0</v>
      </c>
      <c r="ET34" s="33">
        <f t="shared" si="148"/>
        <v>0</v>
      </c>
      <c r="EU34" s="33">
        <f t="shared" si="149"/>
        <v>0</v>
      </c>
      <c r="EV34" s="33">
        <f t="shared" si="150"/>
        <v>0</v>
      </c>
      <c r="EW34" s="33">
        <f t="shared" si="151"/>
        <v>0</v>
      </c>
      <c r="EX34" s="34">
        <f t="shared" si="152"/>
        <v>0</v>
      </c>
      <c r="EY34" s="34"/>
      <c r="EZ34" s="34">
        <f t="shared" si="154"/>
        <v>0</v>
      </c>
      <c r="FA34" s="34">
        <f t="shared" si="155"/>
        <v>0</v>
      </c>
      <c r="FB34" s="34">
        <f t="shared" si="156"/>
        <v>0</v>
      </c>
      <c r="FC34" s="34">
        <f t="shared" si="157"/>
        <v>0</v>
      </c>
      <c r="FD34" s="34">
        <f t="shared" si="158"/>
        <v>0</v>
      </c>
      <c r="FE34" s="34">
        <f t="shared" si="159"/>
        <v>0</v>
      </c>
      <c r="FF34" s="35">
        <f t="shared" si="160"/>
        <v>0</v>
      </c>
      <c r="FG34" s="35">
        <f t="shared" si="161"/>
        <v>0</v>
      </c>
      <c r="FH34" s="3"/>
      <c r="FI34" s="3">
        <f t="shared" si="139"/>
        <v>0</v>
      </c>
      <c r="FJ34" s="3"/>
      <c r="FK34" s="3">
        <f t="shared" si="141"/>
        <v>0</v>
      </c>
      <c r="FL34" s="24"/>
      <c r="FM34" s="3"/>
      <c r="FN34" s="46">
        <f t="shared" si="162"/>
        <v>0</v>
      </c>
      <c r="FO34" s="46">
        <f t="shared" si="115"/>
        <v>0</v>
      </c>
      <c r="FP34" s="46">
        <f t="shared" si="116"/>
        <v>0</v>
      </c>
      <c r="FQ34" s="46"/>
      <c r="FR34" s="46">
        <f t="shared" si="118"/>
        <v>0</v>
      </c>
      <c r="FS34" s="46">
        <f t="shared" si="119"/>
        <v>0</v>
      </c>
      <c r="FT34" s="46">
        <f t="shared" si="120"/>
        <v>0</v>
      </c>
      <c r="FU34" s="46">
        <f t="shared" si="121"/>
        <v>0</v>
      </c>
      <c r="FV34" s="46">
        <f t="shared" si="122"/>
        <v>0</v>
      </c>
      <c r="FW34" s="46">
        <f t="shared" si="123"/>
        <v>0</v>
      </c>
      <c r="FX34" s="46"/>
      <c r="FY34" s="46">
        <f t="shared" si="125"/>
        <v>0</v>
      </c>
      <c r="FZ34" s="46">
        <f t="shared" si="126"/>
        <v>0</v>
      </c>
      <c r="GA34" s="46">
        <f t="shared" si="127"/>
        <v>0</v>
      </c>
      <c r="GB34" s="46">
        <f t="shared" si="128"/>
        <v>0</v>
      </c>
      <c r="GC34" s="46">
        <f t="shared" si="129"/>
        <v>0</v>
      </c>
      <c r="GD34" s="46">
        <f t="shared" si="130"/>
        <v>0</v>
      </c>
      <c r="GE34" s="46">
        <f t="shared" si="131"/>
        <v>0</v>
      </c>
      <c r="GF34" s="46">
        <f t="shared" si="132"/>
        <v>0</v>
      </c>
      <c r="GG34" s="46"/>
      <c r="GH34" s="46">
        <f t="shared" si="134"/>
        <v>0</v>
      </c>
      <c r="GI34" s="46"/>
      <c r="GJ34" s="46">
        <f t="shared" si="136"/>
        <v>0</v>
      </c>
      <c r="GK34" s="46"/>
      <c r="GM34" s="58"/>
      <c r="GN34" s="58"/>
    </row>
    <row r="35" spans="1:196">
      <c r="A35" s="3">
        <v>31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EO35" s="32">
        <f t="shared" si="143"/>
        <v>0</v>
      </c>
      <c r="EP35" s="32">
        <f t="shared" si="144"/>
        <v>0</v>
      </c>
      <c r="EQ35" s="32">
        <f t="shared" si="145"/>
        <v>0</v>
      </c>
      <c r="ER35" s="32"/>
      <c r="ES35" s="33">
        <f t="shared" si="147"/>
        <v>0</v>
      </c>
      <c r="ET35" s="33">
        <f t="shared" si="148"/>
        <v>0</v>
      </c>
      <c r="EU35" s="33">
        <f t="shared" si="149"/>
        <v>0</v>
      </c>
      <c r="EV35" s="33">
        <f t="shared" si="150"/>
        <v>0</v>
      </c>
      <c r="EW35" s="33">
        <f t="shared" si="151"/>
        <v>0</v>
      </c>
      <c r="EX35" s="34">
        <f t="shared" si="152"/>
        <v>0</v>
      </c>
      <c r="EY35" s="34"/>
      <c r="EZ35" s="34"/>
      <c r="FA35" s="34">
        <f t="shared" si="155"/>
        <v>0</v>
      </c>
      <c r="FB35" s="34">
        <f t="shared" si="156"/>
        <v>0</v>
      </c>
      <c r="FC35" s="34">
        <f t="shared" si="157"/>
        <v>0</v>
      </c>
      <c r="FD35" s="34">
        <f t="shared" si="158"/>
        <v>0</v>
      </c>
      <c r="FE35" s="34">
        <f t="shared" si="159"/>
        <v>0</v>
      </c>
      <c r="FF35" s="35">
        <f t="shared" si="160"/>
        <v>0</v>
      </c>
      <c r="FG35" s="35">
        <f t="shared" si="161"/>
        <v>0</v>
      </c>
      <c r="FH35" s="3"/>
      <c r="FI35" s="3">
        <f t="shared" si="139"/>
        <v>0</v>
      </c>
      <c r="FJ35" s="3"/>
      <c r="FK35" s="3">
        <f t="shared" si="141"/>
        <v>0</v>
      </c>
      <c r="FL35" s="24"/>
      <c r="FM35" s="3"/>
      <c r="FN35" s="46">
        <f t="shared" si="162"/>
        <v>0</v>
      </c>
      <c r="FO35" s="46">
        <f t="shared" si="115"/>
        <v>0</v>
      </c>
      <c r="FP35" s="46">
        <f t="shared" si="116"/>
        <v>0</v>
      </c>
      <c r="FQ35" s="46"/>
      <c r="FR35" s="46">
        <f t="shared" si="118"/>
        <v>0</v>
      </c>
      <c r="FS35" s="46">
        <f t="shared" si="119"/>
        <v>0</v>
      </c>
      <c r="FT35" s="46">
        <f t="shared" si="120"/>
        <v>0</v>
      </c>
      <c r="FU35" s="46">
        <f t="shared" si="121"/>
        <v>0</v>
      </c>
      <c r="FV35" s="46">
        <f t="shared" si="122"/>
        <v>0</v>
      </c>
      <c r="FW35" s="46">
        <f t="shared" si="123"/>
        <v>0</v>
      </c>
      <c r="FX35" s="46"/>
      <c r="FY35" s="46"/>
      <c r="FZ35" s="46">
        <f t="shared" si="126"/>
        <v>0</v>
      </c>
      <c r="GA35" s="46">
        <f t="shared" si="127"/>
        <v>0</v>
      </c>
      <c r="GB35" s="46">
        <f t="shared" si="128"/>
        <v>0</v>
      </c>
      <c r="GC35" s="46">
        <f t="shared" si="129"/>
        <v>0</v>
      </c>
      <c r="GD35" s="46">
        <f t="shared" si="130"/>
        <v>0</v>
      </c>
      <c r="GE35" s="46">
        <f t="shared" si="131"/>
        <v>0</v>
      </c>
      <c r="GF35" s="46">
        <f t="shared" si="132"/>
        <v>0</v>
      </c>
      <c r="GG35" s="46"/>
      <c r="GH35" s="46">
        <f t="shared" si="134"/>
        <v>0</v>
      </c>
      <c r="GI35" s="46"/>
      <c r="GJ35" s="46">
        <f t="shared" si="136"/>
        <v>0</v>
      </c>
      <c r="GK35" s="46"/>
      <c r="GM35" s="58"/>
      <c r="GN35" s="58"/>
    </row>
    <row r="36" spans="1:196">
      <c r="A36" s="3">
        <v>32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EO36" s="32">
        <f t="shared" si="143"/>
        <v>0</v>
      </c>
      <c r="EP36" s="32">
        <f t="shared" si="144"/>
        <v>0</v>
      </c>
      <c r="EQ36" s="32">
        <f t="shared" si="145"/>
        <v>0</v>
      </c>
      <c r="ER36" s="32"/>
      <c r="ES36" s="33">
        <f t="shared" si="147"/>
        <v>0</v>
      </c>
      <c r="ET36" s="33">
        <f t="shared" si="148"/>
        <v>0</v>
      </c>
      <c r="EU36" s="33">
        <f t="shared" si="149"/>
        <v>0</v>
      </c>
      <c r="EV36" s="33">
        <f t="shared" si="150"/>
        <v>0</v>
      </c>
      <c r="EW36" s="33">
        <f t="shared" si="151"/>
        <v>0</v>
      </c>
      <c r="EX36" s="34">
        <f t="shared" si="152"/>
        <v>0</v>
      </c>
      <c r="EY36" s="34"/>
      <c r="EZ36" s="34"/>
      <c r="FA36" s="34">
        <f t="shared" si="155"/>
        <v>0</v>
      </c>
      <c r="FB36" s="34">
        <f t="shared" si="156"/>
        <v>0</v>
      </c>
      <c r="FC36" s="34">
        <f t="shared" si="157"/>
        <v>0</v>
      </c>
      <c r="FD36" s="34">
        <f t="shared" si="158"/>
        <v>0</v>
      </c>
      <c r="FE36" s="34">
        <f t="shared" si="159"/>
        <v>0</v>
      </c>
      <c r="FF36" s="35">
        <f t="shared" si="160"/>
        <v>0</v>
      </c>
      <c r="FG36" s="35">
        <f t="shared" si="161"/>
        <v>0</v>
      </c>
      <c r="FH36" s="3"/>
      <c r="FI36" s="3">
        <f t="shared" si="139"/>
        <v>0</v>
      </c>
      <c r="FJ36" s="3"/>
      <c r="FK36" s="3">
        <f t="shared" si="141"/>
        <v>0</v>
      </c>
      <c r="FL36" s="24"/>
      <c r="FM36" s="3"/>
      <c r="FN36" s="46">
        <f t="shared" si="162"/>
        <v>0</v>
      </c>
      <c r="FO36" s="46">
        <f t="shared" si="115"/>
        <v>0</v>
      </c>
      <c r="FP36" s="46">
        <f t="shared" si="116"/>
        <v>0</v>
      </c>
      <c r="FQ36" s="46"/>
      <c r="FR36" s="46">
        <f t="shared" si="118"/>
        <v>0</v>
      </c>
      <c r="FS36" s="46">
        <f t="shared" si="119"/>
        <v>0</v>
      </c>
      <c r="FT36" s="46">
        <f t="shared" si="120"/>
        <v>0</v>
      </c>
      <c r="FU36" s="46">
        <f t="shared" si="121"/>
        <v>0</v>
      </c>
      <c r="FV36" s="46">
        <f t="shared" si="122"/>
        <v>0</v>
      </c>
      <c r="FW36" s="46">
        <f t="shared" si="123"/>
        <v>0</v>
      </c>
      <c r="FX36" s="46"/>
      <c r="FY36" s="46"/>
      <c r="FZ36" s="46">
        <f t="shared" si="126"/>
        <v>0</v>
      </c>
      <c r="GA36" s="46">
        <f t="shared" si="127"/>
        <v>0</v>
      </c>
      <c r="GB36" s="46">
        <f t="shared" si="128"/>
        <v>0</v>
      </c>
      <c r="GC36" s="46">
        <f t="shared" si="129"/>
        <v>0</v>
      </c>
      <c r="GD36" s="46">
        <f t="shared" si="130"/>
        <v>0</v>
      </c>
      <c r="GE36" s="46">
        <f t="shared" si="131"/>
        <v>0</v>
      </c>
      <c r="GF36" s="46">
        <f t="shared" si="132"/>
        <v>0</v>
      </c>
      <c r="GG36" s="46"/>
      <c r="GH36" s="46">
        <f t="shared" si="134"/>
        <v>0</v>
      </c>
      <c r="GI36" s="46"/>
      <c r="GJ36" s="46">
        <f t="shared" si="136"/>
        <v>0</v>
      </c>
      <c r="GK36" s="46"/>
      <c r="GM36" s="58"/>
      <c r="GN36" s="58"/>
    </row>
    <row r="37" spans="1:196">
      <c r="A37" s="3">
        <v>33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EO37" s="32">
        <f t="shared" si="143"/>
        <v>0</v>
      </c>
      <c r="EP37" s="32">
        <f t="shared" si="144"/>
        <v>0</v>
      </c>
      <c r="EQ37" s="32">
        <f t="shared" si="145"/>
        <v>0</v>
      </c>
      <c r="ER37" s="32"/>
      <c r="ES37" s="33">
        <f t="shared" si="147"/>
        <v>0</v>
      </c>
      <c r="ET37" s="33">
        <f t="shared" si="148"/>
        <v>0</v>
      </c>
      <c r="EU37" s="33">
        <f t="shared" si="149"/>
        <v>0</v>
      </c>
      <c r="EV37" s="33">
        <f t="shared" si="150"/>
        <v>0</v>
      </c>
      <c r="EW37" s="33">
        <f t="shared" si="151"/>
        <v>0</v>
      </c>
      <c r="EX37" s="34">
        <f t="shared" si="152"/>
        <v>0</v>
      </c>
      <c r="EY37" s="34"/>
      <c r="EZ37" s="34"/>
      <c r="FA37" s="34">
        <f t="shared" si="155"/>
        <v>0</v>
      </c>
      <c r="FB37" s="34">
        <f t="shared" si="156"/>
        <v>0</v>
      </c>
      <c r="FC37" s="34">
        <f t="shared" si="157"/>
        <v>0</v>
      </c>
      <c r="FD37" s="34">
        <f t="shared" si="158"/>
        <v>0</v>
      </c>
      <c r="FE37" s="34">
        <f t="shared" si="159"/>
        <v>0</v>
      </c>
      <c r="FF37" s="35">
        <f t="shared" si="160"/>
        <v>0</v>
      </c>
      <c r="FG37" s="35">
        <f t="shared" si="161"/>
        <v>0</v>
      </c>
      <c r="FH37" s="3"/>
      <c r="FI37" s="3">
        <f t="shared" si="139"/>
        <v>0</v>
      </c>
      <c r="FJ37" s="3"/>
      <c r="FK37" s="3">
        <f t="shared" si="141"/>
        <v>0</v>
      </c>
      <c r="FL37" s="24"/>
      <c r="FM37" s="3"/>
      <c r="FN37" s="46">
        <f t="shared" si="162"/>
        <v>0</v>
      </c>
      <c r="FO37" s="46">
        <f t="shared" si="115"/>
        <v>0</v>
      </c>
      <c r="FP37" s="46">
        <f t="shared" si="116"/>
        <v>0</v>
      </c>
      <c r="FQ37" s="46"/>
      <c r="FR37" s="46">
        <f t="shared" si="118"/>
        <v>0</v>
      </c>
      <c r="FS37" s="46">
        <f t="shared" si="119"/>
        <v>0</v>
      </c>
      <c r="FT37" s="46">
        <f t="shared" si="120"/>
        <v>0</v>
      </c>
      <c r="FU37" s="46">
        <f t="shared" si="121"/>
        <v>0</v>
      </c>
      <c r="FV37" s="46">
        <f t="shared" si="122"/>
        <v>0</v>
      </c>
      <c r="FW37" s="46">
        <f t="shared" si="123"/>
        <v>0</v>
      </c>
      <c r="FX37" s="46"/>
      <c r="FY37" s="46"/>
      <c r="FZ37" s="46">
        <f t="shared" si="126"/>
        <v>0</v>
      </c>
      <c r="GA37" s="46">
        <f t="shared" si="127"/>
        <v>0</v>
      </c>
      <c r="GB37" s="46">
        <f t="shared" si="128"/>
        <v>0</v>
      </c>
      <c r="GC37" s="46">
        <f t="shared" si="129"/>
        <v>0</v>
      </c>
      <c r="GD37" s="46">
        <f t="shared" si="130"/>
        <v>0</v>
      </c>
      <c r="GE37" s="46">
        <f t="shared" si="131"/>
        <v>0</v>
      </c>
      <c r="GF37" s="46">
        <f t="shared" si="132"/>
        <v>0</v>
      </c>
      <c r="GG37" s="46"/>
      <c r="GH37" s="46">
        <f t="shared" si="134"/>
        <v>0</v>
      </c>
      <c r="GI37" s="46"/>
      <c r="GJ37" s="46">
        <f t="shared" si="136"/>
        <v>0</v>
      </c>
      <c r="GK37" s="46"/>
      <c r="GM37" s="58"/>
      <c r="GN37" s="58"/>
    </row>
    <row r="38" spans="1:196">
      <c r="A38" s="3">
        <v>34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EO38" s="32">
        <f t="shared" si="143"/>
        <v>0</v>
      </c>
      <c r="EP38" s="32">
        <f t="shared" si="144"/>
        <v>0</v>
      </c>
      <c r="EQ38" s="32">
        <f t="shared" si="145"/>
        <v>0</v>
      </c>
      <c r="ER38" s="32"/>
      <c r="ES38" s="33">
        <f t="shared" si="147"/>
        <v>0</v>
      </c>
      <c r="ET38" s="33">
        <f t="shared" si="148"/>
        <v>0</v>
      </c>
      <c r="EU38" s="33">
        <f t="shared" si="149"/>
        <v>0</v>
      </c>
      <c r="EV38" s="33">
        <f t="shared" si="150"/>
        <v>0</v>
      </c>
      <c r="EW38" s="33">
        <f t="shared" si="151"/>
        <v>0</v>
      </c>
      <c r="EX38" s="34">
        <f t="shared" si="152"/>
        <v>0</v>
      </c>
      <c r="EY38" s="34"/>
      <c r="EZ38" s="34"/>
      <c r="FA38" s="34">
        <f t="shared" si="155"/>
        <v>0</v>
      </c>
      <c r="FB38" s="34">
        <f t="shared" si="156"/>
        <v>0</v>
      </c>
      <c r="FC38" s="34">
        <f t="shared" si="157"/>
        <v>0</v>
      </c>
      <c r="FD38" s="34">
        <f t="shared" si="158"/>
        <v>0</v>
      </c>
      <c r="FE38" s="34">
        <f t="shared" si="159"/>
        <v>0</v>
      </c>
      <c r="FF38" s="35">
        <f t="shared" si="160"/>
        <v>0</v>
      </c>
      <c r="FG38" s="35">
        <f t="shared" si="161"/>
        <v>0</v>
      </c>
      <c r="FH38" s="3"/>
      <c r="FI38" s="3">
        <f t="shared" si="139"/>
        <v>0</v>
      </c>
      <c r="FJ38" s="3"/>
      <c r="FK38" s="3">
        <f t="shared" si="141"/>
        <v>0</v>
      </c>
      <c r="FL38" s="24"/>
      <c r="FM38" s="3"/>
      <c r="FN38" s="46">
        <f t="shared" si="162"/>
        <v>0</v>
      </c>
      <c r="FO38" s="46">
        <f t="shared" si="115"/>
        <v>0</v>
      </c>
      <c r="FP38" s="46">
        <f t="shared" si="116"/>
        <v>0</v>
      </c>
      <c r="FQ38" s="46"/>
      <c r="FR38" s="46">
        <f t="shared" si="118"/>
        <v>0</v>
      </c>
      <c r="FS38" s="46">
        <f t="shared" si="119"/>
        <v>0</v>
      </c>
      <c r="FT38" s="46">
        <f t="shared" si="120"/>
        <v>0</v>
      </c>
      <c r="FU38" s="46">
        <f t="shared" si="121"/>
        <v>0</v>
      </c>
      <c r="FV38" s="46">
        <f t="shared" si="122"/>
        <v>0</v>
      </c>
      <c r="FW38" s="46">
        <f t="shared" si="123"/>
        <v>0</v>
      </c>
      <c r="FX38" s="46"/>
      <c r="FY38" s="46"/>
      <c r="FZ38" s="46">
        <f t="shared" si="126"/>
        <v>0</v>
      </c>
      <c r="GA38" s="46">
        <f t="shared" si="127"/>
        <v>0</v>
      </c>
      <c r="GB38" s="46">
        <f t="shared" si="128"/>
        <v>0</v>
      </c>
      <c r="GC38" s="46">
        <f t="shared" si="129"/>
        <v>0</v>
      </c>
      <c r="GD38" s="46">
        <f t="shared" si="130"/>
        <v>0</v>
      </c>
      <c r="GE38" s="46">
        <f t="shared" si="131"/>
        <v>0</v>
      </c>
      <c r="GF38" s="46">
        <f t="shared" si="132"/>
        <v>0</v>
      </c>
      <c r="GG38" s="46"/>
      <c r="GH38" s="46">
        <f t="shared" si="134"/>
        <v>0</v>
      </c>
      <c r="GI38" s="46"/>
      <c r="GJ38" s="46">
        <f t="shared" si="136"/>
        <v>0</v>
      </c>
      <c r="GK38" s="46"/>
      <c r="GM38" s="58"/>
      <c r="GN38" s="58"/>
    </row>
    <row r="39" spans="1:196">
      <c r="A39" s="3">
        <v>35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89"/>
      <c r="S39" s="3"/>
      <c r="T39" s="3"/>
      <c r="U39" s="3"/>
      <c r="EO39" s="32">
        <f t="shared" si="143"/>
        <v>0</v>
      </c>
      <c r="EP39" s="32">
        <f t="shared" si="144"/>
        <v>0</v>
      </c>
      <c r="EQ39" s="32">
        <f t="shared" si="145"/>
        <v>0</v>
      </c>
      <c r="ER39" s="32"/>
      <c r="ES39" s="33">
        <f t="shared" si="147"/>
        <v>0</v>
      </c>
      <c r="ET39" s="33">
        <f t="shared" si="148"/>
        <v>0</v>
      </c>
      <c r="EU39" s="33">
        <f t="shared" si="149"/>
        <v>0</v>
      </c>
      <c r="EV39" s="33">
        <f t="shared" si="150"/>
        <v>0</v>
      </c>
      <c r="EW39" s="33">
        <f t="shared" si="151"/>
        <v>0</v>
      </c>
      <c r="EX39" s="34">
        <f t="shared" si="152"/>
        <v>0</v>
      </c>
      <c r="EY39" s="34"/>
      <c r="EZ39" s="34"/>
      <c r="FA39" s="34">
        <f t="shared" si="155"/>
        <v>0</v>
      </c>
      <c r="FB39" s="34">
        <f t="shared" si="156"/>
        <v>0</v>
      </c>
      <c r="FC39" s="34">
        <f t="shared" si="157"/>
        <v>0</v>
      </c>
      <c r="FD39" s="34">
        <f t="shared" si="158"/>
        <v>0</v>
      </c>
      <c r="FE39" s="34">
        <f t="shared" si="159"/>
        <v>0</v>
      </c>
      <c r="FF39" s="35">
        <f t="shared" si="160"/>
        <v>0</v>
      </c>
      <c r="FG39" s="35">
        <f t="shared" si="161"/>
        <v>0</v>
      </c>
      <c r="FH39" s="3"/>
      <c r="FI39" s="3">
        <f t="shared" si="139"/>
        <v>0</v>
      </c>
      <c r="FJ39" s="3"/>
      <c r="FK39" s="3">
        <f t="shared" si="141"/>
        <v>0</v>
      </c>
      <c r="FL39" s="24"/>
      <c r="FM39" s="3"/>
      <c r="FN39" s="46">
        <f t="shared" si="162"/>
        <v>0</v>
      </c>
      <c r="FO39" s="46">
        <f t="shared" si="115"/>
        <v>0</v>
      </c>
      <c r="FP39" s="46">
        <f t="shared" si="116"/>
        <v>0</v>
      </c>
      <c r="FQ39" s="46"/>
      <c r="FR39" s="46">
        <f t="shared" si="118"/>
        <v>0</v>
      </c>
      <c r="FS39" s="46">
        <f t="shared" si="119"/>
        <v>0</v>
      </c>
      <c r="FT39" s="46">
        <f t="shared" si="120"/>
        <v>0</v>
      </c>
      <c r="FU39" s="46">
        <f t="shared" si="121"/>
        <v>0</v>
      </c>
      <c r="FV39" s="46">
        <f t="shared" si="122"/>
        <v>0</v>
      </c>
      <c r="FW39" s="46">
        <f t="shared" si="123"/>
        <v>0</v>
      </c>
      <c r="FX39" s="46"/>
      <c r="FY39" s="46"/>
      <c r="FZ39" s="46">
        <f t="shared" si="126"/>
        <v>0</v>
      </c>
      <c r="GA39" s="46">
        <f t="shared" si="127"/>
        <v>0</v>
      </c>
      <c r="GB39" s="46">
        <f t="shared" si="128"/>
        <v>0</v>
      </c>
      <c r="GC39" s="46">
        <f t="shared" si="129"/>
        <v>0</v>
      </c>
      <c r="GD39" s="46">
        <f t="shared" si="130"/>
        <v>0</v>
      </c>
      <c r="GE39" s="46">
        <f t="shared" si="131"/>
        <v>0</v>
      </c>
      <c r="GF39" s="46">
        <f t="shared" si="132"/>
        <v>0</v>
      </c>
      <c r="GG39" s="46"/>
      <c r="GH39" s="46">
        <f t="shared" si="134"/>
        <v>0</v>
      </c>
      <c r="GI39" s="46"/>
      <c r="GJ39" s="46">
        <f t="shared" si="136"/>
        <v>0</v>
      </c>
      <c r="GK39" s="46"/>
      <c r="GM39" s="58"/>
      <c r="GN39" s="58"/>
    </row>
    <row r="40" spans="1:196">
      <c r="A40" s="3">
        <v>36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EO40" s="32">
        <f t="shared" si="143"/>
        <v>0</v>
      </c>
      <c r="EP40" s="32">
        <f t="shared" si="144"/>
        <v>0</v>
      </c>
      <c r="EQ40" s="32">
        <f t="shared" si="145"/>
        <v>0</v>
      </c>
      <c r="ER40" s="32"/>
      <c r="ES40" s="33">
        <f t="shared" si="147"/>
        <v>0</v>
      </c>
      <c r="ET40" s="33">
        <f t="shared" si="148"/>
        <v>0</v>
      </c>
      <c r="EU40" s="33">
        <f t="shared" si="149"/>
        <v>0</v>
      </c>
      <c r="EV40" s="33">
        <f t="shared" si="150"/>
        <v>0</v>
      </c>
      <c r="EW40" s="33">
        <f t="shared" si="151"/>
        <v>0</v>
      </c>
      <c r="EX40" s="34"/>
      <c r="EY40" s="34"/>
      <c r="EZ40" s="34"/>
      <c r="FA40" s="34">
        <f t="shared" si="155"/>
        <v>0</v>
      </c>
      <c r="FB40" s="34">
        <f t="shared" si="156"/>
        <v>0</v>
      </c>
      <c r="FC40" s="34">
        <f t="shared" si="157"/>
        <v>0</v>
      </c>
      <c r="FD40" s="34">
        <f t="shared" si="158"/>
        <v>0</v>
      </c>
      <c r="FE40" s="34">
        <f t="shared" si="159"/>
        <v>0</v>
      </c>
      <c r="FF40" s="35">
        <f t="shared" si="160"/>
        <v>0</v>
      </c>
      <c r="FG40" s="35">
        <f t="shared" si="161"/>
        <v>0</v>
      </c>
      <c r="FH40" s="3"/>
      <c r="FI40" s="3">
        <f t="shared" si="139"/>
        <v>0</v>
      </c>
      <c r="FJ40" s="3"/>
      <c r="FK40" s="3">
        <f t="shared" si="141"/>
        <v>0</v>
      </c>
      <c r="FL40" s="24"/>
      <c r="FM40" s="3"/>
      <c r="FN40" s="46">
        <f t="shared" si="162"/>
        <v>0</v>
      </c>
      <c r="FO40" s="46">
        <f t="shared" si="115"/>
        <v>0</v>
      </c>
      <c r="FP40" s="46">
        <f t="shared" si="116"/>
        <v>0</v>
      </c>
      <c r="FQ40" s="46"/>
      <c r="FR40" s="46">
        <f t="shared" si="118"/>
        <v>0</v>
      </c>
      <c r="FS40" s="46">
        <f t="shared" si="119"/>
        <v>0</v>
      </c>
      <c r="FT40" s="46">
        <f t="shared" si="120"/>
        <v>0</v>
      </c>
      <c r="FU40" s="46">
        <f t="shared" si="121"/>
        <v>0</v>
      </c>
      <c r="FV40" s="46">
        <f t="shared" si="122"/>
        <v>0</v>
      </c>
      <c r="FW40" s="46"/>
      <c r="FX40" s="46"/>
      <c r="FY40" s="46"/>
      <c r="FZ40" s="46">
        <f t="shared" si="126"/>
        <v>0</v>
      </c>
      <c r="GA40" s="46">
        <f t="shared" si="127"/>
        <v>0</v>
      </c>
      <c r="GB40" s="46">
        <f t="shared" si="128"/>
        <v>0</v>
      </c>
      <c r="GC40" s="46">
        <f t="shared" si="129"/>
        <v>0</v>
      </c>
      <c r="GD40" s="46">
        <f t="shared" si="130"/>
        <v>0</v>
      </c>
      <c r="GE40" s="46">
        <f t="shared" si="131"/>
        <v>0</v>
      </c>
      <c r="GF40" s="46">
        <f t="shared" si="132"/>
        <v>0</v>
      </c>
      <c r="GG40" s="46"/>
      <c r="GH40" s="46">
        <f t="shared" si="134"/>
        <v>0</v>
      </c>
      <c r="GI40" s="46"/>
      <c r="GJ40" s="46">
        <f t="shared" si="136"/>
        <v>0</v>
      </c>
      <c r="GK40" s="46"/>
      <c r="GM40" s="58"/>
      <c r="GN40" s="58"/>
    </row>
    <row r="41" spans="1:196">
      <c r="A41" s="3">
        <v>37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EO41" s="32">
        <f t="shared" si="143"/>
        <v>0</v>
      </c>
      <c r="EP41" s="32">
        <f t="shared" si="144"/>
        <v>0</v>
      </c>
      <c r="EQ41" s="32">
        <f t="shared" si="145"/>
        <v>0</v>
      </c>
      <c r="ER41" s="32"/>
      <c r="ES41" s="33">
        <f t="shared" si="147"/>
        <v>0</v>
      </c>
      <c r="ET41" s="33"/>
      <c r="EU41" s="33"/>
      <c r="EV41" s="33"/>
      <c r="EW41" s="33"/>
      <c r="EX41" s="34"/>
      <c r="EY41" s="34"/>
      <c r="EZ41" s="34"/>
      <c r="FA41" s="34"/>
      <c r="FB41" s="34"/>
      <c r="FC41" s="34">
        <f t="shared" si="157"/>
        <v>0</v>
      </c>
      <c r="FD41" s="34"/>
      <c r="FE41" s="34"/>
      <c r="FF41" s="35">
        <f t="shared" si="160"/>
        <v>0</v>
      </c>
      <c r="FG41" s="35"/>
      <c r="FH41" s="3"/>
      <c r="FI41" s="3"/>
      <c r="FJ41" s="3"/>
      <c r="FK41" s="3"/>
      <c r="FL41" s="24"/>
      <c r="FM41" s="3"/>
      <c r="FN41" s="46">
        <f t="shared" si="162"/>
        <v>0</v>
      </c>
      <c r="FO41" s="46">
        <f t="shared" si="115"/>
        <v>0</v>
      </c>
      <c r="FP41" s="46">
        <f t="shared" si="116"/>
        <v>0</v>
      </c>
      <c r="FQ41" s="46"/>
      <c r="FR41" s="46">
        <f t="shared" si="118"/>
        <v>0</v>
      </c>
      <c r="FS41" s="46"/>
      <c r="FT41" s="46"/>
      <c r="FU41" s="46"/>
      <c r="FV41" s="46"/>
      <c r="FW41" s="46"/>
      <c r="FX41" s="46"/>
      <c r="FY41" s="46"/>
      <c r="FZ41" s="46"/>
      <c r="GA41" s="46"/>
      <c r="GB41" s="46">
        <f t="shared" si="128"/>
        <v>0</v>
      </c>
      <c r="GC41" s="46"/>
      <c r="GD41" s="46"/>
      <c r="GE41" s="46">
        <f t="shared" si="131"/>
        <v>0</v>
      </c>
      <c r="GF41" s="46"/>
      <c r="GG41" s="46"/>
      <c r="GH41" s="46"/>
      <c r="GI41" s="46"/>
      <c r="GJ41" s="46"/>
      <c r="GK41" s="46"/>
      <c r="GM41" s="58"/>
      <c r="GN41" s="58"/>
    </row>
    <row r="42" spans="1:196">
      <c r="A42" s="3">
        <v>38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89"/>
      <c r="S42" s="3"/>
      <c r="T42" s="3"/>
      <c r="U42" s="3"/>
      <c r="EO42" s="32">
        <f t="shared" si="143"/>
        <v>0</v>
      </c>
      <c r="EP42" s="32">
        <f t="shared" si="144"/>
        <v>0</v>
      </c>
      <c r="EQ42" s="32">
        <f t="shared" si="145"/>
        <v>0</v>
      </c>
      <c r="ER42" s="32"/>
      <c r="ES42" s="33">
        <f t="shared" si="147"/>
        <v>0</v>
      </c>
      <c r="ET42" s="33"/>
      <c r="EU42" s="33"/>
      <c r="EV42" s="33"/>
      <c r="EW42" s="33"/>
      <c r="EX42" s="34"/>
      <c r="EY42" s="34"/>
      <c r="EZ42" s="34"/>
      <c r="FA42" s="34"/>
      <c r="FB42" s="34"/>
      <c r="FC42" s="34">
        <f t="shared" si="157"/>
        <v>0</v>
      </c>
      <c r="FD42" s="34"/>
      <c r="FE42" s="34"/>
      <c r="FF42" s="35">
        <f t="shared" si="160"/>
        <v>0</v>
      </c>
      <c r="FG42" s="35"/>
      <c r="FH42" s="3"/>
      <c r="FI42" s="3"/>
      <c r="FJ42" s="3"/>
      <c r="FK42" s="3"/>
      <c r="FL42" s="24"/>
      <c r="FM42" s="3"/>
      <c r="FN42" s="46">
        <f t="shared" si="162"/>
        <v>0</v>
      </c>
      <c r="FO42" s="46">
        <f t="shared" si="115"/>
        <v>0</v>
      </c>
      <c r="FP42" s="46">
        <f t="shared" si="116"/>
        <v>0</v>
      </c>
      <c r="FQ42" s="46"/>
      <c r="FR42" s="46">
        <f t="shared" si="118"/>
        <v>0</v>
      </c>
      <c r="FS42" s="46"/>
      <c r="FT42" s="46"/>
      <c r="FU42" s="46"/>
      <c r="FV42" s="46"/>
      <c r="FW42" s="46"/>
      <c r="FX42" s="46"/>
      <c r="FY42" s="46"/>
      <c r="FZ42" s="46"/>
      <c r="GA42" s="46"/>
      <c r="GB42" s="46">
        <f t="shared" si="128"/>
        <v>0</v>
      </c>
      <c r="GC42" s="46"/>
      <c r="GD42" s="46"/>
      <c r="GE42" s="46">
        <f t="shared" si="131"/>
        <v>0</v>
      </c>
      <c r="GF42" s="46"/>
      <c r="GG42" s="46"/>
      <c r="GH42" s="46"/>
      <c r="GI42" s="46"/>
      <c r="GJ42" s="46"/>
      <c r="GK42" s="46"/>
      <c r="GM42" s="58"/>
      <c r="GN42" s="58"/>
    </row>
    <row r="43" spans="1:196">
      <c r="A43" s="3">
        <v>39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EO43" s="32">
        <f t="shared" si="143"/>
        <v>0</v>
      </c>
      <c r="EP43" s="32">
        <f t="shared" si="144"/>
        <v>0</v>
      </c>
      <c r="EQ43" s="32">
        <f t="shared" si="145"/>
        <v>0</v>
      </c>
      <c r="ER43" s="32"/>
      <c r="ES43" s="33">
        <f t="shared" si="147"/>
        <v>0</v>
      </c>
      <c r="ET43" s="33"/>
      <c r="EU43" s="33"/>
      <c r="EV43" s="33"/>
      <c r="EW43" s="33"/>
      <c r="EX43" s="34"/>
      <c r="EY43" s="34"/>
      <c r="EZ43" s="34"/>
      <c r="FA43" s="34"/>
      <c r="FB43" s="34"/>
      <c r="FC43" s="34">
        <f t="shared" si="157"/>
        <v>0</v>
      </c>
      <c r="FD43" s="34"/>
      <c r="FE43" s="34"/>
      <c r="FF43" s="35">
        <f t="shared" si="160"/>
        <v>0</v>
      </c>
      <c r="FG43" s="35"/>
      <c r="FH43" s="3"/>
      <c r="FI43" s="3"/>
      <c r="FJ43" s="3"/>
      <c r="FK43" s="3"/>
      <c r="FL43" s="24"/>
      <c r="FM43" s="3"/>
      <c r="FN43" s="46">
        <f t="shared" si="162"/>
        <v>0</v>
      </c>
      <c r="FO43" s="46">
        <f t="shared" si="115"/>
        <v>0</v>
      </c>
      <c r="FP43" s="46">
        <f t="shared" si="116"/>
        <v>0</v>
      </c>
      <c r="FQ43" s="46"/>
      <c r="FR43" s="46">
        <f t="shared" si="118"/>
        <v>0</v>
      </c>
      <c r="FS43" s="46"/>
      <c r="FT43" s="46"/>
      <c r="FU43" s="46"/>
      <c r="FV43" s="46"/>
      <c r="FW43" s="46"/>
      <c r="FX43" s="46"/>
      <c r="FY43" s="46"/>
      <c r="FZ43" s="46"/>
      <c r="GA43" s="46"/>
      <c r="GB43" s="46">
        <f t="shared" si="128"/>
        <v>0</v>
      </c>
      <c r="GC43" s="46"/>
      <c r="GD43" s="46"/>
      <c r="GE43" s="46">
        <f t="shared" si="131"/>
        <v>0</v>
      </c>
      <c r="GF43" s="46"/>
      <c r="GG43" s="46"/>
      <c r="GH43" s="46"/>
      <c r="GI43" s="46"/>
      <c r="GJ43" s="46"/>
      <c r="GK43" s="46"/>
      <c r="GM43" s="58"/>
      <c r="GN43" s="58"/>
    </row>
    <row r="44" spans="1:196">
      <c r="A44" s="3">
        <v>40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EO44" s="32">
        <f t="shared" si="143"/>
        <v>0</v>
      </c>
      <c r="EP44" s="32">
        <f t="shared" si="144"/>
        <v>0</v>
      </c>
      <c r="EQ44" s="32">
        <f t="shared" si="145"/>
        <v>0</v>
      </c>
      <c r="ER44" s="32"/>
      <c r="ES44" s="33">
        <f t="shared" si="147"/>
        <v>0</v>
      </c>
      <c r="ET44" s="33"/>
      <c r="EU44" s="33"/>
      <c r="EV44" s="33"/>
      <c r="EW44" s="33"/>
      <c r="EX44" s="34"/>
      <c r="EY44" s="34"/>
      <c r="EZ44" s="34"/>
      <c r="FA44" s="34"/>
      <c r="FB44" s="34"/>
      <c r="FC44" s="34">
        <f t="shared" si="157"/>
        <v>0</v>
      </c>
      <c r="FD44" s="34"/>
      <c r="FE44" s="34"/>
      <c r="FF44" s="35">
        <f t="shared" si="160"/>
        <v>0</v>
      </c>
      <c r="FG44" s="35"/>
      <c r="FH44" s="3"/>
      <c r="FI44" s="3"/>
      <c r="FJ44" s="3"/>
      <c r="FK44" s="3"/>
      <c r="FL44" s="24"/>
      <c r="FM44" s="3"/>
      <c r="FN44" s="46">
        <f t="shared" si="162"/>
        <v>0</v>
      </c>
      <c r="FO44" s="46">
        <f t="shared" si="115"/>
        <v>0</v>
      </c>
      <c r="FP44" s="46">
        <f t="shared" si="116"/>
        <v>0</v>
      </c>
      <c r="FQ44" s="46"/>
      <c r="FR44" s="46">
        <f t="shared" si="118"/>
        <v>0</v>
      </c>
      <c r="FS44" s="46"/>
      <c r="FT44" s="46"/>
      <c r="FU44" s="46"/>
      <c r="FV44" s="46"/>
      <c r="FW44" s="46"/>
      <c r="FX44" s="46"/>
      <c r="FY44" s="46"/>
      <c r="FZ44" s="46"/>
      <c r="GA44" s="46"/>
      <c r="GB44" s="46">
        <f t="shared" si="128"/>
        <v>0</v>
      </c>
      <c r="GC44" s="46"/>
      <c r="GD44" s="46"/>
      <c r="GE44" s="46">
        <f t="shared" si="131"/>
        <v>0</v>
      </c>
      <c r="GF44" s="46"/>
      <c r="GG44" s="46"/>
      <c r="GH44" s="46"/>
      <c r="GI44" s="46"/>
      <c r="GJ44" s="46"/>
      <c r="GK44" s="46"/>
      <c r="GM44" s="58"/>
      <c r="GN44" s="58"/>
    </row>
    <row r="45" spans="1:196">
      <c r="A45" s="3">
        <v>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EO45" s="32">
        <f t="shared" si="143"/>
        <v>0</v>
      </c>
      <c r="EP45" s="32">
        <f t="shared" si="144"/>
        <v>0</v>
      </c>
      <c r="EQ45" s="32">
        <f t="shared" si="145"/>
        <v>0</v>
      </c>
      <c r="ER45" s="32"/>
      <c r="ES45" s="33">
        <f t="shared" si="147"/>
        <v>0</v>
      </c>
      <c r="ET45" s="33"/>
      <c r="EU45" s="33"/>
      <c r="EV45" s="33"/>
      <c r="EW45" s="33"/>
      <c r="EX45" s="34"/>
      <c r="EY45" s="34"/>
      <c r="EZ45" s="34"/>
      <c r="FA45" s="34"/>
      <c r="FB45" s="34"/>
      <c r="FC45" s="34">
        <f t="shared" si="157"/>
        <v>0</v>
      </c>
      <c r="FD45" s="34"/>
      <c r="FE45" s="34"/>
      <c r="FF45" s="35">
        <f t="shared" si="160"/>
        <v>0</v>
      </c>
      <c r="FG45" s="35"/>
      <c r="FH45" s="3"/>
      <c r="FI45" s="3"/>
      <c r="FJ45" s="3"/>
      <c r="FK45" s="3"/>
      <c r="FL45" s="24"/>
      <c r="FM45" s="3"/>
      <c r="FN45" s="46">
        <f t="shared" si="162"/>
        <v>0</v>
      </c>
      <c r="FO45" s="46">
        <f t="shared" si="115"/>
        <v>0</v>
      </c>
      <c r="FP45" s="46">
        <f t="shared" si="116"/>
        <v>0</v>
      </c>
      <c r="FQ45" s="46"/>
      <c r="FR45" s="46">
        <f t="shared" si="118"/>
        <v>0</v>
      </c>
      <c r="FS45" s="46"/>
      <c r="FT45" s="46"/>
      <c r="FU45" s="46"/>
      <c r="FV45" s="46"/>
      <c r="FW45" s="46"/>
      <c r="FX45" s="46"/>
      <c r="FY45" s="46"/>
      <c r="FZ45" s="46"/>
      <c r="GA45" s="46"/>
      <c r="GB45" s="46">
        <f t="shared" si="128"/>
        <v>0</v>
      </c>
      <c r="GC45" s="46"/>
      <c r="GD45" s="46"/>
      <c r="GE45" s="46">
        <f t="shared" si="131"/>
        <v>0</v>
      </c>
      <c r="GF45" s="46"/>
      <c r="GG45" s="46"/>
      <c r="GH45" s="46"/>
      <c r="GI45" s="46"/>
      <c r="GJ45" s="46"/>
      <c r="GK45" s="46"/>
      <c r="GM45" s="58"/>
      <c r="GN45" s="58"/>
    </row>
    <row r="46" spans="1:196">
      <c r="A46" s="3">
        <v>42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89"/>
      <c r="P46" s="3"/>
      <c r="Q46" s="3"/>
      <c r="R46" s="3"/>
      <c r="S46" s="3"/>
      <c r="T46" s="3"/>
      <c r="U46" s="3"/>
      <c r="EO46" s="32">
        <f t="shared" si="143"/>
        <v>0</v>
      </c>
      <c r="EP46" s="32">
        <f t="shared" si="144"/>
        <v>0</v>
      </c>
      <c r="EQ46" s="32">
        <f t="shared" si="145"/>
        <v>0</v>
      </c>
      <c r="ER46" s="32"/>
      <c r="ES46" s="33">
        <f t="shared" si="147"/>
        <v>0</v>
      </c>
      <c r="ET46" s="33"/>
      <c r="EU46" s="33"/>
      <c r="EV46" s="33"/>
      <c r="EW46" s="33"/>
      <c r="EX46" s="34"/>
      <c r="EY46" s="34"/>
      <c r="EZ46" s="34"/>
      <c r="FA46" s="34"/>
      <c r="FB46" s="34"/>
      <c r="FC46" s="34">
        <f t="shared" si="157"/>
        <v>0</v>
      </c>
      <c r="FD46" s="34"/>
      <c r="FE46" s="34"/>
      <c r="FF46" s="35">
        <f t="shared" si="160"/>
        <v>0</v>
      </c>
      <c r="FG46" s="35"/>
      <c r="FH46" s="3"/>
      <c r="FI46" s="3"/>
      <c r="FJ46" s="3"/>
      <c r="FK46" s="3"/>
      <c r="FL46" s="24"/>
      <c r="FM46" s="3"/>
      <c r="FN46" s="46">
        <f t="shared" si="162"/>
        <v>0</v>
      </c>
      <c r="FO46" s="46">
        <f t="shared" si="115"/>
        <v>0</v>
      </c>
      <c r="FP46" s="46">
        <f t="shared" si="116"/>
        <v>0</v>
      </c>
      <c r="FQ46" s="46"/>
      <c r="FR46" s="46">
        <f t="shared" si="118"/>
        <v>0</v>
      </c>
      <c r="FS46" s="46"/>
      <c r="FT46" s="46"/>
      <c r="FU46" s="46"/>
      <c r="FV46" s="46"/>
      <c r="FW46" s="46"/>
      <c r="FX46" s="46"/>
      <c r="FY46" s="46"/>
      <c r="FZ46" s="46"/>
      <c r="GA46" s="46"/>
      <c r="GB46" s="46">
        <f t="shared" si="128"/>
        <v>0</v>
      </c>
      <c r="GC46" s="46"/>
      <c r="GD46" s="46"/>
      <c r="GE46" s="46">
        <f t="shared" si="131"/>
        <v>0</v>
      </c>
      <c r="GF46" s="46"/>
      <c r="GG46" s="46"/>
      <c r="GH46" s="46"/>
      <c r="GI46" s="46"/>
      <c r="GJ46" s="46"/>
      <c r="GK46" s="46"/>
      <c r="GM46" s="58"/>
      <c r="GN46" s="58"/>
    </row>
    <row r="47" spans="1:196">
      <c r="A47" s="3">
        <v>43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EO47" s="32">
        <f t="shared" si="143"/>
        <v>0</v>
      </c>
      <c r="EP47" s="32">
        <f t="shared" si="144"/>
        <v>0</v>
      </c>
      <c r="EQ47" s="32">
        <f t="shared" si="145"/>
        <v>0</v>
      </c>
      <c r="ER47" s="32"/>
      <c r="ES47" s="33">
        <f t="shared" si="147"/>
        <v>0</v>
      </c>
      <c r="ET47" s="33"/>
      <c r="EU47" s="33"/>
      <c r="EV47" s="33"/>
      <c r="EW47" s="33"/>
      <c r="EX47" s="34"/>
      <c r="EY47" s="34"/>
      <c r="EZ47" s="34"/>
      <c r="FA47" s="34"/>
      <c r="FB47" s="34"/>
      <c r="FC47" s="34">
        <f t="shared" si="157"/>
        <v>0</v>
      </c>
      <c r="FD47" s="34"/>
      <c r="FE47" s="34"/>
      <c r="FF47" s="35">
        <f t="shared" si="160"/>
        <v>0</v>
      </c>
      <c r="FG47" s="35"/>
      <c r="FH47" s="3"/>
      <c r="FI47" s="3"/>
      <c r="FJ47" s="3"/>
      <c r="FK47" s="3"/>
      <c r="FL47" s="24"/>
      <c r="FM47" s="3"/>
      <c r="FN47" s="46">
        <f t="shared" si="162"/>
        <v>0</v>
      </c>
      <c r="FO47" s="46">
        <f t="shared" si="115"/>
        <v>0</v>
      </c>
      <c r="FP47" s="46">
        <f t="shared" si="116"/>
        <v>0</v>
      </c>
      <c r="FQ47" s="46"/>
      <c r="FR47" s="46">
        <f t="shared" si="118"/>
        <v>0</v>
      </c>
      <c r="FS47" s="46"/>
      <c r="FT47" s="46"/>
      <c r="FU47" s="46"/>
      <c r="FV47" s="46"/>
      <c r="FW47" s="46"/>
      <c r="FX47" s="46"/>
      <c r="FY47" s="46"/>
      <c r="FZ47" s="46"/>
      <c r="GA47" s="46"/>
      <c r="GB47" s="46">
        <f t="shared" si="128"/>
        <v>0</v>
      </c>
      <c r="GC47" s="46"/>
      <c r="GD47" s="46"/>
      <c r="GE47" s="46">
        <f t="shared" si="131"/>
        <v>0</v>
      </c>
      <c r="GF47" s="46"/>
      <c r="GG47" s="46"/>
      <c r="GH47" s="46"/>
      <c r="GI47" s="46"/>
      <c r="GJ47" s="46"/>
      <c r="GK47" s="46"/>
      <c r="GM47" s="58"/>
      <c r="GN47" s="58"/>
    </row>
    <row r="48" spans="1:196">
      <c r="A48" s="3">
        <v>44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EO48" s="32">
        <f t="shared" si="143"/>
        <v>0</v>
      </c>
      <c r="EP48" s="32">
        <f t="shared" si="144"/>
        <v>0</v>
      </c>
      <c r="EQ48" s="32">
        <f t="shared" si="145"/>
        <v>0</v>
      </c>
      <c r="ER48" s="32"/>
      <c r="ES48" s="33">
        <f t="shared" si="147"/>
        <v>0</v>
      </c>
      <c r="ET48" s="33"/>
      <c r="EU48" s="33"/>
      <c r="EV48" s="33"/>
      <c r="EW48" s="33"/>
      <c r="EX48" s="34"/>
      <c r="EY48" s="34"/>
      <c r="EZ48" s="34"/>
      <c r="FA48" s="34"/>
      <c r="FB48" s="34"/>
      <c r="FC48" s="34">
        <f t="shared" si="157"/>
        <v>0</v>
      </c>
      <c r="FD48" s="34"/>
      <c r="FE48" s="34"/>
      <c r="FF48" s="35">
        <f t="shared" si="160"/>
        <v>0</v>
      </c>
      <c r="FG48" s="35"/>
      <c r="FH48" s="3"/>
      <c r="FI48" s="3"/>
      <c r="FJ48" s="3"/>
      <c r="FK48" s="3"/>
      <c r="FL48" s="24"/>
      <c r="FM48" s="3"/>
      <c r="FN48" s="46">
        <f t="shared" si="162"/>
        <v>0</v>
      </c>
      <c r="FO48" s="46">
        <f t="shared" si="115"/>
        <v>0</v>
      </c>
      <c r="FP48" s="46">
        <f t="shared" si="116"/>
        <v>0</v>
      </c>
      <c r="FQ48" s="46"/>
      <c r="FR48" s="46">
        <f t="shared" si="118"/>
        <v>0</v>
      </c>
      <c r="FS48" s="46"/>
      <c r="FT48" s="46"/>
      <c r="FU48" s="46"/>
      <c r="FV48" s="46"/>
      <c r="FW48" s="46"/>
      <c r="FX48" s="46"/>
      <c r="FY48" s="46"/>
      <c r="FZ48" s="46"/>
      <c r="GA48" s="46"/>
      <c r="GB48" s="46">
        <f t="shared" si="128"/>
        <v>0</v>
      </c>
      <c r="GC48" s="46"/>
      <c r="GD48" s="46"/>
      <c r="GE48" s="46">
        <f t="shared" si="131"/>
        <v>0</v>
      </c>
      <c r="GF48" s="46"/>
      <c r="GG48" s="46"/>
      <c r="GH48" s="46"/>
      <c r="GI48" s="46"/>
      <c r="GJ48" s="46"/>
      <c r="GK48" s="46"/>
      <c r="GM48" s="58"/>
      <c r="GN48" s="58"/>
    </row>
    <row r="49" spans="1:196">
      <c r="A49" s="3">
        <v>45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EO49" s="32">
        <f t="shared" si="143"/>
        <v>0</v>
      </c>
      <c r="EP49" s="32"/>
      <c r="EQ49" s="32">
        <f t="shared" si="145"/>
        <v>0</v>
      </c>
      <c r="ER49" s="32"/>
      <c r="ES49" s="33">
        <f t="shared" si="147"/>
        <v>0</v>
      </c>
      <c r="ET49" s="33"/>
      <c r="EU49" s="33"/>
      <c r="EV49" s="33"/>
      <c r="EW49" s="33"/>
      <c r="EX49" s="34"/>
      <c r="EY49" s="34"/>
      <c r="EZ49" s="34"/>
      <c r="FA49" s="34"/>
      <c r="FB49" s="34"/>
      <c r="FC49" s="34">
        <f t="shared" si="157"/>
        <v>0</v>
      </c>
      <c r="FD49" s="34"/>
      <c r="FE49" s="34"/>
      <c r="FF49" s="35">
        <f t="shared" si="160"/>
        <v>0</v>
      </c>
      <c r="FG49" s="35"/>
      <c r="FH49" s="3"/>
      <c r="FI49" s="3"/>
      <c r="FJ49" s="3"/>
      <c r="FK49" s="3"/>
      <c r="FL49" s="24"/>
      <c r="FM49" s="3"/>
      <c r="FN49" s="46">
        <f t="shared" si="162"/>
        <v>0</v>
      </c>
      <c r="FO49" s="46"/>
      <c r="FP49" s="46">
        <f t="shared" si="116"/>
        <v>0</v>
      </c>
      <c r="FQ49" s="46"/>
      <c r="FR49" s="46">
        <f t="shared" si="118"/>
        <v>0</v>
      </c>
      <c r="FS49" s="46"/>
      <c r="FT49" s="46"/>
      <c r="FU49" s="46"/>
      <c r="FV49" s="46"/>
      <c r="FW49" s="46"/>
      <c r="FX49" s="46"/>
      <c r="FY49" s="46"/>
      <c r="FZ49" s="46"/>
      <c r="GA49" s="46"/>
      <c r="GB49" s="46">
        <f t="shared" si="128"/>
        <v>0</v>
      </c>
      <c r="GC49" s="46"/>
      <c r="GD49" s="46"/>
      <c r="GE49" s="46">
        <f t="shared" si="131"/>
        <v>0</v>
      </c>
      <c r="GF49" s="46"/>
      <c r="GG49" s="46"/>
      <c r="GH49" s="46"/>
      <c r="GI49" s="46"/>
      <c r="GJ49" s="46"/>
      <c r="GK49" s="46"/>
      <c r="GM49" s="58"/>
      <c r="GN49" s="58"/>
    </row>
    <row r="50" spans="1:196">
      <c r="A50" s="3">
        <v>46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EO50" s="32">
        <f t="shared" si="143"/>
        <v>0</v>
      </c>
      <c r="EP50" s="32"/>
      <c r="EQ50" s="32">
        <f t="shared" si="145"/>
        <v>0</v>
      </c>
      <c r="ER50" s="32"/>
      <c r="ES50" s="33">
        <f t="shared" si="147"/>
        <v>0</v>
      </c>
      <c r="ET50" s="33"/>
      <c r="EU50" s="33"/>
      <c r="EV50" s="33"/>
      <c r="EW50" s="33"/>
      <c r="EX50" s="34"/>
      <c r="EY50" s="34"/>
      <c r="EZ50" s="34"/>
      <c r="FA50" s="34"/>
      <c r="FB50" s="34"/>
      <c r="FC50" s="34">
        <f t="shared" si="157"/>
        <v>0</v>
      </c>
      <c r="FD50" s="34"/>
      <c r="FE50" s="34"/>
      <c r="FF50" s="35">
        <f t="shared" si="160"/>
        <v>0</v>
      </c>
      <c r="FG50" s="35"/>
      <c r="FH50" s="3"/>
      <c r="FI50" s="3"/>
      <c r="FJ50" s="3"/>
      <c r="FK50" s="3"/>
      <c r="FL50" s="24"/>
      <c r="FM50" s="3"/>
      <c r="FN50" s="46">
        <f t="shared" si="162"/>
        <v>0</v>
      </c>
      <c r="FO50" s="46"/>
      <c r="FP50" s="46">
        <f t="shared" si="116"/>
        <v>0</v>
      </c>
      <c r="FQ50" s="46"/>
      <c r="FR50" s="46">
        <f t="shared" si="118"/>
        <v>0</v>
      </c>
      <c r="FS50" s="46"/>
      <c r="FT50" s="46"/>
      <c r="FU50" s="46"/>
      <c r="FV50" s="46"/>
      <c r="FW50" s="46"/>
      <c r="FX50" s="46"/>
      <c r="FY50" s="46"/>
      <c r="FZ50" s="46"/>
      <c r="GA50" s="46"/>
      <c r="GB50" s="46">
        <f t="shared" si="128"/>
        <v>0</v>
      </c>
      <c r="GC50" s="46"/>
      <c r="GD50" s="46"/>
      <c r="GE50" s="46">
        <f t="shared" si="131"/>
        <v>0</v>
      </c>
      <c r="GF50" s="46"/>
      <c r="GG50" s="46"/>
      <c r="GH50" s="46"/>
      <c r="GI50" s="46"/>
      <c r="GJ50" s="46"/>
      <c r="GK50" s="46"/>
      <c r="GM50" s="58"/>
      <c r="GN50" s="58"/>
    </row>
    <row r="51" spans="1:196">
      <c r="A51" s="3">
        <v>47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EO51" s="32">
        <f t="shared" si="143"/>
        <v>0</v>
      </c>
      <c r="EP51" s="32"/>
      <c r="EQ51" s="32">
        <f t="shared" si="145"/>
        <v>0</v>
      </c>
      <c r="ER51" s="32"/>
      <c r="ES51" s="33">
        <f t="shared" si="147"/>
        <v>0</v>
      </c>
      <c r="ET51" s="33"/>
      <c r="EU51" s="33"/>
      <c r="EV51" s="33"/>
      <c r="EW51" s="33"/>
      <c r="EX51" s="34"/>
      <c r="EY51" s="34"/>
      <c r="EZ51" s="34"/>
      <c r="FA51" s="34"/>
      <c r="FB51" s="34"/>
      <c r="FC51" s="34">
        <f t="shared" si="157"/>
        <v>0</v>
      </c>
      <c r="FD51" s="34"/>
      <c r="FE51" s="34"/>
      <c r="FF51" s="35">
        <f t="shared" si="160"/>
        <v>0</v>
      </c>
      <c r="FG51" s="35"/>
      <c r="FH51" s="3"/>
      <c r="FI51" s="3"/>
      <c r="FJ51" s="3"/>
      <c r="FK51" s="3"/>
      <c r="FL51" s="24"/>
      <c r="FM51" s="3"/>
      <c r="FN51" s="46">
        <f t="shared" si="162"/>
        <v>0</v>
      </c>
      <c r="FO51" s="46"/>
      <c r="FP51" s="46">
        <f t="shared" si="116"/>
        <v>0</v>
      </c>
      <c r="FQ51" s="46"/>
      <c r="FR51" s="46">
        <f t="shared" si="118"/>
        <v>0</v>
      </c>
      <c r="FS51" s="46"/>
      <c r="FT51" s="46"/>
      <c r="FU51" s="46"/>
      <c r="FV51" s="46"/>
      <c r="FW51" s="46"/>
      <c r="FX51" s="46"/>
      <c r="FY51" s="46"/>
      <c r="FZ51" s="46"/>
      <c r="GA51" s="46"/>
      <c r="GB51" s="46">
        <f t="shared" si="128"/>
        <v>0</v>
      </c>
      <c r="GC51" s="46"/>
      <c r="GD51" s="46"/>
      <c r="GE51" s="46">
        <f t="shared" si="131"/>
        <v>0</v>
      </c>
      <c r="GF51" s="46"/>
      <c r="GG51" s="46"/>
      <c r="GH51" s="46"/>
      <c r="GI51" s="46"/>
      <c r="GJ51" s="46"/>
      <c r="GK51" s="46"/>
      <c r="GM51" s="58"/>
      <c r="GN51" s="58"/>
    </row>
    <row r="52" spans="1:196">
      <c r="A52" s="3">
        <v>48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EO52" s="32">
        <f t="shared" si="143"/>
        <v>0</v>
      </c>
      <c r="EP52" s="32"/>
      <c r="EQ52" s="32">
        <f t="shared" si="145"/>
        <v>0</v>
      </c>
      <c r="ER52" s="32"/>
      <c r="ES52" s="33">
        <f t="shared" si="147"/>
        <v>0</v>
      </c>
      <c r="ET52" s="33"/>
      <c r="EU52" s="33"/>
      <c r="EV52" s="33"/>
      <c r="EW52" s="33"/>
      <c r="EX52" s="34"/>
      <c r="EY52" s="34"/>
      <c r="EZ52" s="34"/>
      <c r="FA52" s="34"/>
      <c r="FB52" s="34"/>
      <c r="FC52" s="34">
        <f t="shared" si="157"/>
        <v>0</v>
      </c>
      <c r="FD52" s="34"/>
      <c r="FE52" s="34"/>
      <c r="FF52" s="35">
        <f t="shared" si="160"/>
        <v>0</v>
      </c>
      <c r="FG52" s="35"/>
      <c r="FH52" s="3"/>
      <c r="FI52" s="3"/>
      <c r="FJ52" s="3"/>
      <c r="FK52" s="3"/>
      <c r="FL52" s="24"/>
      <c r="FM52" s="3"/>
      <c r="FN52" s="46">
        <f t="shared" si="162"/>
        <v>0</v>
      </c>
      <c r="FO52" s="46"/>
      <c r="FP52" s="46">
        <f t="shared" si="116"/>
        <v>0</v>
      </c>
      <c r="FQ52" s="46"/>
      <c r="FR52" s="46">
        <f t="shared" si="118"/>
        <v>0</v>
      </c>
      <c r="FS52" s="46"/>
      <c r="FT52" s="46"/>
      <c r="FU52" s="46"/>
      <c r="FV52" s="46"/>
      <c r="FW52" s="46"/>
      <c r="FX52" s="46"/>
      <c r="FY52" s="46"/>
      <c r="FZ52" s="46"/>
      <c r="GA52" s="46"/>
      <c r="GB52" s="46">
        <f t="shared" si="128"/>
        <v>0</v>
      </c>
      <c r="GC52" s="46"/>
      <c r="GD52" s="46"/>
      <c r="GE52" s="46">
        <f t="shared" si="131"/>
        <v>0</v>
      </c>
      <c r="GF52" s="46"/>
      <c r="GG52" s="46"/>
      <c r="GH52" s="46"/>
      <c r="GI52" s="46"/>
      <c r="GJ52" s="46"/>
      <c r="GK52" s="46"/>
      <c r="GM52" s="58"/>
      <c r="GN52" s="58"/>
    </row>
    <row r="53" spans="1:196">
      <c r="A53" s="3">
        <v>49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EO53" s="32">
        <f t="shared" si="143"/>
        <v>0</v>
      </c>
      <c r="EP53" s="32"/>
      <c r="EQ53" s="32">
        <f t="shared" si="145"/>
        <v>0</v>
      </c>
      <c r="ER53" s="32"/>
      <c r="ES53" s="33">
        <f t="shared" si="147"/>
        <v>0</v>
      </c>
      <c r="ET53" s="33"/>
      <c r="EU53" s="33"/>
      <c r="EV53" s="33"/>
      <c r="EW53" s="33"/>
      <c r="EX53" s="34"/>
      <c r="EY53" s="34"/>
      <c r="EZ53" s="34"/>
      <c r="FA53" s="34"/>
      <c r="FB53" s="34"/>
      <c r="FC53" s="34">
        <f t="shared" si="157"/>
        <v>0</v>
      </c>
      <c r="FD53" s="34"/>
      <c r="FE53" s="34"/>
      <c r="FF53" s="35">
        <f t="shared" si="160"/>
        <v>0</v>
      </c>
      <c r="FG53" s="35"/>
      <c r="FH53" s="3"/>
      <c r="FI53" s="3"/>
      <c r="FJ53" s="3"/>
      <c r="FK53" s="3"/>
      <c r="FL53" s="24"/>
      <c r="FM53" s="3"/>
      <c r="FN53" s="46">
        <f t="shared" si="162"/>
        <v>0</v>
      </c>
      <c r="FO53" s="46"/>
      <c r="FP53" s="46">
        <f t="shared" si="116"/>
        <v>0</v>
      </c>
      <c r="FQ53" s="46"/>
      <c r="FR53" s="46">
        <f t="shared" si="118"/>
        <v>0</v>
      </c>
      <c r="FS53" s="46"/>
      <c r="FT53" s="46"/>
      <c r="FU53" s="46"/>
      <c r="FV53" s="46"/>
      <c r="FW53" s="46"/>
      <c r="FX53" s="46"/>
      <c r="FY53" s="46"/>
      <c r="FZ53" s="46"/>
      <c r="GA53" s="46"/>
      <c r="GB53" s="46">
        <f t="shared" si="128"/>
        <v>0</v>
      </c>
      <c r="GC53" s="46"/>
      <c r="GD53" s="46"/>
      <c r="GE53" s="46">
        <f t="shared" si="131"/>
        <v>0</v>
      </c>
      <c r="GF53" s="46"/>
      <c r="GG53" s="46"/>
      <c r="GH53" s="46"/>
      <c r="GI53" s="46"/>
      <c r="GJ53" s="46"/>
      <c r="GK53" s="46"/>
      <c r="GM53" s="58"/>
      <c r="GN53" s="58"/>
    </row>
    <row r="54" spans="1:196">
      <c r="A54" s="3">
        <v>50</v>
      </c>
      <c r="B54" s="8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EO54" s="32">
        <f t="shared" si="143"/>
        <v>0</v>
      </c>
      <c r="EP54" s="32"/>
      <c r="EQ54" s="32">
        <f t="shared" si="145"/>
        <v>0</v>
      </c>
      <c r="ER54" s="32"/>
      <c r="ES54" s="33">
        <f t="shared" si="147"/>
        <v>0</v>
      </c>
      <c r="ET54" s="33"/>
      <c r="EU54" s="33"/>
      <c r="EV54" s="33"/>
      <c r="EW54" s="33"/>
      <c r="EX54" s="34"/>
      <c r="EY54" s="34"/>
      <c r="EZ54" s="34"/>
      <c r="FA54" s="34"/>
      <c r="FB54" s="34"/>
      <c r="FC54" s="34">
        <f t="shared" si="157"/>
        <v>0</v>
      </c>
      <c r="FD54" s="34"/>
      <c r="FE54" s="34"/>
      <c r="FF54" s="35">
        <f t="shared" si="160"/>
        <v>0</v>
      </c>
      <c r="FG54" s="35"/>
      <c r="FH54" s="3"/>
      <c r="FI54" s="3"/>
      <c r="FJ54" s="3"/>
      <c r="FK54" s="3"/>
      <c r="FL54" s="24"/>
      <c r="FM54" s="3"/>
      <c r="FN54" s="46">
        <f t="shared" si="162"/>
        <v>0</v>
      </c>
      <c r="FO54" s="46"/>
      <c r="FP54" s="46">
        <f t="shared" si="116"/>
        <v>0</v>
      </c>
      <c r="FQ54" s="46"/>
      <c r="FR54" s="46">
        <f t="shared" si="118"/>
        <v>0</v>
      </c>
      <c r="FS54" s="46"/>
      <c r="FT54" s="46"/>
      <c r="FU54" s="46"/>
      <c r="FV54" s="46"/>
      <c r="FW54" s="46"/>
      <c r="FX54" s="46"/>
      <c r="FY54" s="46"/>
      <c r="FZ54" s="46"/>
      <c r="GA54" s="46"/>
      <c r="GB54" s="46">
        <f t="shared" si="128"/>
        <v>0</v>
      </c>
      <c r="GC54" s="46"/>
      <c r="GD54" s="46"/>
      <c r="GE54" s="46">
        <f t="shared" si="131"/>
        <v>0</v>
      </c>
      <c r="GF54" s="46"/>
      <c r="GG54" s="46"/>
      <c r="GH54" s="46"/>
      <c r="GI54" s="46"/>
      <c r="GJ54" s="46"/>
      <c r="GK54" s="46"/>
      <c r="GM54" s="58"/>
      <c r="GN54" s="58"/>
    </row>
    <row r="55" spans="1:196">
      <c r="A55" s="3">
        <v>51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EO55" s="32">
        <f t="shared" si="143"/>
        <v>0</v>
      </c>
      <c r="EP55" s="32"/>
      <c r="EQ55" s="32">
        <f t="shared" si="145"/>
        <v>0</v>
      </c>
      <c r="ER55" s="32"/>
      <c r="ES55" s="33">
        <f t="shared" si="147"/>
        <v>0</v>
      </c>
      <c r="ET55" s="33"/>
      <c r="EU55" s="33"/>
      <c r="EV55" s="33"/>
      <c r="EW55" s="33"/>
      <c r="EX55" s="34"/>
      <c r="EY55" s="34"/>
      <c r="EZ55" s="34"/>
      <c r="FA55" s="34"/>
      <c r="FB55" s="34"/>
      <c r="FC55" s="34">
        <f t="shared" si="157"/>
        <v>0</v>
      </c>
      <c r="FD55" s="34"/>
      <c r="FE55" s="34"/>
      <c r="FF55" s="35">
        <f t="shared" si="160"/>
        <v>0</v>
      </c>
      <c r="FG55" s="35"/>
      <c r="FH55" s="3"/>
      <c r="FI55" s="3"/>
      <c r="FJ55" s="3"/>
      <c r="FK55" s="3"/>
      <c r="FL55" s="24"/>
      <c r="FM55" s="3"/>
      <c r="FN55" s="46">
        <f t="shared" si="162"/>
        <v>0</v>
      </c>
      <c r="FO55" s="46"/>
      <c r="FP55" s="46">
        <f t="shared" si="116"/>
        <v>0</v>
      </c>
      <c r="FQ55" s="46"/>
      <c r="FR55" s="46">
        <f t="shared" si="118"/>
        <v>0</v>
      </c>
      <c r="FS55" s="46"/>
      <c r="FT55" s="46"/>
      <c r="FU55" s="46"/>
      <c r="FV55" s="46"/>
      <c r="FW55" s="46"/>
      <c r="FX55" s="46"/>
      <c r="FY55" s="46"/>
      <c r="FZ55" s="46"/>
      <c r="GA55" s="46"/>
      <c r="GB55" s="46">
        <f t="shared" si="128"/>
        <v>0</v>
      </c>
      <c r="GC55" s="46"/>
      <c r="GD55" s="46"/>
      <c r="GE55" s="46">
        <f t="shared" si="131"/>
        <v>0</v>
      </c>
      <c r="GF55" s="46"/>
      <c r="GG55" s="46"/>
      <c r="GH55" s="46"/>
      <c r="GI55" s="46"/>
      <c r="GJ55" s="46"/>
      <c r="GK55" s="46"/>
      <c r="GM55" s="58"/>
      <c r="GN55" s="58"/>
    </row>
    <row r="56" spans="1:196">
      <c r="A56" s="3">
        <v>52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EO56" s="32">
        <f t="shared" si="143"/>
        <v>0</v>
      </c>
      <c r="EP56" s="32"/>
      <c r="EQ56" s="32">
        <f t="shared" si="145"/>
        <v>0</v>
      </c>
      <c r="ER56" s="32"/>
      <c r="ES56" s="33">
        <f t="shared" si="147"/>
        <v>0</v>
      </c>
      <c r="ET56" s="33"/>
      <c r="EU56" s="33"/>
      <c r="EV56" s="33"/>
      <c r="EW56" s="33"/>
      <c r="EX56" s="34"/>
      <c r="EY56" s="34"/>
      <c r="EZ56" s="34"/>
      <c r="FA56" s="34"/>
      <c r="FB56" s="34"/>
      <c r="FC56" s="34">
        <f t="shared" si="157"/>
        <v>0</v>
      </c>
      <c r="FD56" s="34"/>
      <c r="FE56" s="34"/>
      <c r="FF56" s="35">
        <f t="shared" si="160"/>
        <v>0</v>
      </c>
      <c r="FG56" s="35"/>
      <c r="FH56" s="3"/>
      <c r="FI56" s="3"/>
      <c r="FJ56" s="3"/>
      <c r="FK56" s="3"/>
      <c r="FL56" s="24"/>
      <c r="FM56" s="3"/>
      <c r="FN56" s="46">
        <f t="shared" si="162"/>
        <v>0</v>
      </c>
      <c r="FO56" s="46"/>
      <c r="FP56" s="46">
        <f t="shared" si="116"/>
        <v>0</v>
      </c>
      <c r="FQ56" s="46"/>
      <c r="FR56" s="46">
        <f t="shared" si="118"/>
        <v>0</v>
      </c>
      <c r="FS56" s="46"/>
      <c r="FT56" s="46"/>
      <c r="FU56" s="46"/>
      <c r="FV56" s="46"/>
      <c r="FW56" s="46"/>
      <c r="FX56" s="46"/>
      <c r="FY56" s="46"/>
      <c r="FZ56" s="46"/>
      <c r="GA56" s="46"/>
      <c r="GB56" s="46">
        <f t="shared" si="128"/>
        <v>0</v>
      </c>
      <c r="GC56" s="46"/>
      <c r="GD56" s="46"/>
      <c r="GE56" s="46">
        <f t="shared" si="131"/>
        <v>0</v>
      </c>
      <c r="GF56" s="46"/>
      <c r="GG56" s="46"/>
      <c r="GH56" s="46"/>
      <c r="GI56" s="46"/>
      <c r="GJ56" s="46"/>
      <c r="GK56" s="46"/>
      <c r="GM56" s="58"/>
      <c r="GN56" s="58"/>
    </row>
    <row r="57" spans="1:196">
      <c r="A57" s="3">
        <v>53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EO57" s="32">
        <f t="shared" si="143"/>
        <v>0</v>
      </c>
      <c r="EP57" s="32"/>
      <c r="EQ57" s="32">
        <f t="shared" si="145"/>
        <v>0</v>
      </c>
      <c r="ER57" s="32"/>
      <c r="ES57" s="33">
        <f t="shared" si="147"/>
        <v>0</v>
      </c>
      <c r="ET57" s="33"/>
      <c r="EU57" s="33"/>
      <c r="EV57" s="33"/>
      <c r="EW57" s="33"/>
      <c r="EX57" s="34"/>
      <c r="EY57" s="34"/>
      <c r="EZ57" s="34"/>
      <c r="FA57" s="34"/>
      <c r="FB57" s="34"/>
      <c r="FC57" s="34">
        <f t="shared" si="157"/>
        <v>0</v>
      </c>
      <c r="FD57" s="34"/>
      <c r="FE57" s="34"/>
      <c r="FF57" s="35">
        <f t="shared" si="160"/>
        <v>0</v>
      </c>
      <c r="FG57" s="35"/>
      <c r="FH57" s="3"/>
      <c r="FI57" s="3"/>
      <c r="FJ57" s="3"/>
      <c r="FK57" s="3"/>
      <c r="FL57" s="24"/>
      <c r="FM57" s="3"/>
      <c r="FN57" s="46">
        <f t="shared" si="162"/>
        <v>0</v>
      </c>
      <c r="FO57" s="46"/>
      <c r="FP57" s="46">
        <f t="shared" si="116"/>
        <v>0</v>
      </c>
      <c r="FQ57" s="46"/>
      <c r="FR57" s="46">
        <f t="shared" si="118"/>
        <v>0</v>
      </c>
      <c r="FS57" s="46"/>
      <c r="FT57" s="46"/>
      <c r="FU57" s="46"/>
      <c r="FV57" s="46"/>
      <c r="FW57" s="46"/>
      <c r="FX57" s="46"/>
      <c r="FY57" s="46"/>
      <c r="FZ57" s="46"/>
      <c r="GA57" s="46"/>
      <c r="GB57" s="46">
        <f t="shared" si="128"/>
        <v>0</v>
      </c>
      <c r="GC57" s="46"/>
      <c r="GD57" s="46"/>
      <c r="GE57" s="46">
        <f t="shared" si="131"/>
        <v>0</v>
      </c>
      <c r="GF57" s="46"/>
      <c r="GG57" s="46"/>
      <c r="GH57" s="46"/>
      <c r="GI57" s="46"/>
      <c r="GJ57" s="46"/>
      <c r="GK57" s="46"/>
      <c r="GM57" s="58"/>
      <c r="GN57" s="58"/>
    </row>
    <row r="58" spans="1:196">
      <c r="A58" s="3">
        <v>54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EO58" s="32">
        <f t="shared" si="143"/>
        <v>0</v>
      </c>
      <c r="EP58" s="32"/>
      <c r="EQ58" s="32">
        <f t="shared" si="145"/>
        <v>0</v>
      </c>
      <c r="ER58" s="32"/>
      <c r="ES58" s="33">
        <f t="shared" si="147"/>
        <v>0</v>
      </c>
      <c r="ET58" s="33"/>
      <c r="EU58" s="33"/>
      <c r="EV58" s="33"/>
      <c r="EW58" s="33"/>
      <c r="EX58" s="34"/>
      <c r="EY58" s="34"/>
      <c r="EZ58" s="34"/>
      <c r="FA58" s="34"/>
      <c r="FB58" s="34"/>
      <c r="FC58" s="34">
        <f t="shared" si="157"/>
        <v>0</v>
      </c>
      <c r="FD58" s="34"/>
      <c r="FE58" s="34"/>
      <c r="FF58" s="35">
        <f t="shared" si="160"/>
        <v>0</v>
      </c>
      <c r="FG58" s="35"/>
      <c r="FH58" s="3"/>
      <c r="FI58" s="3"/>
      <c r="FJ58" s="3"/>
      <c r="FK58" s="3"/>
      <c r="FL58" s="24"/>
      <c r="FM58" s="3"/>
      <c r="FN58" s="46">
        <f t="shared" si="162"/>
        <v>0</v>
      </c>
      <c r="FO58" s="46"/>
      <c r="FP58" s="46">
        <f t="shared" si="116"/>
        <v>0</v>
      </c>
      <c r="FQ58" s="46"/>
      <c r="FR58" s="46">
        <f t="shared" si="118"/>
        <v>0</v>
      </c>
      <c r="FS58" s="46"/>
      <c r="FT58" s="46"/>
      <c r="FU58" s="46"/>
      <c r="FV58" s="46"/>
      <c r="FW58" s="46"/>
      <c r="FX58" s="46"/>
      <c r="FY58" s="46"/>
      <c r="FZ58" s="46"/>
      <c r="GA58" s="46"/>
      <c r="GB58" s="46">
        <f t="shared" si="128"/>
        <v>0</v>
      </c>
      <c r="GC58" s="46"/>
      <c r="GD58" s="46"/>
      <c r="GE58" s="46">
        <f t="shared" si="131"/>
        <v>0</v>
      </c>
      <c r="GF58" s="46"/>
      <c r="GG58" s="46"/>
      <c r="GH58" s="46"/>
      <c r="GI58" s="46"/>
      <c r="GJ58" s="46"/>
      <c r="GK58" s="46"/>
      <c r="GM58" s="58"/>
      <c r="GN58" s="58"/>
    </row>
    <row r="59" spans="1:196">
      <c r="A59" s="3">
        <v>55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EO59" s="32"/>
      <c r="EP59" s="32"/>
      <c r="EQ59" s="32"/>
      <c r="ER59" s="32"/>
      <c r="ES59" s="33"/>
      <c r="ET59" s="33"/>
      <c r="EU59" s="33"/>
      <c r="EV59" s="33"/>
      <c r="EW59" s="33"/>
      <c r="EX59" s="34"/>
      <c r="EY59" s="34"/>
      <c r="EZ59" s="34"/>
      <c r="FA59" s="34"/>
      <c r="FB59" s="34"/>
      <c r="FC59" s="34"/>
      <c r="FD59" s="34"/>
      <c r="FE59" s="34"/>
      <c r="FF59" s="35"/>
      <c r="FG59" s="35"/>
      <c r="FH59" s="3"/>
      <c r="FI59" s="3"/>
      <c r="FJ59" s="3"/>
      <c r="FK59" s="3"/>
      <c r="FL59" s="24"/>
      <c r="FM59" s="3"/>
      <c r="FN59" s="46"/>
      <c r="FO59" s="46"/>
      <c r="FP59" s="46"/>
      <c r="FQ59" s="46"/>
      <c r="FR59" s="46"/>
      <c r="FS59" s="46"/>
      <c r="FT59" s="46"/>
      <c r="FU59" s="46"/>
      <c r="FV59" s="46"/>
      <c r="FW59" s="46"/>
      <c r="FX59" s="46"/>
      <c r="FY59" s="46"/>
      <c r="FZ59" s="46"/>
      <c r="GA59" s="46"/>
      <c r="GB59" s="46"/>
      <c r="GC59" s="46"/>
      <c r="GD59" s="46"/>
      <c r="GE59" s="46"/>
      <c r="GF59" s="46"/>
      <c r="GG59" s="46"/>
      <c r="GH59" s="46"/>
      <c r="GI59" s="46"/>
      <c r="GJ59" s="46"/>
      <c r="GK59" s="46"/>
      <c r="GM59" s="58"/>
      <c r="GN59" s="58"/>
    </row>
    <row r="60" spans="1:196">
      <c r="A60" s="3">
        <v>56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EO60" s="32"/>
      <c r="EP60" s="32"/>
      <c r="EQ60" s="32"/>
      <c r="ER60" s="32"/>
      <c r="ES60" s="33"/>
      <c r="ET60" s="33"/>
      <c r="EU60" s="33"/>
      <c r="EV60" s="33"/>
      <c r="EW60" s="33"/>
      <c r="EX60" s="34"/>
      <c r="EY60" s="34"/>
      <c r="EZ60" s="34"/>
      <c r="FA60" s="34"/>
      <c r="FB60" s="34"/>
      <c r="FC60" s="34"/>
      <c r="FD60" s="34"/>
      <c r="FE60" s="34"/>
      <c r="FF60" s="35"/>
      <c r="FG60" s="35"/>
      <c r="FH60" s="3"/>
      <c r="FI60" s="3"/>
      <c r="FJ60" s="3"/>
      <c r="FK60" s="3"/>
      <c r="FL60" s="24"/>
      <c r="FM60" s="3"/>
      <c r="FN60" s="46"/>
      <c r="FO60" s="46"/>
      <c r="FP60" s="46"/>
      <c r="FQ60" s="46"/>
      <c r="FR60" s="46"/>
      <c r="FS60" s="46"/>
      <c r="FT60" s="46"/>
      <c r="FU60" s="46"/>
      <c r="FV60" s="46"/>
      <c r="FW60" s="46"/>
      <c r="FX60" s="46"/>
      <c r="FY60" s="46"/>
      <c r="FZ60" s="46"/>
      <c r="GA60" s="46"/>
      <c r="GB60" s="46"/>
      <c r="GC60" s="46"/>
      <c r="GD60" s="46"/>
      <c r="GE60" s="46"/>
      <c r="GF60" s="46"/>
      <c r="GG60" s="46"/>
      <c r="GH60" s="46"/>
      <c r="GI60" s="46"/>
      <c r="GJ60" s="46"/>
      <c r="GK60" s="46"/>
      <c r="GM60" s="58"/>
      <c r="GN60" s="58"/>
    </row>
    <row r="61" spans="1:196">
      <c r="A61" s="3">
        <v>57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EO61" s="32"/>
      <c r="EP61" s="32"/>
      <c r="EQ61" s="32"/>
      <c r="ER61" s="32"/>
      <c r="ES61" s="33"/>
      <c r="ET61" s="33"/>
      <c r="EU61" s="33"/>
      <c r="EV61" s="33"/>
      <c r="EW61" s="33"/>
      <c r="EX61" s="34"/>
      <c r="EY61" s="34"/>
      <c r="EZ61" s="34"/>
      <c r="FA61" s="34"/>
      <c r="FB61" s="34"/>
      <c r="FC61" s="34"/>
      <c r="FD61" s="34"/>
      <c r="FE61" s="34"/>
      <c r="FF61" s="35"/>
      <c r="FG61" s="35"/>
      <c r="FH61" s="3"/>
      <c r="FI61" s="3"/>
      <c r="FJ61" s="3"/>
      <c r="FK61" s="3"/>
      <c r="FL61" s="24"/>
      <c r="FM61" s="3"/>
      <c r="FN61" s="46"/>
      <c r="FO61" s="46"/>
      <c r="FP61" s="46"/>
      <c r="FQ61" s="46"/>
      <c r="FR61" s="46"/>
      <c r="FS61" s="46"/>
      <c r="FT61" s="46"/>
      <c r="FU61" s="46"/>
      <c r="FV61" s="46"/>
      <c r="FW61" s="46"/>
      <c r="FX61" s="46"/>
      <c r="FY61" s="46"/>
      <c r="FZ61" s="46"/>
      <c r="GA61" s="46"/>
      <c r="GB61" s="46"/>
      <c r="GC61" s="46"/>
      <c r="GD61" s="46"/>
      <c r="GE61" s="46"/>
      <c r="GF61" s="46"/>
      <c r="GG61" s="46"/>
      <c r="GH61" s="46"/>
      <c r="GI61" s="46"/>
      <c r="GJ61" s="46"/>
      <c r="GK61" s="46"/>
      <c r="GM61" s="58"/>
      <c r="GN61" s="58"/>
    </row>
    <row r="62" spans="1:196">
      <c r="A62" s="3">
        <v>58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EO62" s="32"/>
      <c r="EP62" s="32"/>
      <c r="EQ62" s="32"/>
      <c r="ER62" s="32"/>
      <c r="ES62" s="33"/>
      <c r="ET62" s="33"/>
      <c r="EU62" s="33"/>
      <c r="EV62" s="33"/>
      <c r="EW62" s="33"/>
      <c r="EX62" s="34"/>
      <c r="EY62" s="34"/>
      <c r="EZ62" s="34"/>
      <c r="FA62" s="34"/>
      <c r="FB62" s="34"/>
      <c r="FC62" s="34"/>
      <c r="FD62" s="34"/>
      <c r="FE62" s="34"/>
      <c r="FF62" s="35"/>
      <c r="FG62" s="35"/>
      <c r="FH62" s="3"/>
      <c r="FI62" s="3"/>
      <c r="FJ62" s="3"/>
      <c r="FK62" s="3"/>
      <c r="FL62" s="24"/>
      <c r="FM62" s="3"/>
      <c r="FN62" s="46"/>
      <c r="FO62" s="46"/>
      <c r="FP62" s="46"/>
      <c r="FQ62" s="46"/>
      <c r="FR62" s="46"/>
      <c r="FS62" s="46"/>
      <c r="FT62" s="46"/>
      <c r="FU62" s="46"/>
      <c r="FV62" s="46"/>
      <c r="FW62" s="46"/>
      <c r="FX62" s="46"/>
      <c r="FY62" s="46"/>
      <c r="FZ62" s="46"/>
      <c r="GA62" s="46"/>
      <c r="GB62" s="46"/>
      <c r="GC62" s="46"/>
      <c r="GD62" s="46"/>
      <c r="GE62" s="46"/>
      <c r="GF62" s="46"/>
      <c r="GG62" s="46"/>
      <c r="GH62" s="46"/>
      <c r="GI62" s="46"/>
      <c r="GJ62" s="46"/>
      <c r="GK62" s="46"/>
      <c r="GM62" s="58"/>
      <c r="GN62" s="58"/>
    </row>
    <row r="63" spans="1:196">
      <c r="A63" s="3">
        <v>59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EO63" s="32"/>
      <c r="EP63" s="32"/>
      <c r="EQ63" s="32"/>
      <c r="ER63" s="32"/>
      <c r="ES63" s="33"/>
      <c r="ET63" s="33"/>
      <c r="EU63" s="33"/>
      <c r="EV63" s="33"/>
      <c r="EW63" s="33"/>
      <c r="EX63" s="34"/>
      <c r="EY63" s="34"/>
      <c r="EZ63" s="34"/>
      <c r="FA63" s="34"/>
      <c r="FB63" s="34"/>
      <c r="FC63" s="34"/>
      <c r="FD63" s="34"/>
      <c r="FE63" s="34"/>
      <c r="FF63" s="35"/>
      <c r="FG63" s="35"/>
      <c r="FH63" s="3"/>
      <c r="FI63" s="3"/>
      <c r="FJ63" s="3"/>
      <c r="FK63" s="3"/>
      <c r="FL63" s="24"/>
      <c r="FM63" s="3"/>
      <c r="FN63" s="46"/>
      <c r="FO63" s="46"/>
      <c r="FP63" s="46"/>
      <c r="FQ63" s="46"/>
      <c r="FR63" s="46"/>
      <c r="FS63" s="46"/>
      <c r="FT63" s="46"/>
      <c r="FU63" s="46"/>
      <c r="FV63" s="46"/>
      <c r="FW63" s="46"/>
      <c r="FX63" s="46"/>
      <c r="FY63" s="46"/>
      <c r="FZ63" s="46"/>
      <c r="GA63" s="46"/>
      <c r="GB63" s="46"/>
      <c r="GC63" s="46"/>
      <c r="GD63" s="46"/>
      <c r="GE63" s="46"/>
      <c r="GF63" s="46"/>
      <c r="GG63" s="46"/>
      <c r="GH63" s="46"/>
      <c r="GI63" s="46"/>
      <c r="GJ63" s="46"/>
      <c r="GK63" s="46"/>
      <c r="GM63" s="58"/>
      <c r="GN63" s="58"/>
    </row>
    <row r="64" spans="1:196">
      <c r="A64" s="3">
        <v>60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EO64" s="32"/>
      <c r="EP64" s="32"/>
      <c r="EQ64" s="32"/>
      <c r="ER64" s="32"/>
      <c r="ES64" s="33"/>
      <c r="ET64" s="33"/>
      <c r="EU64" s="33"/>
      <c r="EV64" s="33"/>
      <c r="EW64" s="33"/>
      <c r="EX64" s="34"/>
      <c r="EY64" s="34"/>
      <c r="EZ64" s="34"/>
      <c r="FA64" s="34"/>
      <c r="FB64" s="34"/>
      <c r="FC64" s="34"/>
      <c r="FD64" s="34"/>
      <c r="FE64" s="34"/>
      <c r="FF64" s="35"/>
      <c r="FG64" s="35"/>
      <c r="FH64" s="3"/>
      <c r="FI64" s="3"/>
      <c r="FJ64" s="3"/>
      <c r="FK64" s="3"/>
      <c r="FL64" s="24"/>
      <c r="FM64" s="3"/>
      <c r="FN64" s="46"/>
      <c r="FO64" s="46"/>
      <c r="FP64" s="46"/>
      <c r="FQ64" s="46"/>
      <c r="FR64" s="46"/>
      <c r="FS64" s="46"/>
      <c r="FT64" s="46"/>
      <c r="FU64" s="46"/>
      <c r="FV64" s="46"/>
      <c r="FW64" s="46"/>
      <c r="FX64" s="46"/>
      <c r="FY64" s="46"/>
      <c r="FZ64" s="46"/>
      <c r="GA64" s="46"/>
      <c r="GB64" s="46"/>
      <c r="GC64" s="46"/>
      <c r="GD64" s="46"/>
      <c r="GE64" s="46"/>
      <c r="GF64" s="46"/>
      <c r="GG64" s="46"/>
      <c r="GH64" s="46"/>
      <c r="GI64" s="46"/>
      <c r="GJ64" s="46"/>
      <c r="GK64" s="46"/>
      <c r="GM64" s="58"/>
      <c r="GN64" s="58"/>
    </row>
    <row r="65" spans="1:196">
      <c r="A65" s="3">
        <v>61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EO65" s="32"/>
      <c r="EP65" s="32"/>
      <c r="EQ65" s="32"/>
      <c r="ER65" s="32"/>
      <c r="ES65" s="33"/>
      <c r="ET65" s="33"/>
      <c r="EU65" s="33"/>
      <c r="EV65" s="33"/>
      <c r="EW65" s="33"/>
      <c r="EX65" s="34"/>
      <c r="EY65" s="34"/>
      <c r="EZ65" s="34"/>
      <c r="FA65" s="34"/>
      <c r="FB65" s="34"/>
      <c r="FC65" s="34"/>
      <c r="FD65" s="34"/>
      <c r="FE65" s="34"/>
      <c r="FF65" s="35"/>
      <c r="FG65" s="35"/>
      <c r="FH65" s="3"/>
      <c r="FI65" s="3"/>
      <c r="FJ65" s="3"/>
      <c r="FK65" s="3"/>
      <c r="FL65" s="24"/>
      <c r="FM65" s="3"/>
      <c r="FN65" s="46"/>
      <c r="FO65" s="46"/>
      <c r="FP65" s="46"/>
      <c r="FQ65" s="46"/>
      <c r="FR65" s="46"/>
      <c r="FS65" s="46"/>
      <c r="FT65" s="46"/>
      <c r="FU65" s="46"/>
      <c r="FV65" s="46"/>
      <c r="FW65" s="46"/>
      <c r="FX65" s="46"/>
      <c r="FY65" s="46"/>
      <c r="FZ65" s="46"/>
      <c r="GA65" s="46"/>
      <c r="GB65" s="46"/>
      <c r="GC65" s="46"/>
      <c r="GD65" s="46"/>
      <c r="GE65" s="46"/>
      <c r="GF65" s="46"/>
      <c r="GG65" s="46"/>
      <c r="GH65" s="46"/>
      <c r="GI65" s="46"/>
      <c r="GJ65" s="46"/>
      <c r="GK65" s="46"/>
      <c r="GM65" s="58"/>
      <c r="GN65" s="58"/>
    </row>
    <row r="66" spans="1:196">
      <c r="A66" s="3">
        <v>62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EO66" s="32"/>
      <c r="EP66" s="32"/>
      <c r="EQ66" s="32"/>
      <c r="ER66" s="32"/>
      <c r="ES66" s="33"/>
      <c r="ET66" s="33"/>
      <c r="EU66" s="33"/>
      <c r="EV66" s="33"/>
      <c r="EW66" s="33"/>
      <c r="EX66" s="34"/>
      <c r="EY66" s="34"/>
      <c r="EZ66" s="34"/>
      <c r="FA66" s="34"/>
      <c r="FB66" s="34"/>
      <c r="FC66" s="34"/>
      <c r="FD66" s="34"/>
      <c r="FE66" s="34"/>
      <c r="FF66" s="35"/>
      <c r="FG66" s="35"/>
      <c r="FH66" s="3"/>
      <c r="FI66" s="3"/>
      <c r="FJ66" s="3"/>
      <c r="FK66" s="3"/>
      <c r="FL66" s="24"/>
      <c r="FM66" s="3"/>
      <c r="FN66" s="46"/>
      <c r="FO66" s="46"/>
      <c r="FP66" s="46"/>
      <c r="FQ66" s="46"/>
      <c r="FR66" s="46"/>
      <c r="FS66" s="46"/>
      <c r="FT66" s="46"/>
      <c r="FU66" s="46"/>
      <c r="FV66" s="46"/>
      <c r="FW66" s="46"/>
      <c r="FX66" s="46"/>
      <c r="FY66" s="46"/>
      <c r="FZ66" s="46"/>
      <c r="GA66" s="46"/>
      <c r="GB66" s="46"/>
      <c r="GC66" s="46"/>
      <c r="GD66" s="46"/>
      <c r="GE66" s="46"/>
      <c r="GF66" s="46"/>
      <c r="GG66" s="46"/>
      <c r="GH66" s="46"/>
      <c r="GI66" s="46"/>
      <c r="GJ66" s="46"/>
      <c r="GK66" s="46"/>
      <c r="GM66" s="58"/>
      <c r="GN66" s="58"/>
    </row>
    <row r="67" spans="1:196">
      <c r="A67" s="3">
        <v>63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EO67" s="32"/>
      <c r="EP67" s="32"/>
      <c r="EQ67" s="32"/>
      <c r="ER67" s="32"/>
      <c r="ES67" s="33"/>
      <c r="ET67" s="33"/>
      <c r="EU67" s="33"/>
      <c r="EV67" s="33"/>
      <c r="EW67" s="33"/>
      <c r="EX67" s="34"/>
      <c r="EY67" s="34"/>
      <c r="EZ67" s="34"/>
      <c r="FA67" s="34"/>
      <c r="FB67" s="34"/>
      <c r="FC67" s="34"/>
      <c r="FD67" s="34"/>
      <c r="FE67" s="34"/>
      <c r="FF67" s="35"/>
      <c r="FG67" s="35"/>
      <c r="FH67" s="3"/>
      <c r="FI67" s="3"/>
      <c r="FJ67" s="3"/>
      <c r="FK67" s="3"/>
      <c r="FL67" s="24"/>
      <c r="FM67" s="3"/>
      <c r="FN67" s="46"/>
      <c r="FO67" s="46"/>
      <c r="FP67" s="46"/>
      <c r="FQ67" s="46"/>
      <c r="FR67" s="46"/>
      <c r="FS67" s="46"/>
      <c r="FT67" s="46"/>
      <c r="FU67" s="46"/>
      <c r="FV67" s="46"/>
      <c r="FW67" s="46"/>
      <c r="FX67" s="46"/>
      <c r="FY67" s="46"/>
      <c r="FZ67" s="46"/>
      <c r="GA67" s="46"/>
      <c r="GB67" s="46"/>
      <c r="GC67" s="46"/>
      <c r="GD67" s="46"/>
      <c r="GE67" s="46"/>
      <c r="GF67" s="46"/>
      <c r="GG67" s="46"/>
      <c r="GH67" s="46"/>
      <c r="GI67" s="46"/>
      <c r="GJ67" s="46"/>
      <c r="GK67" s="46"/>
      <c r="GM67" s="58"/>
      <c r="GN67" s="58"/>
    </row>
    <row r="68" spans="1:196">
      <c r="A68" s="3">
        <v>64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EO68" s="32"/>
      <c r="EP68" s="32"/>
      <c r="EQ68" s="32"/>
      <c r="ER68" s="32"/>
      <c r="ES68" s="33"/>
      <c r="ET68" s="33"/>
      <c r="EU68" s="33"/>
      <c r="EV68" s="33"/>
      <c r="EW68" s="33"/>
      <c r="EX68" s="34"/>
      <c r="EY68" s="34"/>
      <c r="EZ68" s="34"/>
      <c r="FA68" s="34"/>
      <c r="FB68" s="34"/>
      <c r="FC68" s="34"/>
      <c r="FD68" s="34"/>
      <c r="FE68" s="34"/>
      <c r="FF68" s="35"/>
      <c r="FG68" s="35"/>
      <c r="FH68" s="3"/>
      <c r="FI68" s="3"/>
      <c r="FJ68" s="3"/>
      <c r="FK68" s="3"/>
      <c r="FL68" s="24"/>
      <c r="FM68" s="3"/>
      <c r="FN68" s="46"/>
      <c r="FO68" s="46"/>
      <c r="FP68" s="46"/>
      <c r="FQ68" s="46"/>
      <c r="FR68" s="46"/>
      <c r="FS68" s="46"/>
      <c r="FT68" s="46"/>
      <c r="FU68" s="46"/>
      <c r="FV68" s="46"/>
      <c r="FW68" s="46"/>
      <c r="FX68" s="46"/>
      <c r="FY68" s="46"/>
      <c r="FZ68" s="46"/>
      <c r="GA68" s="46"/>
      <c r="GB68" s="46"/>
      <c r="GC68" s="46"/>
      <c r="GD68" s="46"/>
      <c r="GE68" s="46"/>
      <c r="GF68" s="46"/>
      <c r="GG68" s="46"/>
      <c r="GH68" s="46"/>
      <c r="GI68" s="46"/>
      <c r="GJ68" s="46"/>
      <c r="GK68" s="46"/>
      <c r="GM68" s="58"/>
      <c r="GN68" s="58"/>
    </row>
    <row r="69" spans="1:196">
      <c r="A69" s="3">
        <v>65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EO69" s="32"/>
      <c r="EP69" s="32"/>
      <c r="EQ69" s="32"/>
      <c r="ER69" s="32"/>
      <c r="ES69" s="33"/>
      <c r="ET69" s="33"/>
      <c r="EU69" s="33"/>
      <c r="EV69" s="33"/>
      <c r="EW69" s="33"/>
      <c r="EX69" s="34"/>
      <c r="EY69" s="34"/>
      <c r="EZ69" s="34"/>
      <c r="FA69" s="34"/>
      <c r="FB69" s="34"/>
      <c r="FC69" s="34"/>
      <c r="FD69" s="34"/>
      <c r="FE69" s="34"/>
      <c r="FF69" s="35"/>
      <c r="FG69" s="35"/>
      <c r="FH69" s="3"/>
      <c r="FI69" s="3"/>
      <c r="FJ69" s="3"/>
      <c r="FK69" s="3"/>
      <c r="FL69" s="24"/>
      <c r="FM69" s="3"/>
      <c r="FN69" s="46"/>
      <c r="FO69" s="46"/>
      <c r="FP69" s="46"/>
      <c r="FQ69" s="46"/>
      <c r="FR69" s="46"/>
      <c r="FS69" s="46"/>
      <c r="FT69" s="46"/>
      <c r="FU69" s="46"/>
      <c r="FV69" s="46"/>
      <c r="FW69" s="46"/>
      <c r="FX69" s="46"/>
      <c r="FY69" s="46"/>
      <c r="FZ69" s="46"/>
      <c r="GA69" s="46"/>
      <c r="GB69" s="46"/>
      <c r="GC69" s="46"/>
      <c r="GD69" s="46"/>
      <c r="GE69" s="46"/>
      <c r="GF69" s="46"/>
      <c r="GG69" s="46"/>
      <c r="GH69" s="46"/>
      <c r="GI69" s="46"/>
      <c r="GJ69" s="46"/>
      <c r="GK69" s="46"/>
      <c r="GM69" s="58"/>
      <c r="GN69" s="58"/>
    </row>
    <row r="70" spans="1:196">
      <c r="A70" s="3">
        <v>66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EO70" s="32"/>
      <c r="EP70" s="32"/>
      <c r="EQ70" s="32"/>
      <c r="ER70" s="32"/>
      <c r="ES70" s="33"/>
      <c r="ET70" s="33"/>
      <c r="EU70" s="33"/>
      <c r="EV70" s="33"/>
      <c r="EW70" s="33"/>
      <c r="EX70" s="34"/>
      <c r="EY70" s="34"/>
      <c r="EZ70" s="34"/>
      <c r="FA70" s="34"/>
      <c r="FB70" s="34"/>
      <c r="FC70" s="34"/>
      <c r="FD70" s="34"/>
      <c r="FE70" s="34"/>
      <c r="FF70" s="35"/>
      <c r="FG70" s="35"/>
      <c r="FH70" s="3"/>
      <c r="FI70" s="3"/>
      <c r="FJ70" s="3"/>
      <c r="FK70" s="3"/>
      <c r="FL70" s="24"/>
      <c r="FM70" s="3"/>
      <c r="FN70" s="46"/>
      <c r="FO70" s="46"/>
      <c r="FP70" s="46"/>
      <c r="FQ70" s="46"/>
      <c r="FR70" s="46"/>
      <c r="FS70" s="46"/>
      <c r="FT70" s="46"/>
      <c r="FU70" s="46"/>
      <c r="FV70" s="46"/>
      <c r="FW70" s="46"/>
      <c r="FX70" s="46"/>
      <c r="FY70" s="46"/>
      <c r="FZ70" s="46"/>
      <c r="GA70" s="46"/>
      <c r="GB70" s="46"/>
      <c r="GC70" s="46"/>
      <c r="GD70" s="46"/>
      <c r="GE70" s="46"/>
      <c r="GF70" s="46"/>
      <c r="GG70" s="46"/>
      <c r="GH70" s="46"/>
      <c r="GI70" s="46"/>
      <c r="GJ70" s="46"/>
      <c r="GK70" s="46"/>
      <c r="GM70" s="58"/>
      <c r="GN70" s="58"/>
    </row>
    <row r="71" spans="1:196">
      <c r="A71" s="3">
        <v>67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EO71" s="32"/>
      <c r="EP71" s="32"/>
      <c r="EQ71" s="32"/>
      <c r="ER71" s="32"/>
      <c r="ES71" s="33"/>
      <c r="ET71" s="33"/>
      <c r="EU71" s="33"/>
      <c r="EV71" s="33"/>
      <c r="EW71" s="33"/>
      <c r="EX71" s="34"/>
      <c r="EY71" s="34"/>
      <c r="EZ71" s="34"/>
      <c r="FA71" s="34"/>
      <c r="FB71" s="34"/>
      <c r="FC71" s="34"/>
      <c r="FD71" s="34"/>
      <c r="FE71" s="34"/>
      <c r="FF71" s="35"/>
      <c r="FG71" s="35"/>
      <c r="FH71" s="3"/>
      <c r="FI71" s="3"/>
      <c r="FJ71" s="3"/>
      <c r="FK71" s="3"/>
      <c r="FL71" s="24"/>
      <c r="FM71" s="3"/>
      <c r="FN71" s="46"/>
      <c r="FO71" s="46"/>
      <c r="FP71" s="46"/>
      <c r="FQ71" s="46"/>
      <c r="FR71" s="46"/>
      <c r="FS71" s="46"/>
      <c r="FT71" s="46"/>
      <c r="FU71" s="46"/>
      <c r="FV71" s="46"/>
      <c r="FW71" s="46"/>
      <c r="FX71" s="46"/>
      <c r="FY71" s="46"/>
      <c r="FZ71" s="46"/>
      <c r="GA71" s="46"/>
      <c r="GB71" s="46"/>
      <c r="GC71" s="46"/>
      <c r="GD71" s="46"/>
      <c r="GE71" s="46"/>
      <c r="GF71" s="46"/>
      <c r="GG71" s="46"/>
      <c r="GH71" s="46"/>
      <c r="GI71" s="46"/>
      <c r="GJ71" s="46"/>
      <c r="GK71" s="46"/>
      <c r="GM71" s="58"/>
      <c r="GN71" s="58"/>
    </row>
    <row r="72" spans="1:196">
      <c r="A72" s="3">
        <v>68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EO72" s="32"/>
      <c r="EP72" s="32"/>
      <c r="EQ72" s="32"/>
      <c r="ER72" s="32"/>
      <c r="ES72" s="33"/>
      <c r="ET72" s="33"/>
      <c r="EU72" s="33"/>
      <c r="EV72" s="33"/>
      <c r="EW72" s="33"/>
      <c r="EX72" s="34"/>
      <c r="EY72" s="34"/>
      <c r="EZ72" s="34"/>
      <c r="FA72" s="34"/>
      <c r="FB72" s="34"/>
      <c r="FC72" s="34"/>
      <c r="FD72" s="34"/>
      <c r="FE72" s="34"/>
      <c r="FF72" s="35"/>
      <c r="FG72" s="35"/>
      <c r="FH72" s="3"/>
      <c r="FI72" s="3"/>
      <c r="FJ72" s="3"/>
      <c r="FK72" s="3"/>
      <c r="FL72" s="24"/>
      <c r="FM72" s="3"/>
      <c r="FN72" s="46"/>
      <c r="FO72" s="46"/>
      <c r="FP72" s="46"/>
      <c r="FQ72" s="46"/>
      <c r="FR72" s="46"/>
      <c r="FS72" s="46"/>
      <c r="FT72" s="46"/>
      <c r="FU72" s="46"/>
      <c r="FV72" s="46"/>
      <c r="FW72" s="46"/>
      <c r="FX72" s="46"/>
      <c r="FY72" s="46"/>
      <c r="FZ72" s="46"/>
      <c r="GA72" s="46"/>
      <c r="GB72" s="46"/>
      <c r="GC72" s="46"/>
      <c r="GD72" s="46"/>
      <c r="GE72" s="46"/>
      <c r="GF72" s="46"/>
      <c r="GG72" s="46"/>
      <c r="GH72" s="46"/>
      <c r="GI72" s="46"/>
      <c r="GJ72" s="46"/>
      <c r="GK72" s="46"/>
      <c r="GM72" s="58"/>
      <c r="GN72" s="58"/>
    </row>
    <row r="73" spans="1:196">
      <c r="A73" s="3">
        <v>69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EO73" s="32"/>
      <c r="EP73" s="32"/>
      <c r="EQ73" s="32"/>
      <c r="ER73" s="32"/>
      <c r="ES73" s="33"/>
      <c r="ET73" s="33"/>
      <c r="EU73" s="33"/>
      <c r="EV73" s="33"/>
      <c r="EW73" s="33"/>
      <c r="EX73" s="34"/>
      <c r="EY73" s="34"/>
      <c r="EZ73" s="34"/>
      <c r="FA73" s="34"/>
      <c r="FB73" s="34"/>
      <c r="FC73" s="34"/>
      <c r="FD73" s="34"/>
      <c r="FE73" s="34"/>
      <c r="FF73" s="35"/>
      <c r="FG73" s="35"/>
      <c r="FH73" s="3"/>
      <c r="FI73" s="3"/>
      <c r="FJ73" s="3"/>
      <c r="FK73" s="3"/>
      <c r="FL73" s="24"/>
      <c r="FM73" s="3"/>
      <c r="FN73" s="46"/>
      <c r="FO73" s="46"/>
      <c r="FP73" s="46"/>
      <c r="FQ73" s="46"/>
      <c r="FR73" s="46"/>
      <c r="FS73" s="46"/>
      <c r="FT73" s="46"/>
      <c r="FU73" s="46"/>
      <c r="FV73" s="46"/>
      <c r="FW73" s="46"/>
      <c r="FX73" s="46"/>
      <c r="FY73" s="46"/>
      <c r="FZ73" s="46"/>
      <c r="GA73" s="46"/>
      <c r="GB73" s="46"/>
      <c r="GC73" s="46"/>
      <c r="GD73" s="46"/>
      <c r="GE73" s="46"/>
      <c r="GF73" s="46"/>
      <c r="GG73" s="46"/>
      <c r="GH73" s="46"/>
      <c r="GI73" s="46"/>
      <c r="GJ73" s="46"/>
      <c r="GK73" s="46"/>
      <c r="GM73" s="58"/>
      <c r="GN73" s="58"/>
    </row>
    <row r="74" spans="1:196">
      <c r="A74" s="3">
        <v>70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EO74" s="32"/>
      <c r="EP74" s="32"/>
      <c r="EQ74" s="32"/>
      <c r="ER74" s="32"/>
      <c r="ES74" s="33"/>
      <c r="ET74" s="33"/>
      <c r="EU74" s="33"/>
      <c r="EV74" s="33"/>
      <c r="EW74" s="33"/>
      <c r="EX74" s="34"/>
      <c r="EY74" s="34"/>
      <c r="EZ74" s="34"/>
      <c r="FA74" s="34"/>
      <c r="FB74" s="34"/>
      <c r="FC74" s="34"/>
      <c r="FD74" s="34"/>
      <c r="FE74" s="34"/>
      <c r="FF74" s="35"/>
      <c r="FG74" s="35"/>
      <c r="FH74" s="3"/>
      <c r="FI74" s="3"/>
      <c r="FJ74" s="3"/>
      <c r="FK74" s="3"/>
      <c r="FL74" s="24"/>
      <c r="FM74" s="3"/>
      <c r="FN74" s="46"/>
      <c r="FO74" s="46"/>
      <c r="FP74" s="46"/>
      <c r="FQ74" s="46"/>
      <c r="FR74" s="46"/>
      <c r="FS74" s="46"/>
      <c r="FT74" s="46"/>
      <c r="FU74" s="46"/>
      <c r="FV74" s="46"/>
      <c r="FW74" s="46"/>
      <c r="FX74" s="46"/>
      <c r="FY74" s="46"/>
      <c r="FZ74" s="46"/>
      <c r="GA74" s="46"/>
      <c r="GB74" s="46"/>
      <c r="GC74" s="46"/>
      <c r="GD74" s="46"/>
      <c r="GE74" s="46"/>
      <c r="GF74" s="46"/>
      <c r="GG74" s="46"/>
      <c r="GH74" s="46"/>
      <c r="GI74" s="46"/>
      <c r="GJ74" s="46"/>
      <c r="GK74" s="46"/>
      <c r="GM74" s="58"/>
      <c r="GN74" s="58"/>
    </row>
    <row r="75" spans="1:196">
      <c r="A75" s="3">
        <v>71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EO75" s="32"/>
      <c r="EP75" s="32"/>
      <c r="EQ75" s="32"/>
      <c r="ER75" s="32"/>
      <c r="ES75" s="33"/>
      <c r="ET75" s="33"/>
      <c r="EU75" s="33"/>
      <c r="EV75" s="33"/>
      <c r="EW75" s="33"/>
      <c r="EX75" s="34"/>
      <c r="EY75" s="34"/>
      <c r="EZ75" s="34"/>
      <c r="FA75" s="34"/>
      <c r="FB75" s="34"/>
      <c r="FC75" s="34"/>
      <c r="FD75" s="34"/>
      <c r="FE75" s="34"/>
      <c r="FF75" s="35"/>
      <c r="FG75" s="35"/>
      <c r="FH75" s="3"/>
      <c r="FI75" s="3"/>
      <c r="FJ75" s="3"/>
      <c r="FK75" s="3"/>
      <c r="FL75" s="24"/>
      <c r="FM75" s="3"/>
      <c r="FN75" s="46"/>
      <c r="FO75" s="46"/>
      <c r="FP75" s="46"/>
      <c r="FQ75" s="46"/>
      <c r="FR75" s="46"/>
      <c r="FS75" s="46"/>
      <c r="FT75" s="46"/>
      <c r="FU75" s="46"/>
      <c r="FV75" s="46"/>
      <c r="FW75" s="46"/>
      <c r="FX75" s="46"/>
      <c r="FY75" s="46"/>
      <c r="FZ75" s="46"/>
      <c r="GA75" s="46"/>
      <c r="GB75" s="46"/>
      <c r="GC75" s="46"/>
      <c r="GD75" s="46"/>
      <c r="GE75" s="46"/>
      <c r="GF75" s="46"/>
      <c r="GG75" s="46"/>
      <c r="GH75" s="46"/>
      <c r="GI75" s="46"/>
      <c r="GJ75" s="46"/>
      <c r="GK75" s="46"/>
      <c r="GM75" s="58"/>
      <c r="GN75" s="58"/>
    </row>
    <row r="76" spans="1:196">
      <c r="A76" s="3">
        <v>72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EO76" s="32"/>
      <c r="EP76" s="32"/>
      <c r="EQ76" s="32"/>
      <c r="ER76" s="32"/>
      <c r="ES76" s="33"/>
      <c r="ET76" s="33"/>
      <c r="EU76" s="33"/>
      <c r="EV76" s="33"/>
      <c r="EW76" s="33"/>
      <c r="EX76" s="34"/>
      <c r="EY76" s="34"/>
      <c r="EZ76" s="34"/>
      <c r="FA76" s="34"/>
      <c r="FB76" s="34"/>
      <c r="FC76" s="34"/>
      <c r="FD76" s="34"/>
      <c r="FE76" s="34"/>
      <c r="FF76" s="35"/>
      <c r="FG76" s="35"/>
      <c r="FH76" s="3"/>
      <c r="FI76" s="3"/>
      <c r="FJ76" s="3"/>
      <c r="FK76" s="3"/>
      <c r="FL76" s="24"/>
      <c r="FM76" s="3"/>
      <c r="FN76" s="46"/>
      <c r="FO76" s="46"/>
      <c r="FP76" s="46"/>
      <c r="FQ76" s="46"/>
      <c r="FR76" s="46"/>
      <c r="FS76" s="46"/>
      <c r="FT76" s="46"/>
      <c r="FU76" s="46"/>
      <c r="FV76" s="46"/>
      <c r="FW76" s="46"/>
      <c r="FX76" s="46"/>
      <c r="FY76" s="46"/>
      <c r="FZ76" s="46"/>
      <c r="GA76" s="46"/>
      <c r="GB76" s="46"/>
      <c r="GC76" s="46"/>
      <c r="GD76" s="46"/>
      <c r="GE76" s="46"/>
      <c r="GF76" s="46"/>
      <c r="GG76" s="46"/>
      <c r="GH76" s="46"/>
      <c r="GI76" s="46"/>
      <c r="GJ76" s="46"/>
      <c r="GK76" s="46"/>
      <c r="GM76" s="58"/>
      <c r="GN76" s="58"/>
    </row>
    <row r="77" spans="1:196">
      <c r="A77" s="3">
        <v>73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EO77" s="32"/>
      <c r="EP77" s="32"/>
      <c r="EQ77" s="32"/>
      <c r="ER77" s="32"/>
      <c r="ES77" s="33"/>
      <c r="ET77" s="33"/>
      <c r="EU77" s="33"/>
      <c r="EV77" s="33"/>
      <c r="EW77" s="33"/>
      <c r="EX77" s="34"/>
      <c r="EY77" s="34"/>
      <c r="EZ77" s="34"/>
      <c r="FA77" s="34"/>
      <c r="FB77" s="34"/>
      <c r="FC77" s="34"/>
      <c r="FD77" s="34"/>
      <c r="FE77" s="34"/>
      <c r="FF77" s="35"/>
      <c r="FG77" s="35"/>
      <c r="FH77" s="3"/>
      <c r="FI77" s="3"/>
      <c r="FJ77" s="3"/>
      <c r="FK77" s="3"/>
      <c r="FL77" s="24"/>
      <c r="FM77" s="3"/>
      <c r="FN77" s="46"/>
      <c r="FO77" s="46"/>
      <c r="FP77" s="46"/>
      <c r="FQ77" s="46"/>
      <c r="FR77" s="46"/>
      <c r="FS77" s="46"/>
      <c r="FT77" s="46"/>
      <c r="FU77" s="46"/>
      <c r="FV77" s="46"/>
      <c r="FW77" s="46"/>
      <c r="FX77" s="46"/>
      <c r="FY77" s="46"/>
      <c r="FZ77" s="46"/>
      <c r="GA77" s="46"/>
      <c r="GB77" s="46"/>
      <c r="GC77" s="46"/>
      <c r="GD77" s="46"/>
      <c r="GE77" s="46"/>
      <c r="GF77" s="46"/>
      <c r="GG77" s="46"/>
      <c r="GH77" s="46"/>
      <c r="GI77" s="46"/>
      <c r="GJ77" s="46"/>
      <c r="GK77" s="46"/>
      <c r="GM77" s="58"/>
      <c r="GN77" s="58"/>
    </row>
    <row r="78" spans="1:196">
      <c r="A78" s="3">
        <v>74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EO78" s="32"/>
      <c r="EP78" s="32"/>
      <c r="EQ78" s="32"/>
      <c r="ER78" s="32"/>
      <c r="ES78" s="33"/>
      <c r="ET78" s="33"/>
      <c r="EU78" s="33"/>
      <c r="EV78" s="33"/>
      <c r="EW78" s="33"/>
      <c r="EX78" s="34"/>
      <c r="EY78" s="34"/>
      <c r="EZ78" s="34"/>
      <c r="FA78" s="34"/>
      <c r="FB78" s="34"/>
      <c r="FC78" s="34"/>
      <c r="FD78" s="34"/>
      <c r="FE78" s="34"/>
      <c r="FF78" s="35"/>
      <c r="FG78" s="35"/>
      <c r="FH78" s="3"/>
      <c r="FI78" s="3"/>
      <c r="FJ78" s="3"/>
      <c r="FK78" s="3"/>
      <c r="FL78" s="24"/>
      <c r="FM78" s="3"/>
      <c r="FN78" s="46"/>
      <c r="FO78" s="46"/>
      <c r="FP78" s="46"/>
      <c r="FQ78" s="46"/>
      <c r="FR78" s="46"/>
      <c r="FS78" s="46"/>
      <c r="FT78" s="46"/>
      <c r="FU78" s="46"/>
      <c r="FV78" s="46"/>
      <c r="FW78" s="46"/>
      <c r="FX78" s="46"/>
      <c r="FY78" s="46"/>
      <c r="FZ78" s="46"/>
      <c r="GA78" s="46"/>
      <c r="GB78" s="46"/>
      <c r="GC78" s="46"/>
      <c r="GD78" s="46"/>
      <c r="GE78" s="46"/>
      <c r="GF78" s="46"/>
      <c r="GG78" s="46"/>
      <c r="GH78" s="46"/>
      <c r="GI78" s="46"/>
      <c r="GJ78" s="46"/>
      <c r="GK78" s="46"/>
      <c r="GM78" s="58"/>
      <c r="GN78" s="58"/>
    </row>
    <row r="79" spans="1:196">
      <c r="A79" s="3">
        <v>75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EO79" s="32"/>
      <c r="EP79" s="32"/>
      <c r="EQ79" s="32"/>
      <c r="ER79" s="32"/>
      <c r="ES79" s="33"/>
      <c r="ET79" s="33"/>
      <c r="EU79" s="33"/>
      <c r="EV79" s="33"/>
      <c r="EW79" s="33"/>
      <c r="EX79" s="34"/>
      <c r="EY79" s="34"/>
      <c r="EZ79" s="34"/>
      <c r="FA79" s="34"/>
      <c r="FB79" s="34"/>
      <c r="FC79" s="34"/>
      <c r="FD79" s="34"/>
      <c r="FE79" s="34"/>
      <c r="FF79" s="35"/>
      <c r="FG79" s="35"/>
      <c r="FH79" s="3"/>
      <c r="FI79" s="3"/>
      <c r="FJ79" s="3"/>
      <c r="FK79" s="3"/>
      <c r="FL79" s="24"/>
      <c r="FM79" s="3"/>
      <c r="FN79" s="46"/>
      <c r="FO79" s="46"/>
      <c r="FP79" s="46"/>
      <c r="FQ79" s="46"/>
      <c r="FR79" s="46"/>
      <c r="FS79" s="46"/>
      <c r="FT79" s="46"/>
      <c r="FU79" s="46"/>
      <c r="FV79" s="46"/>
      <c r="FW79" s="46"/>
      <c r="FX79" s="46"/>
      <c r="FY79" s="46"/>
      <c r="FZ79" s="46"/>
      <c r="GA79" s="46"/>
      <c r="GB79" s="46"/>
      <c r="GC79" s="46"/>
      <c r="GD79" s="46"/>
      <c r="GE79" s="46"/>
      <c r="GF79" s="46"/>
      <c r="GG79" s="46"/>
      <c r="GH79" s="46"/>
      <c r="GI79" s="46"/>
      <c r="GJ79" s="46"/>
      <c r="GK79" s="46"/>
      <c r="GM79" s="58"/>
      <c r="GN79" s="58"/>
    </row>
    <row r="80" spans="1:196">
      <c r="A80" s="3">
        <v>76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EO80" s="32"/>
      <c r="EP80" s="32"/>
      <c r="EQ80" s="32"/>
      <c r="ER80" s="32"/>
      <c r="ES80" s="33"/>
      <c r="ET80" s="33"/>
      <c r="EU80" s="33"/>
      <c r="EV80" s="33"/>
      <c r="EW80" s="33"/>
      <c r="EX80" s="34"/>
      <c r="EY80" s="34"/>
      <c r="EZ80" s="34"/>
      <c r="FA80" s="34"/>
      <c r="FB80" s="34"/>
      <c r="FC80" s="34"/>
      <c r="FD80" s="34"/>
      <c r="FE80" s="34"/>
      <c r="FF80" s="35"/>
      <c r="FG80" s="35"/>
      <c r="FH80" s="3"/>
      <c r="FI80" s="3"/>
      <c r="FJ80" s="3"/>
      <c r="FK80" s="3"/>
      <c r="FL80" s="24"/>
      <c r="FM80" s="3"/>
      <c r="FN80" s="46"/>
      <c r="FO80" s="46"/>
      <c r="FP80" s="46"/>
      <c r="FQ80" s="46"/>
      <c r="FR80" s="46"/>
      <c r="FS80" s="46"/>
      <c r="FT80" s="46"/>
      <c r="FU80" s="46"/>
      <c r="FV80" s="46"/>
      <c r="FW80" s="46"/>
      <c r="FX80" s="46"/>
      <c r="FY80" s="46"/>
      <c r="FZ80" s="46"/>
      <c r="GA80" s="46"/>
      <c r="GB80" s="46"/>
      <c r="GC80" s="46"/>
      <c r="GD80" s="46"/>
      <c r="GE80" s="46"/>
      <c r="GF80" s="46"/>
      <c r="GG80" s="46"/>
      <c r="GH80" s="46"/>
      <c r="GI80" s="46"/>
      <c r="GJ80" s="46"/>
      <c r="GK80" s="46"/>
      <c r="GM80" s="58"/>
      <c r="GN80" s="58"/>
    </row>
    <row r="81" spans="1:196">
      <c r="A81" s="3">
        <v>77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EO81" s="32"/>
      <c r="EP81" s="32"/>
      <c r="EQ81" s="32"/>
      <c r="ER81" s="32"/>
      <c r="ES81" s="33"/>
      <c r="ET81" s="33"/>
      <c r="EU81" s="33"/>
      <c r="EV81" s="33"/>
      <c r="EW81" s="33"/>
      <c r="EX81" s="34"/>
      <c r="EY81" s="34"/>
      <c r="EZ81" s="34"/>
      <c r="FA81" s="34"/>
      <c r="FB81" s="34"/>
      <c r="FC81" s="34"/>
      <c r="FD81" s="34"/>
      <c r="FE81" s="34"/>
      <c r="FF81" s="35"/>
      <c r="FG81" s="35"/>
      <c r="FH81" s="3"/>
      <c r="FI81" s="3"/>
      <c r="FJ81" s="3"/>
      <c r="FK81" s="3"/>
      <c r="FL81" s="24"/>
      <c r="FM81" s="3"/>
      <c r="FN81" s="46"/>
      <c r="FO81" s="46"/>
      <c r="FP81" s="46"/>
      <c r="FQ81" s="46"/>
      <c r="FR81" s="46"/>
      <c r="FS81" s="46"/>
      <c r="FT81" s="46"/>
      <c r="FU81" s="46"/>
      <c r="FV81" s="46"/>
      <c r="FW81" s="46"/>
      <c r="FX81" s="46"/>
      <c r="FY81" s="46"/>
      <c r="FZ81" s="46"/>
      <c r="GA81" s="46"/>
      <c r="GB81" s="46"/>
      <c r="GC81" s="46"/>
      <c r="GD81" s="46"/>
      <c r="GE81" s="46"/>
      <c r="GF81" s="46"/>
      <c r="GG81" s="46"/>
      <c r="GH81" s="46"/>
      <c r="GI81" s="46"/>
      <c r="GJ81" s="46"/>
      <c r="GK81" s="46"/>
      <c r="GM81" s="58"/>
      <c r="GN81" s="58"/>
    </row>
    <row r="82" spans="1:196">
      <c r="A82" s="3">
        <v>78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EO82" s="32"/>
      <c r="EP82" s="32"/>
      <c r="EQ82" s="32"/>
      <c r="ER82" s="32"/>
      <c r="ES82" s="33"/>
      <c r="ET82" s="33"/>
      <c r="EU82" s="33"/>
      <c r="EV82" s="33"/>
      <c r="EW82" s="33"/>
      <c r="EX82" s="34"/>
      <c r="EY82" s="34"/>
      <c r="EZ82" s="34"/>
      <c r="FA82" s="34"/>
      <c r="FB82" s="34"/>
      <c r="FC82" s="34"/>
      <c r="FD82" s="34"/>
      <c r="FE82" s="34"/>
      <c r="FF82" s="35"/>
      <c r="FG82" s="35"/>
      <c r="FH82" s="3"/>
      <c r="FI82" s="3"/>
      <c r="FJ82" s="3"/>
      <c r="FK82" s="3"/>
      <c r="FL82" s="24"/>
      <c r="FM82" s="3"/>
      <c r="FN82" s="46"/>
      <c r="FO82" s="46"/>
      <c r="FP82" s="46"/>
      <c r="FQ82" s="46"/>
      <c r="FR82" s="46"/>
      <c r="FS82" s="46"/>
      <c r="FT82" s="46"/>
      <c r="FU82" s="46"/>
      <c r="FV82" s="46"/>
      <c r="FW82" s="46"/>
      <c r="FX82" s="46"/>
      <c r="FY82" s="46"/>
      <c r="FZ82" s="46"/>
      <c r="GA82" s="46"/>
      <c r="GB82" s="46"/>
      <c r="GC82" s="46"/>
      <c r="GD82" s="46"/>
      <c r="GE82" s="46"/>
      <c r="GF82" s="46"/>
      <c r="GG82" s="46"/>
      <c r="GH82" s="46"/>
      <c r="GI82" s="46"/>
      <c r="GJ82" s="46"/>
      <c r="GK82" s="46"/>
      <c r="GM82" s="58"/>
      <c r="GN82" s="58"/>
    </row>
    <row r="83" spans="1:196">
      <c r="A83" s="3">
        <v>79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EO83" s="32"/>
      <c r="EP83" s="32"/>
      <c r="EQ83" s="32"/>
      <c r="ER83" s="32"/>
      <c r="ES83" s="33"/>
      <c r="ET83" s="33"/>
      <c r="EU83" s="33"/>
      <c r="EV83" s="33"/>
      <c r="EW83" s="33"/>
      <c r="EX83" s="34"/>
      <c r="EY83" s="34"/>
      <c r="EZ83" s="34"/>
      <c r="FA83" s="34"/>
      <c r="FB83" s="34"/>
      <c r="FC83" s="34"/>
      <c r="FD83" s="34"/>
      <c r="FE83" s="34"/>
      <c r="FF83" s="35"/>
      <c r="FG83" s="35"/>
      <c r="FH83" s="3"/>
      <c r="FI83" s="3"/>
      <c r="FJ83" s="3"/>
      <c r="FK83" s="3"/>
      <c r="FL83" s="24"/>
      <c r="FM83" s="3"/>
      <c r="FN83" s="46"/>
      <c r="FO83" s="46"/>
      <c r="FP83" s="46"/>
      <c r="FQ83" s="46"/>
      <c r="FR83" s="46"/>
      <c r="FS83" s="46"/>
      <c r="FT83" s="46"/>
      <c r="FU83" s="46"/>
      <c r="FV83" s="46"/>
      <c r="FW83" s="46"/>
      <c r="FX83" s="46"/>
      <c r="FY83" s="46"/>
      <c r="FZ83" s="46"/>
      <c r="GA83" s="46"/>
      <c r="GB83" s="46"/>
      <c r="GC83" s="46"/>
      <c r="GD83" s="46"/>
      <c r="GE83" s="46"/>
      <c r="GF83" s="46"/>
      <c r="GG83" s="46"/>
      <c r="GH83" s="46"/>
      <c r="GI83" s="46"/>
      <c r="GJ83" s="46"/>
      <c r="GK83" s="46"/>
      <c r="GM83" s="58"/>
      <c r="GN83" s="58"/>
    </row>
    <row r="84" spans="1:196">
      <c r="A84" s="3">
        <v>80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EO84" s="32"/>
      <c r="EP84" s="32"/>
      <c r="EQ84" s="32"/>
      <c r="ER84" s="32"/>
      <c r="ES84" s="33"/>
      <c r="ET84" s="33"/>
      <c r="EU84" s="33"/>
      <c r="EV84" s="33"/>
      <c r="EW84" s="33"/>
      <c r="EX84" s="34"/>
      <c r="EY84" s="34"/>
      <c r="EZ84" s="34"/>
      <c r="FA84" s="34"/>
      <c r="FB84" s="34"/>
      <c r="FC84" s="34"/>
      <c r="FD84" s="34"/>
      <c r="FE84" s="34"/>
      <c r="FF84" s="35"/>
      <c r="FG84" s="35"/>
      <c r="FH84" s="3"/>
      <c r="FI84" s="3"/>
      <c r="FJ84" s="3"/>
      <c r="FK84" s="3"/>
      <c r="FL84" s="24"/>
      <c r="FM84" s="3"/>
      <c r="FN84" s="46"/>
      <c r="FO84" s="46"/>
      <c r="FP84" s="46"/>
      <c r="FQ84" s="46"/>
      <c r="FR84" s="46"/>
      <c r="FS84" s="46"/>
      <c r="FT84" s="46"/>
      <c r="FU84" s="46"/>
      <c r="FV84" s="46"/>
      <c r="FW84" s="46"/>
      <c r="FX84" s="46"/>
      <c r="FY84" s="46"/>
      <c r="FZ84" s="46"/>
      <c r="GA84" s="46"/>
      <c r="GB84" s="46"/>
      <c r="GC84" s="46"/>
      <c r="GD84" s="46"/>
      <c r="GE84" s="46"/>
      <c r="GF84" s="46"/>
      <c r="GG84" s="46"/>
      <c r="GH84" s="46"/>
      <c r="GI84" s="46"/>
      <c r="GJ84" s="46"/>
      <c r="GK84" s="46"/>
      <c r="GM84" s="58"/>
      <c r="GN84" s="58"/>
    </row>
    <row r="85" spans="1:196" ht="21" customHeight="1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FN85" s="49">
        <f>AVERAGE(FN5:FN32)</f>
        <v>0.68681318681318682</v>
      </c>
      <c r="FO85" s="49">
        <f>AVERAGE(FO5:FO32)</f>
        <v>0.19132653061224489</v>
      </c>
      <c r="FP85" s="49">
        <f>AVERAGE(FP5:FP32)</f>
        <v>1.0714285714285714</v>
      </c>
      <c r="FQ85" s="49">
        <f t="shared" ref="FQ85:GK85" si="163">AVERAGE(FQ5:FQ31)</f>
        <v>0.92592592592592593</v>
      </c>
      <c r="FR85" s="49">
        <f t="shared" ref="FR85:GF85" si="164">AVERAGE(FR5:FR32)</f>
        <v>0.38265306122448978</v>
      </c>
      <c r="FS85" s="49">
        <f t="shared" si="164"/>
        <v>0.29761904761904756</v>
      </c>
      <c r="FT85" s="49">
        <f t="shared" si="164"/>
        <v>0.8928571428571429</v>
      </c>
      <c r="FU85" s="49">
        <f t="shared" si="164"/>
        <v>0.22321428571428573</v>
      </c>
      <c r="FV85" s="49">
        <f t="shared" si="164"/>
        <v>2.3809523809523805</v>
      </c>
      <c r="FW85" s="49">
        <f t="shared" si="164"/>
        <v>0.44642857142857145</v>
      </c>
      <c r="FX85" s="49">
        <f t="shared" si="164"/>
        <v>0.69444444444444453</v>
      </c>
      <c r="FY85" s="49">
        <f t="shared" si="164"/>
        <v>1.6369047619047616</v>
      </c>
      <c r="FZ85" s="49">
        <f t="shared" si="164"/>
        <v>0.6696428571428571</v>
      </c>
      <c r="GA85" s="49">
        <f t="shared" si="164"/>
        <v>5.2083333333333339</v>
      </c>
      <c r="GB85" s="49">
        <f t="shared" si="164"/>
        <v>4.2857142857142856</v>
      </c>
      <c r="GC85" s="49">
        <f t="shared" si="164"/>
        <v>1.4285714285714286</v>
      </c>
      <c r="GD85" s="49">
        <f t="shared" si="164"/>
        <v>2.6785714285714284</v>
      </c>
      <c r="GE85" s="49">
        <f t="shared" si="164"/>
        <v>0</v>
      </c>
      <c r="GF85" s="49">
        <f t="shared" si="164"/>
        <v>0</v>
      </c>
      <c r="GG85" s="49">
        <f t="shared" si="163"/>
        <v>0.63233965672990067</v>
      </c>
      <c r="GH85" s="49">
        <f>AVERAGE(GH5:GH32)</f>
        <v>0.72278911564625847</v>
      </c>
      <c r="GI85" s="49">
        <f>AVERAGE(GI5:GI32)</f>
        <v>1.8392857142857142</v>
      </c>
      <c r="GJ85" s="49">
        <f>AVERAGE(GJ5:GJ32)</f>
        <v>0</v>
      </c>
      <c r="GK85" s="49">
        <f t="shared" si="163"/>
        <v>1.1141222523336345</v>
      </c>
      <c r="GM85" s="58">
        <f>FL85+'EXTRALABORAL A '!BH84</f>
        <v>0</v>
      </c>
      <c r="GN85" s="55">
        <f>AVERAGE(GN5:GN31)</f>
        <v>1.2145262145262146</v>
      </c>
    </row>
    <row r="86" spans="1:196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196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196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196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GG89" s="73"/>
      <c r="GJ89" s="57"/>
    </row>
    <row r="90" spans="1:196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196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196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FW92" s="12"/>
    </row>
    <row r="93" spans="1:196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196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196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196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2:21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2:21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2:21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2:21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2:21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2:21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2:21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2:21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2:21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2:21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2:21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2:21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2:21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2:21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2:21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2:21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2:21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2:21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2:21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2:21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2:21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2:2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2:21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2:21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2:21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2:21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2:21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2:21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2:21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2:21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2:21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2:21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2:21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2:21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2:21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2:21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2:21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2:21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2:21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2:21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2:21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2:21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2:21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2:21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2:21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2:21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2:21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2:21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2:21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2:21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2:21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2:21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2:21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2:21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2:21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2:21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2:21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2:21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2:21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2:21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2:21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2:21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2:21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</sheetData>
  <autoFilter ref="A4:GN30"/>
  <mergeCells count="23">
    <mergeCell ref="GE1:GF2"/>
    <mergeCell ref="GG1:GJ3"/>
    <mergeCell ref="GK1:GK3"/>
    <mergeCell ref="FR3:FV3"/>
    <mergeCell ref="FW3:GD3"/>
    <mergeCell ref="GE3:GF3"/>
    <mergeCell ref="FR1:FV2"/>
    <mergeCell ref="A2:U3"/>
    <mergeCell ref="ES3:EW3"/>
    <mergeCell ref="V2:EN3"/>
    <mergeCell ref="GM1:GN3"/>
    <mergeCell ref="ES1:EW2"/>
    <mergeCell ref="EO3:ER3"/>
    <mergeCell ref="EX3:FE3"/>
    <mergeCell ref="FF3:FG3"/>
    <mergeCell ref="FN3:FQ3"/>
    <mergeCell ref="EO1:ER2"/>
    <mergeCell ref="EX1:FE2"/>
    <mergeCell ref="FF1:FG2"/>
    <mergeCell ref="FH1:FK3"/>
    <mergeCell ref="FL1:FL3"/>
    <mergeCell ref="FN1:FQ2"/>
    <mergeCell ref="FW1:GD2"/>
  </mergeCells>
  <conditionalFormatting sqref="FN85">
    <cfRule type="cellIs" dxfId="317" priority="75" operator="between">
      <formula>3.9</formula>
      <formula>15.4</formula>
    </cfRule>
    <cfRule type="cellIs" dxfId="316" priority="76" operator="between">
      <formula>0</formula>
      <formula>3.8</formula>
    </cfRule>
    <cfRule type="cellIs" dxfId="315" priority="72" operator="between">
      <formula>46.3</formula>
      <formula>100</formula>
    </cfRule>
    <cfRule type="cellIs" dxfId="314" priority="73" operator="between">
      <formula>30.9</formula>
      <formula>46.2</formula>
    </cfRule>
    <cfRule type="cellIs" dxfId="313" priority="74" operator="between">
      <formula>15.5</formula>
      <formula>30.8</formula>
    </cfRule>
  </conditionalFormatting>
  <conditionalFormatting sqref="FO85">
    <cfRule type="cellIs" dxfId="312" priority="171" operator="between">
      <formula>5.5</formula>
      <formula>16.1</formula>
    </cfRule>
    <cfRule type="cellIs" dxfId="311" priority="172" operator="between">
      <formula>0</formula>
      <formula>5.4</formula>
    </cfRule>
    <cfRule type="cellIs" dxfId="310" priority="170" operator="between">
      <formula>16.2</formula>
      <formula>25</formula>
    </cfRule>
    <cfRule type="cellIs" dxfId="309" priority="169" operator="between">
      <formula>25.1</formula>
      <formula>37.5</formula>
    </cfRule>
    <cfRule type="cellIs" dxfId="308" priority="168" operator="between">
      <formula>37.6</formula>
      <formula>100</formula>
    </cfRule>
  </conditionalFormatting>
  <conditionalFormatting sqref="FP85">
    <cfRule type="cellIs" dxfId="307" priority="163" operator="between">
      <formula>55.1</formula>
      <formula>100</formula>
    </cfRule>
    <cfRule type="cellIs" dxfId="306" priority="165" operator="between">
      <formula>25.1</formula>
      <formula>40</formula>
    </cfRule>
    <cfRule type="cellIs" dxfId="305" priority="164" operator="between">
      <formula>40.1</formula>
      <formula>55</formula>
    </cfRule>
    <cfRule type="cellIs" dxfId="304" priority="167" operator="between">
      <formula>0</formula>
      <formula>10</formula>
    </cfRule>
    <cfRule type="cellIs" dxfId="303" priority="166" operator="between">
      <formula>10.1</formula>
      <formula>25</formula>
    </cfRule>
  </conditionalFormatting>
  <conditionalFormatting sqref="FQ85">
    <cfRule type="cellIs" dxfId="302" priority="162" operator="between">
      <formula>0</formula>
      <formula>13.9</formula>
    </cfRule>
    <cfRule type="cellIs" dxfId="301" priority="161" operator="between">
      <formula>14</formula>
      <formula>25</formula>
    </cfRule>
    <cfRule type="cellIs" dxfId="300" priority="160" operator="between">
      <formula>25.1</formula>
      <formula>33.3</formula>
    </cfRule>
    <cfRule type="cellIs" dxfId="299" priority="159" operator="between">
      <formula>33.4</formula>
      <formula>47.2</formula>
    </cfRule>
    <cfRule type="cellIs" dxfId="298" priority="158" operator="between">
      <formula>47.3</formula>
      <formula>100</formula>
    </cfRule>
  </conditionalFormatting>
  <conditionalFormatting sqref="FR85">
    <cfRule type="cellIs" dxfId="297" priority="157" operator="between">
      <formula>0</formula>
      <formula>0.9</formula>
    </cfRule>
    <cfRule type="cellIs" dxfId="296" priority="156" operator="between">
      <formula>1</formula>
      <formula>10.7</formula>
    </cfRule>
    <cfRule type="cellIs" dxfId="295" priority="155" operator="between">
      <formula>10.8</formula>
      <formula>21.4</formula>
    </cfRule>
    <cfRule type="cellIs" dxfId="294" priority="154" operator="between">
      <formula>21.5</formula>
      <formula>39.3</formula>
    </cfRule>
    <cfRule type="cellIs" dxfId="293" priority="153" operator="between">
      <formula>39.4</formula>
      <formula>100</formula>
    </cfRule>
  </conditionalFormatting>
  <conditionalFormatting sqref="FS85">
    <cfRule type="cellIs" dxfId="292" priority="152" operator="between">
      <formula>0</formula>
      <formula>0.9</formula>
    </cfRule>
    <cfRule type="cellIs" dxfId="291" priority="151" operator="between">
      <formula>1</formula>
      <formula>16.7</formula>
    </cfRule>
    <cfRule type="cellIs" dxfId="290" priority="150" operator="between">
      <formula>16.8</formula>
      <formula>33.3</formula>
    </cfRule>
    <cfRule type="cellIs" dxfId="289" priority="149" operator="between">
      <formula>33.4</formula>
      <formula>50</formula>
    </cfRule>
  </conditionalFormatting>
  <conditionalFormatting sqref="FS85:FT85">
    <cfRule type="cellIs" dxfId="288" priority="143" operator="between">
      <formula>50.1</formula>
      <formula>100</formula>
    </cfRule>
  </conditionalFormatting>
  <conditionalFormatting sqref="FT85">
    <cfRule type="cellIs" dxfId="287" priority="147" operator="between">
      <formula>0</formula>
      <formula>12.5</formula>
    </cfRule>
    <cfRule type="cellIs" dxfId="286" priority="146" operator="between">
      <formula>12.6</formula>
      <formula>25</formula>
    </cfRule>
    <cfRule type="cellIs" dxfId="285" priority="145" operator="between">
      <formula>25.1</formula>
      <formula>37.5</formula>
    </cfRule>
    <cfRule type="cellIs" dxfId="284" priority="144" operator="between">
      <formula>37.6</formula>
      <formula>50</formula>
    </cfRule>
  </conditionalFormatting>
  <conditionalFormatting sqref="FU85">
    <cfRule type="cellIs" dxfId="283" priority="139" operator="between">
      <formula>18.9</formula>
      <formula>31.3</formula>
    </cfRule>
    <cfRule type="cellIs" dxfId="282" priority="138" operator="between">
      <formula>31.4</formula>
      <formula>100</formula>
    </cfRule>
    <cfRule type="cellIs" dxfId="281" priority="142" operator="between">
      <formula>0</formula>
      <formula>0.9</formula>
    </cfRule>
    <cfRule type="cellIs" dxfId="280" priority="141" operator="between">
      <formula>1</formula>
      <formula>6.3</formula>
    </cfRule>
    <cfRule type="cellIs" dxfId="279" priority="140" operator="between">
      <formula>6.4</formula>
      <formula>18.8</formula>
    </cfRule>
  </conditionalFormatting>
  <conditionalFormatting sqref="FV85">
    <cfRule type="cellIs" dxfId="278" priority="134" operator="between">
      <formula>41.8</formula>
      <formula>58.3</formula>
    </cfRule>
    <cfRule type="cellIs" dxfId="277" priority="133" operator="between">
      <formula>58.4</formula>
      <formula>100</formula>
    </cfRule>
    <cfRule type="cellIs" dxfId="276" priority="136" operator="between">
      <formula>8.4</formula>
      <formula>25</formula>
    </cfRule>
    <cfRule type="cellIs" dxfId="275" priority="135" operator="between">
      <formula>25.1</formula>
      <formula>41.7</formula>
    </cfRule>
    <cfRule type="cellIs" dxfId="274" priority="137" operator="between">
      <formula>0</formula>
      <formula>8.3</formula>
    </cfRule>
  </conditionalFormatting>
  <conditionalFormatting sqref="FW85">
    <cfRule type="cellIs" dxfId="273" priority="127" operator="between">
      <formula>0</formula>
      <formula>14.6</formula>
    </cfRule>
    <cfRule type="cellIs" dxfId="272" priority="126" operator="between">
      <formula>14.7</formula>
      <formula>22.9</formula>
    </cfRule>
    <cfRule type="cellIs" dxfId="271" priority="125" operator="between">
      <formula>23</formula>
      <formula>31.3</formula>
    </cfRule>
    <cfRule type="cellIs" dxfId="270" priority="124" operator="between">
      <formula>31.4</formula>
      <formula>39.6</formula>
    </cfRule>
    <cfRule type="cellIs" dxfId="269" priority="123" operator="between">
      <formula>39.7</formula>
      <formula>100</formula>
    </cfRule>
  </conditionalFormatting>
  <conditionalFormatting sqref="FX85">
    <cfRule type="cellIs" dxfId="268" priority="122" operator="between">
      <formula>0</formula>
      <formula>16.7</formula>
    </cfRule>
    <cfRule type="cellIs" dxfId="267" priority="121" operator="between">
      <formula>16.8</formula>
      <formula>25</formula>
    </cfRule>
    <cfRule type="cellIs" dxfId="266" priority="118" operator="between">
      <formula>47.3</formula>
      <formula>100</formula>
    </cfRule>
    <cfRule type="cellIs" dxfId="265" priority="119" operator="between">
      <formula>33.4</formula>
      <formula>47.2</formula>
    </cfRule>
    <cfRule type="cellIs" dxfId="264" priority="120" operator="between">
      <formula>25.1</formula>
      <formula>33.3</formula>
    </cfRule>
  </conditionalFormatting>
  <conditionalFormatting sqref="FY85">
    <cfRule type="cellIs" dxfId="263" priority="114" operator="between">
      <formula>45.9</formula>
      <formula>54.2</formula>
    </cfRule>
    <cfRule type="cellIs" dxfId="262" priority="113" operator="between">
      <formula>54.3</formula>
      <formula>100</formula>
    </cfRule>
    <cfRule type="cellIs" dxfId="261" priority="116" operator="between">
      <formula>25.1</formula>
      <formula>33.3</formula>
    </cfRule>
    <cfRule type="cellIs" dxfId="260" priority="117" operator="between">
      <formula>0</formula>
      <formula>25</formula>
    </cfRule>
    <cfRule type="cellIs" dxfId="259" priority="115" operator="between">
      <formula>33.4</formula>
      <formula>45.8</formula>
    </cfRule>
  </conditionalFormatting>
  <conditionalFormatting sqref="FZ85">
    <cfRule type="cellIs" dxfId="258" priority="112" operator="between">
      <formula>0</formula>
      <formula>18.8</formula>
    </cfRule>
    <cfRule type="cellIs" dxfId="257" priority="111" operator="between">
      <formula>18.9</formula>
      <formula>31.3</formula>
    </cfRule>
    <cfRule type="cellIs" dxfId="256" priority="110" operator="between">
      <formula>31.4</formula>
      <formula>43.8</formula>
    </cfRule>
    <cfRule type="cellIs" dxfId="255" priority="109" operator="between">
      <formula>43.9</formula>
      <formula>50</formula>
    </cfRule>
    <cfRule type="cellIs" dxfId="254" priority="108" operator="between">
      <formula>50.1</formula>
      <formula>100</formula>
    </cfRule>
  </conditionalFormatting>
  <conditionalFormatting sqref="GA85">
    <cfRule type="cellIs" dxfId="253" priority="107" operator="between">
      <formula>0</formula>
      <formula>37.5</formula>
    </cfRule>
    <cfRule type="cellIs" dxfId="252" priority="102" operator="between">
      <formula>79.3</formula>
      <formula>100</formula>
    </cfRule>
    <cfRule type="cellIs" dxfId="251" priority="104" operator="between">
      <formula>66.8</formula>
      <formula>79.2</formula>
    </cfRule>
    <cfRule type="cellIs" dxfId="250" priority="105" operator="between">
      <formula>54.3</formula>
      <formula>66.7</formula>
    </cfRule>
    <cfRule type="cellIs" dxfId="249" priority="106" operator="between">
      <formula>37.6</formula>
      <formula>54.2</formula>
    </cfRule>
  </conditionalFormatting>
  <conditionalFormatting sqref="GB85">
    <cfRule type="cellIs" dxfId="248" priority="101" operator="between">
      <formula>0</formula>
      <formula>60</formula>
    </cfRule>
    <cfRule type="cellIs" dxfId="247" priority="99" operator="between">
      <formula>70.1</formula>
      <formula>80</formula>
    </cfRule>
    <cfRule type="cellIs" dxfId="246" priority="97" operator="between">
      <formula>90.1</formula>
      <formula>100</formula>
    </cfRule>
    <cfRule type="cellIs" dxfId="245" priority="98" operator="between">
      <formula>80.1</formula>
      <formula>90</formula>
    </cfRule>
    <cfRule type="cellIs" dxfId="244" priority="100" operator="between">
      <formula>60.1</formula>
      <formula>70</formula>
    </cfRule>
  </conditionalFormatting>
  <conditionalFormatting sqref="GC85">
    <cfRule type="cellIs" dxfId="243" priority="92" operator="between">
      <formula>45.1</formula>
      <formula>100</formula>
    </cfRule>
    <cfRule type="cellIs" dxfId="242" priority="93" operator="between">
      <formula>35.1</formula>
      <formula>45</formula>
    </cfRule>
    <cfRule type="cellIs" dxfId="241" priority="94" operator="between">
      <formula>25.1</formula>
      <formula>35</formula>
    </cfRule>
    <cfRule type="cellIs" dxfId="240" priority="95" operator="between">
      <formula>15.1</formula>
      <formula>25</formula>
    </cfRule>
    <cfRule type="cellIs" dxfId="239" priority="96" operator="between">
      <formula>0</formula>
      <formula>15</formula>
    </cfRule>
  </conditionalFormatting>
  <conditionalFormatting sqref="GD85">
    <cfRule type="cellIs" dxfId="238" priority="91" operator="between">
      <formula>0</formula>
      <formula>8.3</formula>
    </cfRule>
    <cfRule type="cellIs" dxfId="237" priority="90" operator="between">
      <formula>8.4</formula>
      <formula>25</formula>
    </cfRule>
    <cfRule type="cellIs" dxfId="236" priority="89" operator="between">
      <formula>25.1</formula>
      <formula>33.3</formula>
    </cfRule>
    <cfRule type="cellIs" dxfId="235" priority="88" operator="between">
      <formula>33.4</formula>
      <formula>50</formula>
    </cfRule>
    <cfRule type="cellIs" dxfId="234" priority="87" operator="between">
      <formula>50.1</formula>
      <formula>100</formula>
    </cfRule>
  </conditionalFormatting>
  <conditionalFormatting sqref="GE85">
    <cfRule type="cellIs" dxfId="233" priority="85" operator="between">
      <formula>1</formula>
      <formula>5</formula>
    </cfRule>
    <cfRule type="cellIs" dxfId="232" priority="84" operator="between">
      <formula>5.1</formula>
      <formula>10</formula>
    </cfRule>
    <cfRule type="cellIs" dxfId="231" priority="83" operator="between">
      <formula>10.1</formula>
      <formula>20</formula>
    </cfRule>
    <cfRule type="cellIs" dxfId="230" priority="82" operator="between">
      <formula>20.1</formula>
      <formula>100</formula>
    </cfRule>
    <cfRule type="cellIs" dxfId="229" priority="86" operator="between">
      <formula>0</formula>
      <formula>0.9</formula>
    </cfRule>
  </conditionalFormatting>
  <conditionalFormatting sqref="GF85">
    <cfRule type="cellIs" dxfId="228" priority="81" operator="between">
      <formula>0</formula>
      <formula>4.2</formula>
    </cfRule>
    <cfRule type="cellIs" dxfId="227" priority="80" operator="between">
      <formula>4.3</formula>
      <formula>16.7</formula>
    </cfRule>
    <cfRule type="cellIs" dxfId="226" priority="79" operator="between">
      <formula>16.8</formula>
      <formula>25</formula>
    </cfRule>
    <cfRule type="cellIs" dxfId="225" priority="78" operator="between">
      <formula>25.1</formula>
      <formula>37.5</formula>
    </cfRule>
    <cfRule type="cellIs" dxfId="224" priority="77" operator="between">
      <formula>37.6</formula>
      <formula>100</formula>
    </cfRule>
  </conditionalFormatting>
  <conditionalFormatting sqref="GG85">
    <cfRule type="cellIs" dxfId="223" priority="65" operator="between">
      <formula>34.9</formula>
      <formula>100</formula>
    </cfRule>
    <cfRule type="cellIs" dxfId="222" priority="66" operator="between">
      <formula>25.7</formula>
      <formula>34.8</formula>
    </cfRule>
    <cfRule type="cellIs" dxfId="221" priority="67" operator="between">
      <formula>17.8</formula>
      <formula>25.6</formula>
    </cfRule>
    <cfRule type="cellIs" dxfId="220" priority="68" operator="between">
      <formula>9.2</formula>
      <formula>17.7</formula>
    </cfRule>
    <cfRule type="cellIs" dxfId="219" priority="69" operator="between">
      <formula>0</formula>
      <formula>9.1</formula>
    </cfRule>
  </conditionalFormatting>
  <conditionalFormatting sqref="GH85">
    <cfRule type="cellIs" dxfId="218" priority="60" operator="between">
      <formula>40.6</formula>
      <formula>100</formula>
    </cfRule>
    <cfRule type="cellIs" dxfId="217" priority="62" operator="between">
      <formula>19.1</formula>
      <formula>29.8</formula>
    </cfRule>
    <cfRule type="cellIs" dxfId="216" priority="63" operator="between">
      <formula>10.8</formula>
      <formula>19</formula>
    </cfRule>
    <cfRule type="cellIs" dxfId="215" priority="64" operator="between">
      <formula>0</formula>
      <formula>10.7</formula>
    </cfRule>
    <cfRule type="cellIs" dxfId="214" priority="61" operator="between">
      <formula>29.9</formula>
      <formula>40.5</formula>
    </cfRule>
  </conditionalFormatting>
  <conditionalFormatting sqref="GI85:GJ85">
    <cfRule type="cellIs" dxfId="213" priority="25" operator="between">
      <formula>28.6</formula>
      <formula>35</formula>
    </cfRule>
    <cfRule type="cellIs" dxfId="212" priority="24" operator="between">
      <formula>35.1</formula>
      <formula>41.5</formula>
    </cfRule>
    <cfRule type="cellIs" dxfId="211" priority="23" operator="between">
      <formula>41.6</formula>
      <formula>47.5</formula>
    </cfRule>
    <cfRule type="cellIs" dxfId="210" priority="22" operator="between">
      <formula>47.6</formula>
      <formula>100</formula>
    </cfRule>
    <cfRule type="cellIs" dxfId="209" priority="26" operator="between">
      <formula>0</formula>
      <formula>28.5</formula>
    </cfRule>
  </conditionalFormatting>
  <conditionalFormatting sqref="GK85">
    <cfRule type="cellIs" dxfId="208" priority="16" operator="between">
      <formula>0</formula>
      <formula>19.7</formula>
    </cfRule>
    <cfRule type="cellIs" dxfId="207" priority="15" operator="between">
      <formula>19.8</formula>
      <formula>25.8</formula>
    </cfRule>
    <cfRule type="cellIs" dxfId="206" priority="14" operator="between">
      <formula>25.9</formula>
      <formula>31.5</formula>
    </cfRule>
    <cfRule type="cellIs" dxfId="205" priority="13" operator="between">
      <formula>31.6</formula>
      <formula>38</formula>
    </cfRule>
    <cfRule type="cellIs" dxfId="204" priority="12" operator="between">
      <formula>38.1</formula>
      <formula>100</formula>
    </cfRule>
  </conditionalFormatting>
  <conditionalFormatting sqref="GN85">
    <cfRule type="cellIs" dxfId="203" priority="1" operator="between">
      <formula>35.5</formula>
      <formula>100</formula>
    </cfRule>
    <cfRule type="cellIs" dxfId="202" priority="4" operator="between">
      <formula>18.9</formula>
      <formula>24.4</formula>
    </cfRule>
    <cfRule type="cellIs" dxfId="201" priority="3" operator="between">
      <formula>24.5</formula>
      <formula>29.5</formula>
    </cfRule>
    <cfRule type="cellIs" dxfId="200" priority="2" operator="between">
      <formula>29.6</formula>
      <formula>34.4</formula>
    </cfRule>
    <cfRule type="cellIs" dxfId="199" priority="5" operator="between">
      <formula>0</formula>
      <formula>18.8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7"/>
  <sheetViews>
    <sheetView zoomScaleNormal="100" workbookViewId="0">
      <pane ySplit="3" topLeftCell="A4" activePane="bottomLeft" state="frozen"/>
      <selection activeCell="BJ1" sqref="BJ1"/>
      <selection pane="bottomLeft" activeCell="U15" sqref="U15"/>
    </sheetView>
  </sheetViews>
  <sheetFormatPr baseColWidth="10" defaultRowHeight="14.5"/>
  <cols>
    <col min="1" max="1" width="11" style="1" bestFit="1" customWidth="1"/>
    <col min="2" max="2" width="28.453125" style="1" customWidth="1"/>
    <col min="3" max="3" width="11.7265625" style="1" bestFit="1" customWidth="1"/>
    <col min="4" max="4" width="10.81640625" style="1"/>
    <col min="5" max="5" width="10.453125" style="1" customWidth="1"/>
    <col min="6" max="6" width="10.81640625" style="1"/>
    <col min="7" max="7" width="27.1796875" style="1" customWidth="1"/>
    <col min="8" max="8" width="30.1796875" style="1" customWidth="1"/>
    <col min="9" max="9" width="21" style="1" customWidth="1"/>
    <col min="10" max="10" width="11" style="1" bestFit="1" customWidth="1"/>
    <col min="11" max="11" width="10.81640625" style="1"/>
    <col min="12" max="12" width="11" style="1" bestFit="1" customWidth="1"/>
    <col min="13" max="13" width="10.81640625" style="1"/>
    <col min="14" max="14" width="16.453125" style="1" customWidth="1"/>
    <col min="15" max="15" width="29.81640625" style="1" customWidth="1"/>
    <col min="16" max="16" width="39.81640625" style="1" customWidth="1"/>
    <col min="17" max="17" width="18.453125" style="1" customWidth="1"/>
    <col min="18" max="18" width="33.1796875" style="1" customWidth="1"/>
    <col min="19" max="19" width="24.453125" style="1" customWidth="1"/>
    <col min="20" max="21" width="11" style="1" bestFit="1" customWidth="1"/>
    <col min="22" max="52" width="3" customWidth="1"/>
    <col min="53" max="61" width="24.7265625" style="2" customWidth="1"/>
    <col min="62" max="69" width="19.54296875" customWidth="1"/>
    <col min="71" max="71" width="25.453125" customWidth="1"/>
  </cols>
  <sheetData>
    <row r="1" spans="1:71">
      <c r="A1" s="148" t="s">
        <v>78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50" t="s">
        <v>6</v>
      </c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1"/>
      <c r="BA1" s="154" t="s">
        <v>11</v>
      </c>
      <c r="BB1" s="155"/>
      <c r="BC1" s="155"/>
      <c r="BD1" s="155"/>
      <c r="BE1" s="155"/>
      <c r="BF1" s="155"/>
      <c r="BG1" s="156"/>
      <c r="BH1" s="160" t="s">
        <v>13</v>
      </c>
      <c r="BJ1" s="162" t="s">
        <v>11</v>
      </c>
      <c r="BK1" s="163"/>
      <c r="BL1" s="163"/>
      <c r="BM1" s="163"/>
      <c r="BN1" s="163"/>
      <c r="BO1" s="163"/>
      <c r="BP1" s="164"/>
      <c r="BQ1" s="146" t="s">
        <v>81</v>
      </c>
    </row>
    <row r="2" spans="1:71" ht="14.5" customHeight="1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3"/>
      <c r="BA2" s="157"/>
      <c r="BB2" s="158"/>
      <c r="BC2" s="158"/>
      <c r="BD2" s="158"/>
      <c r="BE2" s="158"/>
      <c r="BF2" s="158"/>
      <c r="BG2" s="159"/>
      <c r="BH2" s="160"/>
      <c r="BJ2" s="165"/>
      <c r="BK2" s="166"/>
      <c r="BL2" s="166"/>
      <c r="BM2" s="166"/>
      <c r="BN2" s="166"/>
      <c r="BO2" s="166"/>
      <c r="BP2" s="167"/>
      <c r="BQ2" s="146"/>
    </row>
    <row r="3" spans="1:71" ht="65">
      <c r="A3" s="10" t="s">
        <v>37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31</v>
      </c>
      <c r="S3" s="10" t="s">
        <v>32</v>
      </c>
      <c r="T3" s="10" t="s">
        <v>33</v>
      </c>
      <c r="U3" s="10" t="s">
        <v>34</v>
      </c>
      <c r="V3" s="83">
        <v>1</v>
      </c>
      <c r="W3" s="84">
        <v>2</v>
      </c>
      <c r="X3" s="84">
        <v>3</v>
      </c>
      <c r="Y3" s="84">
        <v>4</v>
      </c>
      <c r="Z3" s="84">
        <v>5</v>
      </c>
      <c r="AA3" s="84">
        <v>6</v>
      </c>
      <c r="AB3" s="84">
        <v>7</v>
      </c>
      <c r="AC3" s="84">
        <v>8</v>
      </c>
      <c r="AD3" s="84">
        <v>9</v>
      </c>
      <c r="AE3" s="84">
        <v>10</v>
      </c>
      <c r="AF3" s="84">
        <v>11</v>
      </c>
      <c r="AG3" s="84">
        <v>12</v>
      </c>
      <c r="AH3" s="84">
        <v>13</v>
      </c>
      <c r="AI3" s="84">
        <v>14</v>
      </c>
      <c r="AJ3" s="84">
        <v>15</v>
      </c>
      <c r="AK3" s="84">
        <v>16</v>
      </c>
      <c r="AL3" s="84">
        <v>17</v>
      </c>
      <c r="AM3" s="84">
        <v>18</v>
      </c>
      <c r="AN3" s="84">
        <v>19</v>
      </c>
      <c r="AO3" s="84">
        <v>20</v>
      </c>
      <c r="AP3" s="84">
        <v>21</v>
      </c>
      <c r="AQ3" s="84">
        <v>22</v>
      </c>
      <c r="AR3" s="84">
        <v>23</v>
      </c>
      <c r="AS3" s="84">
        <v>24</v>
      </c>
      <c r="AT3" s="84">
        <v>25</v>
      </c>
      <c r="AU3" s="84">
        <v>26</v>
      </c>
      <c r="AV3" s="84">
        <v>27</v>
      </c>
      <c r="AW3" s="84">
        <v>28</v>
      </c>
      <c r="AX3" s="84">
        <v>29</v>
      </c>
      <c r="AY3" s="84">
        <v>30</v>
      </c>
      <c r="AZ3" s="85">
        <v>31</v>
      </c>
      <c r="BA3" s="61" t="s">
        <v>71</v>
      </c>
      <c r="BB3" s="61" t="s">
        <v>72</v>
      </c>
      <c r="BC3" s="61" t="s">
        <v>73</v>
      </c>
      <c r="BD3" s="61" t="s">
        <v>74</v>
      </c>
      <c r="BE3" s="61" t="s">
        <v>75</v>
      </c>
      <c r="BF3" s="61" t="s">
        <v>76</v>
      </c>
      <c r="BG3" s="61" t="s">
        <v>77</v>
      </c>
      <c r="BH3" s="161"/>
      <c r="BJ3" s="60" t="s">
        <v>71</v>
      </c>
      <c r="BK3" s="60" t="s">
        <v>72</v>
      </c>
      <c r="BL3" s="60" t="s">
        <v>73</v>
      </c>
      <c r="BM3" s="60" t="s">
        <v>74</v>
      </c>
      <c r="BN3" s="60" t="s">
        <v>75</v>
      </c>
      <c r="BO3" s="60" t="s">
        <v>79</v>
      </c>
      <c r="BP3" s="60" t="s">
        <v>80</v>
      </c>
      <c r="BQ3" s="147"/>
      <c r="BS3" s="75"/>
    </row>
    <row r="4" spans="1:71">
      <c r="A4" s="3">
        <v>1</v>
      </c>
      <c r="B4" s="3" t="str">
        <f>'INTRA LABORAL A'!B5</f>
        <v xml:space="preserve">Adriana Katheribe Farfan </v>
      </c>
      <c r="C4" s="3">
        <f>'INTRA LABORAL A'!C5</f>
        <v>1075274331</v>
      </c>
      <c r="D4" s="3" t="str">
        <f>'INTRA LABORAL A'!D5</f>
        <v>f</v>
      </c>
      <c r="E4" s="3">
        <f>'INTRA LABORAL A'!E5</f>
        <v>1993</v>
      </c>
      <c r="F4" s="3" t="str">
        <f>'INTRA LABORAL A'!F5</f>
        <v>Casado</v>
      </c>
      <c r="G4" s="3" t="str">
        <f>'INTRA LABORAL A'!G5</f>
        <v>Post-grado incompleto</v>
      </c>
      <c r="H4" s="3" t="str">
        <f>'INTRA LABORAL A'!H5</f>
        <v xml:space="preserve">Ingeniero industrial </v>
      </c>
      <c r="I4" s="3" t="str">
        <f>'INTRA LABORAL A'!I5</f>
        <v>Neiva</v>
      </c>
      <c r="J4" s="3">
        <f>'INTRA LABORAL A'!J5</f>
        <v>2</v>
      </c>
      <c r="K4" s="3" t="str">
        <f>'INTRA LABORAL A'!K5</f>
        <v>Propia</v>
      </c>
      <c r="L4" s="3">
        <f>'INTRA LABORAL A'!L5</f>
        <v>1</v>
      </c>
      <c r="M4" s="3" t="str">
        <f>'INTRA LABORAL A'!M5</f>
        <v>Neiva - Huila</v>
      </c>
      <c r="N4" s="3" t="str">
        <f>'INTRA LABORAL A'!N5</f>
        <v xml:space="preserve">3 años </v>
      </c>
      <c r="O4" s="3" t="str">
        <f>'INTRA LABORAL A'!O5</f>
        <v xml:space="preserve">Administrdora </v>
      </c>
      <c r="P4" s="3" t="str">
        <f>'INTRA LABORAL A'!P5</f>
        <v>Jefatura - tiene personal a cargo</v>
      </c>
      <c r="Q4" s="3" t="str">
        <f>'INTRA LABORAL A'!Q5</f>
        <v xml:space="preserve">1 año </v>
      </c>
      <c r="R4" s="3" t="str">
        <f>'INTRA LABORAL A'!R5</f>
        <v>Administración</v>
      </c>
      <c r="S4" s="3" t="str">
        <f>'INTRA LABORAL A'!S5</f>
        <v>Temporal de menos de 1 año</v>
      </c>
      <c r="T4" s="3">
        <f>'INTRA LABORAL A'!T5</f>
        <v>8</v>
      </c>
      <c r="U4" s="3" t="str">
        <f>'INTRA LABORAL A'!U5</f>
        <v xml:space="preserve">Fijo </v>
      </c>
      <c r="V4" s="6">
        <v>1</v>
      </c>
      <c r="W4" s="6">
        <v>0</v>
      </c>
      <c r="X4" s="6">
        <v>3</v>
      </c>
      <c r="Y4" s="6">
        <v>1</v>
      </c>
      <c r="Z4" s="6">
        <v>1</v>
      </c>
      <c r="AA4" s="6">
        <v>1</v>
      </c>
      <c r="AB4" s="6">
        <v>1</v>
      </c>
      <c r="AC4" s="6">
        <v>2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2</v>
      </c>
      <c r="AJ4" s="6">
        <v>2</v>
      </c>
      <c r="AK4" s="6">
        <v>2</v>
      </c>
      <c r="AL4" s="6">
        <v>2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1</v>
      </c>
      <c r="AT4" s="6">
        <v>0</v>
      </c>
      <c r="AU4" s="6">
        <v>2</v>
      </c>
      <c r="AV4" s="6">
        <v>0</v>
      </c>
      <c r="AW4" s="6">
        <v>1</v>
      </c>
      <c r="AX4" s="6">
        <v>0</v>
      </c>
      <c r="AY4" s="6">
        <v>2</v>
      </c>
      <c r="AZ4" s="6">
        <v>1</v>
      </c>
      <c r="BA4" s="3">
        <f>SUM(AI4:AL4)</f>
        <v>8</v>
      </c>
      <c r="BB4" s="3">
        <f>SUM(AQ4+AT4+AV4)</f>
        <v>0</v>
      </c>
      <c r="BC4" s="3">
        <f>SUM(AM4+AN4+AO4+AP4+AR4)</f>
        <v>0</v>
      </c>
      <c r="BD4" s="3">
        <f>SUM(AX4+AY4+AZ4)</f>
        <v>3</v>
      </c>
      <c r="BE4" s="3">
        <f>SUM(Z4:AH4)</f>
        <v>7</v>
      </c>
      <c r="BF4" s="3">
        <f>SUM(AS4+AU4+AW4)</f>
        <v>4</v>
      </c>
      <c r="BG4" s="3">
        <f>SUM(V4:Y4)</f>
        <v>5</v>
      </c>
      <c r="BH4" s="3">
        <f>SUM(BA4:BG4)</f>
        <v>27</v>
      </c>
      <c r="BJ4" s="62">
        <f>SUM(BA4/16)*100</f>
        <v>50</v>
      </c>
      <c r="BK4" s="62">
        <f>SUM(BB4/12)*100</f>
        <v>0</v>
      </c>
      <c r="BL4" s="62">
        <f>SUM(BC4/20)*100</f>
        <v>0</v>
      </c>
      <c r="BM4" s="62">
        <f>SUM(BD4/12)*100</f>
        <v>25</v>
      </c>
      <c r="BN4" s="62">
        <f>SUM(BE4/36)*100</f>
        <v>19.444444444444446</v>
      </c>
      <c r="BO4" s="62">
        <f>SUM(BF4/12)*100</f>
        <v>33.333333333333329</v>
      </c>
      <c r="BP4" s="62">
        <f>SUM(BG4/16)*100</f>
        <v>31.25</v>
      </c>
      <c r="BQ4" s="62">
        <f>SUM(BH4/124)*100</f>
        <v>21.774193548387096</v>
      </c>
    </row>
    <row r="5" spans="1:71">
      <c r="A5" s="3">
        <v>2</v>
      </c>
      <c r="B5" s="3" t="str">
        <f>'INTRA LABORAL A'!B6</f>
        <v xml:space="preserve">Ever Adames Ramón </v>
      </c>
      <c r="C5" s="3">
        <f>'INTRA LABORAL A'!C6</f>
        <v>7696889</v>
      </c>
      <c r="D5" s="3" t="str">
        <f>'INTRA LABORAL A'!D6</f>
        <v>m</v>
      </c>
      <c r="E5" s="3">
        <f>'INTRA LABORAL A'!E6</f>
        <v>1974</v>
      </c>
      <c r="F5" s="3" t="str">
        <f>'INTRA LABORAL A'!F6</f>
        <v>Soltero (a)</v>
      </c>
      <c r="G5" s="3" t="str">
        <f>'INTRA LABORAL A'!G6</f>
        <v>Post-grado completo</v>
      </c>
      <c r="H5" s="3" t="str">
        <f>'INTRA LABORAL A'!H6</f>
        <v xml:space="preserve">Ingeniero </v>
      </c>
      <c r="I5" s="3" t="str">
        <f>'INTRA LABORAL A'!I6</f>
        <v>Neiva</v>
      </c>
      <c r="J5" s="3">
        <f>'INTRA LABORAL A'!J6</f>
        <v>3</v>
      </c>
      <c r="K5" s="3" t="str">
        <f>'INTRA LABORAL A'!K6</f>
        <v>Propia</v>
      </c>
      <c r="L5" s="3">
        <f>'INTRA LABORAL A'!L6</f>
        <v>1</v>
      </c>
      <c r="M5" s="3" t="str">
        <f>'INTRA LABORAL A'!M6</f>
        <v>Neiva - Huila</v>
      </c>
      <c r="N5" s="3" t="str">
        <f>'INTRA LABORAL A'!N6</f>
        <v>20 años</v>
      </c>
      <c r="O5" s="3" t="str">
        <f>'INTRA LABORAL A'!O6</f>
        <v xml:space="preserve">Gerente </v>
      </c>
      <c r="P5" s="3" t="str">
        <f>'INTRA LABORAL A'!P6</f>
        <v>Jefatura - tiene personal a cargo</v>
      </c>
      <c r="Q5" s="3" t="str">
        <f>'INTRA LABORAL A'!Q6</f>
        <v>10 años</v>
      </c>
      <c r="R5" s="3" t="str">
        <f>'INTRA LABORAL A'!R6</f>
        <v xml:space="preserve">Gerencia </v>
      </c>
      <c r="S5" s="3" t="str">
        <f>'INTRA LABORAL A'!S6</f>
        <v>Termino Indefinido</v>
      </c>
      <c r="T5" s="3">
        <f>'INTRA LABORAL A'!T6</f>
        <v>8</v>
      </c>
      <c r="U5" s="3" t="str">
        <f>'INTRA LABORAL A'!U6</f>
        <v>Una Parte fija y otra variable</v>
      </c>
      <c r="V5" s="6">
        <v>2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2</v>
      </c>
      <c r="AC5" s="6">
        <v>3</v>
      </c>
      <c r="AD5" s="6">
        <v>3</v>
      </c>
      <c r="AE5" s="6">
        <v>0</v>
      </c>
      <c r="AF5" s="6">
        <v>0</v>
      </c>
      <c r="AG5" s="6">
        <v>0</v>
      </c>
      <c r="AH5" s="6">
        <v>0</v>
      </c>
      <c r="AI5" s="6">
        <v>1</v>
      </c>
      <c r="AJ5" s="6">
        <v>1</v>
      </c>
      <c r="AK5" s="6">
        <v>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1</v>
      </c>
      <c r="AT5" s="6">
        <v>0</v>
      </c>
      <c r="AU5" s="6">
        <v>0</v>
      </c>
      <c r="AV5" s="6">
        <v>0</v>
      </c>
      <c r="AW5" s="6">
        <v>1</v>
      </c>
      <c r="AX5" s="6">
        <v>3</v>
      </c>
      <c r="AY5" s="6">
        <v>2</v>
      </c>
      <c r="AZ5" s="6">
        <v>2</v>
      </c>
      <c r="BA5" s="3">
        <f t="shared" ref="BA5:BA7" si="0">SUM(AI5:AL5)</f>
        <v>3</v>
      </c>
      <c r="BB5" s="3">
        <f t="shared" ref="BB5:BB7" si="1">SUM(AQ5+AT5+AV5)</f>
        <v>0</v>
      </c>
      <c r="BC5" s="3">
        <f t="shared" ref="BC5:BC7" si="2">SUM(AM5+AN5+AO5+AP5+AR5)</f>
        <v>0</v>
      </c>
      <c r="BD5" s="3">
        <f t="shared" ref="BD5:BD7" si="3">SUM(AX5+AY5+AZ5)</f>
        <v>7</v>
      </c>
      <c r="BE5" s="3">
        <f t="shared" ref="BE5:BE7" si="4">SUM(Z5:AH5)</f>
        <v>10</v>
      </c>
      <c r="BF5" s="3">
        <f t="shared" ref="BF5:BF7" si="5">SUM(AS5+AU5+AW5)</f>
        <v>2</v>
      </c>
      <c r="BG5" s="3">
        <f t="shared" ref="BG5:BG7" si="6">SUM(V5:Y5)</f>
        <v>5</v>
      </c>
      <c r="BH5" s="3">
        <f t="shared" ref="BH5:BH7" si="7">SUM(BA5:BG5)</f>
        <v>27</v>
      </c>
      <c r="BJ5" s="62">
        <f t="shared" ref="BJ5:BJ7" si="8">SUM(BA5/16)*100</f>
        <v>18.75</v>
      </c>
      <c r="BK5" s="62">
        <f t="shared" ref="BK5:BK7" si="9">SUM(BB5/12)*100</f>
        <v>0</v>
      </c>
      <c r="BL5" s="62">
        <f t="shared" ref="BL5:BL7" si="10">SUM(BC5/20)*100</f>
        <v>0</v>
      </c>
      <c r="BM5" s="62">
        <f t="shared" ref="BM5:BM7" si="11">SUM(BD5/12)*100</f>
        <v>58.333333333333336</v>
      </c>
      <c r="BN5" s="62">
        <f t="shared" ref="BN5:BN7" si="12">SUM(BE5/36)*100</f>
        <v>27.777777777777779</v>
      </c>
      <c r="BO5" s="62">
        <f t="shared" ref="BO5:BO7" si="13">SUM(BF5/12)*100</f>
        <v>16.666666666666664</v>
      </c>
      <c r="BP5" s="62">
        <f t="shared" ref="BP5:BP7" si="14">SUM(BG5/16)*100</f>
        <v>31.25</v>
      </c>
      <c r="BQ5" s="62">
        <f t="shared" ref="BQ5:BQ7" si="15">SUM(BH5/124)*100</f>
        <v>21.774193548387096</v>
      </c>
    </row>
    <row r="6" spans="1:71">
      <c r="A6" s="3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3">
        <f t="shared" si="0"/>
        <v>0</v>
      </c>
      <c r="BB6" s="3">
        <f t="shared" si="1"/>
        <v>0</v>
      </c>
      <c r="BC6" s="3">
        <f t="shared" si="2"/>
        <v>0</v>
      </c>
      <c r="BD6" s="3">
        <f t="shared" si="3"/>
        <v>0</v>
      </c>
      <c r="BE6" s="3">
        <f t="shared" si="4"/>
        <v>0</v>
      </c>
      <c r="BF6" s="3">
        <f t="shared" si="5"/>
        <v>0</v>
      </c>
      <c r="BG6" s="3">
        <f t="shared" si="6"/>
        <v>0</v>
      </c>
      <c r="BH6" s="3">
        <f t="shared" si="7"/>
        <v>0</v>
      </c>
      <c r="BJ6" s="62">
        <f t="shared" si="8"/>
        <v>0</v>
      </c>
      <c r="BK6" s="62">
        <f t="shared" si="9"/>
        <v>0</v>
      </c>
      <c r="BL6" s="62">
        <f t="shared" si="10"/>
        <v>0</v>
      </c>
      <c r="BM6" s="62">
        <f t="shared" si="11"/>
        <v>0</v>
      </c>
      <c r="BN6" s="62">
        <f t="shared" si="12"/>
        <v>0</v>
      </c>
      <c r="BO6" s="62">
        <f t="shared" si="13"/>
        <v>0</v>
      </c>
      <c r="BP6" s="62">
        <f t="shared" si="14"/>
        <v>0</v>
      </c>
      <c r="BQ6" s="62">
        <f t="shared" si="15"/>
        <v>0</v>
      </c>
    </row>
    <row r="7" spans="1:71">
      <c r="A7" s="3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3">
        <f t="shared" si="0"/>
        <v>0</v>
      </c>
      <c r="BB7" s="3">
        <f t="shared" si="1"/>
        <v>0</v>
      </c>
      <c r="BC7" s="3">
        <f t="shared" si="2"/>
        <v>0</v>
      </c>
      <c r="BD7" s="3">
        <f t="shared" si="3"/>
        <v>0</v>
      </c>
      <c r="BE7" s="3">
        <f t="shared" si="4"/>
        <v>0</v>
      </c>
      <c r="BF7" s="3">
        <f t="shared" si="5"/>
        <v>0</v>
      </c>
      <c r="BG7" s="3">
        <f t="shared" si="6"/>
        <v>0</v>
      </c>
      <c r="BH7" s="3">
        <f t="shared" si="7"/>
        <v>0</v>
      </c>
      <c r="BJ7" s="62">
        <f t="shared" si="8"/>
        <v>0</v>
      </c>
      <c r="BK7" s="62">
        <f t="shared" si="9"/>
        <v>0</v>
      </c>
      <c r="BL7" s="62">
        <f t="shared" si="10"/>
        <v>0</v>
      </c>
      <c r="BM7" s="62">
        <f t="shared" si="11"/>
        <v>0</v>
      </c>
      <c r="BN7" s="62">
        <f t="shared" si="12"/>
        <v>0</v>
      </c>
      <c r="BO7" s="62">
        <f t="shared" si="13"/>
        <v>0</v>
      </c>
      <c r="BP7" s="62">
        <f t="shared" si="14"/>
        <v>0</v>
      </c>
      <c r="BQ7" s="62">
        <f t="shared" si="15"/>
        <v>0</v>
      </c>
    </row>
    <row r="8" spans="1:71">
      <c r="A8" s="3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3">
        <f t="shared" ref="BA8:BA16" si="16">SUM(AI8:AL8)</f>
        <v>0</v>
      </c>
      <c r="BB8" s="3">
        <f t="shared" ref="BB8:BB16" si="17">SUM(AQ8+AT8+AV8)</f>
        <v>0</v>
      </c>
      <c r="BC8" s="3">
        <f t="shared" ref="BC8:BC16" si="18">SUM(AM8+AN8+AO8+AP8+AR8)</f>
        <v>0</v>
      </c>
      <c r="BD8" s="3">
        <f t="shared" ref="BD8:BD16" si="19">SUM(AX8+AY8+AZ8)</f>
        <v>0</v>
      </c>
      <c r="BE8" s="3">
        <f t="shared" ref="BE8:BE16" si="20">SUM(Z8:AH8)</f>
        <v>0</v>
      </c>
      <c r="BF8" s="3">
        <f t="shared" ref="BF8:BF16" si="21">SUM(AS8+AU8+AW8)</f>
        <v>0</v>
      </c>
      <c r="BG8" s="3">
        <f t="shared" ref="BG8:BG16" si="22">SUM(V8:Y8)</f>
        <v>0</v>
      </c>
      <c r="BH8" s="3">
        <f t="shared" ref="BH8:BH16" si="23">SUM(BA8:BG8)</f>
        <v>0</v>
      </c>
      <c r="BJ8" s="62">
        <f t="shared" ref="BJ8:BJ16" si="24">SUM(BA8/16)*100</f>
        <v>0</v>
      </c>
      <c r="BK8" s="62">
        <f t="shared" ref="BK8:BK16" si="25">SUM(BB8/12)*100</f>
        <v>0</v>
      </c>
      <c r="BL8" s="62">
        <f t="shared" ref="BL8:BL16" si="26">SUM(BC8/20)*100</f>
        <v>0</v>
      </c>
      <c r="BM8" s="62">
        <f t="shared" ref="BM8:BM16" si="27">SUM(BD8/12)*100</f>
        <v>0</v>
      </c>
      <c r="BN8" s="62">
        <f t="shared" ref="BN8:BN16" si="28">SUM(BE8/36)*100</f>
        <v>0</v>
      </c>
      <c r="BO8" s="62">
        <f t="shared" ref="BO8:BO16" si="29">SUM(BF8/12)*100</f>
        <v>0</v>
      </c>
      <c r="BP8" s="62">
        <f t="shared" ref="BP8:BP16" si="30">SUM(BG8/16)*100</f>
        <v>0</v>
      </c>
      <c r="BQ8" s="62">
        <f t="shared" ref="BQ8:BQ16" si="31">SUM(BH8/124)*100</f>
        <v>0</v>
      </c>
    </row>
    <row r="9" spans="1:71">
      <c r="A9" s="3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3">
        <f t="shared" si="16"/>
        <v>0</v>
      </c>
      <c r="BB9" s="3">
        <f t="shared" si="17"/>
        <v>0</v>
      </c>
      <c r="BC9" s="3">
        <f t="shared" si="18"/>
        <v>0</v>
      </c>
      <c r="BD9" s="3">
        <f t="shared" si="19"/>
        <v>0</v>
      </c>
      <c r="BE9" s="3">
        <f t="shared" si="20"/>
        <v>0</v>
      </c>
      <c r="BF9" s="3">
        <f t="shared" si="21"/>
        <v>0</v>
      </c>
      <c r="BG9" s="3">
        <f t="shared" si="22"/>
        <v>0</v>
      </c>
      <c r="BH9" s="3">
        <f t="shared" si="23"/>
        <v>0</v>
      </c>
      <c r="BJ9" s="62">
        <f t="shared" si="24"/>
        <v>0</v>
      </c>
      <c r="BK9" s="62">
        <f t="shared" si="25"/>
        <v>0</v>
      </c>
      <c r="BL9" s="62">
        <f t="shared" si="26"/>
        <v>0</v>
      </c>
      <c r="BM9" s="62">
        <f t="shared" si="27"/>
        <v>0</v>
      </c>
      <c r="BN9" s="62">
        <f t="shared" si="28"/>
        <v>0</v>
      </c>
      <c r="BO9" s="62">
        <f t="shared" si="29"/>
        <v>0</v>
      </c>
      <c r="BP9" s="62">
        <f t="shared" si="30"/>
        <v>0</v>
      </c>
      <c r="BQ9" s="62">
        <f t="shared" si="31"/>
        <v>0</v>
      </c>
    </row>
    <row r="10" spans="1:71">
      <c r="A10" s="3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3">
        <f t="shared" si="16"/>
        <v>0</v>
      </c>
      <c r="BB10" s="3">
        <f t="shared" si="17"/>
        <v>0</v>
      </c>
      <c r="BC10" s="3">
        <f t="shared" si="18"/>
        <v>0</v>
      </c>
      <c r="BD10" s="3">
        <f t="shared" si="19"/>
        <v>0</v>
      </c>
      <c r="BE10" s="3">
        <f t="shared" si="20"/>
        <v>0</v>
      </c>
      <c r="BF10" s="3">
        <f t="shared" si="21"/>
        <v>0</v>
      </c>
      <c r="BG10" s="3">
        <f t="shared" si="22"/>
        <v>0</v>
      </c>
      <c r="BH10" s="3">
        <f t="shared" si="23"/>
        <v>0</v>
      </c>
      <c r="BJ10" s="62">
        <f t="shared" si="24"/>
        <v>0</v>
      </c>
      <c r="BK10" s="62">
        <f t="shared" si="25"/>
        <v>0</v>
      </c>
      <c r="BL10" s="62">
        <f t="shared" si="26"/>
        <v>0</v>
      </c>
      <c r="BM10" s="62">
        <f t="shared" si="27"/>
        <v>0</v>
      </c>
      <c r="BN10" s="62">
        <f t="shared" si="28"/>
        <v>0</v>
      </c>
      <c r="BO10" s="62">
        <f t="shared" si="29"/>
        <v>0</v>
      </c>
      <c r="BP10" s="62">
        <f t="shared" si="30"/>
        <v>0</v>
      </c>
      <c r="BQ10" s="62">
        <f t="shared" si="31"/>
        <v>0</v>
      </c>
    </row>
    <row r="11" spans="1:71">
      <c r="A11" s="3">
        <v>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3">
        <f t="shared" si="16"/>
        <v>0</v>
      </c>
      <c r="BB11" s="3">
        <f t="shared" si="17"/>
        <v>0</v>
      </c>
      <c r="BC11" s="3">
        <f t="shared" si="18"/>
        <v>0</v>
      </c>
      <c r="BD11" s="3">
        <f t="shared" si="19"/>
        <v>0</v>
      </c>
      <c r="BE11" s="3">
        <f t="shared" si="20"/>
        <v>0</v>
      </c>
      <c r="BF11" s="3">
        <f t="shared" si="21"/>
        <v>0</v>
      </c>
      <c r="BG11" s="3">
        <f t="shared" si="22"/>
        <v>0</v>
      </c>
      <c r="BH11" s="3">
        <f t="shared" si="23"/>
        <v>0</v>
      </c>
      <c r="BJ11" s="62">
        <f t="shared" si="24"/>
        <v>0</v>
      </c>
      <c r="BK11" s="62">
        <f t="shared" si="25"/>
        <v>0</v>
      </c>
      <c r="BL11" s="62">
        <f t="shared" si="26"/>
        <v>0</v>
      </c>
      <c r="BM11" s="62">
        <f t="shared" si="27"/>
        <v>0</v>
      </c>
      <c r="BN11" s="62">
        <f t="shared" si="28"/>
        <v>0</v>
      </c>
      <c r="BO11" s="62">
        <f t="shared" si="29"/>
        <v>0</v>
      </c>
      <c r="BP11" s="62">
        <f t="shared" si="30"/>
        <v>0</v>
      </c>
      <c r="BQ11" s="62">
        <f t="shared" si="31"/>
        <v>0</v>
      </c>
    </row>
    <row r="12" spans="1:71">
      <c r="A12" s="3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3">
        <f t="shared" si="16"/>
        <v>0</v>
      </c>
      <c r="BB12" s="3">
        <f t="shared" si="17"/>
        <v>0</v>
      </c>
      <c r="BC12" s="3">
        <f t="shared" si="18"/>
        <v>0</v>
      </c>
      <c r="BD12" s="3">
        <f t="shared" si="19"/>
        <v>0</v>
      </c>
      <c r="BE12" s="3">
        <f t="shared" si="20"/>
        <v>0</v>
      </c>
      <c r="BF12" s="3">
        <f t="shared" si="21"/>
        <v>0</v>
      </c>
      <c r="BG12" s="3">
        <f t="shared" si="22"/>
        <v>0</v>
      </c>
      <c r="BH12" s="3">
        <f t="shared" si="23"/>
        <v>0</v>
      </c>
      <c r="BJ12" s="62">
        <f t="shared" si="24"/>
        <v>0</v>
      </c>
      <c r="BK12" s="62">
        <f t="shared" si="25"/>
        <v>0</v>
      </c>
      <c r="BL12" s="62">
        <f t="shared" si="26"/>
        <v>0</v>
      </c>
      <c r="BM12" s="62">
        <f t="shared" si="27"/>
        <v>0</v>
      </c>
      <c r="BN12" s="62">
        <f t="shared" si="28"/>
        <v>0</v>
      </c>
      <c r="BO12" s="62">
        <f t="shared" si="29"/>
        <v>0</v>
      </c>
      <c r="BP12" s="62">
        <f t="shared" si="30"/>
        <v>0</v>
      </c>
      <c r="BQ12" s="62">
        <f t="shared" si="31"/>
        <v>0</v>
      </c>
    </row>
    <row r="13" spans="1:71">
      <c r="A13" s="3">
        <v>10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3">
        <f t="shared" si="16"/>
        <v>0</v>
      </c>
      <c r="BB13" s="3">
        <f t="shared" si="17"/>
        <v>0</v>
      </c>
      <c r="BC13" s="3">
        <f t="shared" si="18"/>
        <v>0</v>
      </c>
      <c r="BD13" s="3">
        <f t="shared" si="19"/>
        <v>0</v>
      </c>
      <c r="BE13" s="3">
        <f t="shared" si="20"/>
        <v>0</v>
      </c>
      <c r="BF13" s="3">
        <f t="shared" si="21"/>
        <v>0</v>
      </c>
      <c r="BG13" s="3">
        <f t="shared" si="22"/>
        <v>0</v>
      </c>
      <c r="BH13" s="3">
        <f t="shared" si="23"/>
        <v>0</v>
      </c>
      <c r="BJ13" s="62">
        <f t="shared" si="24"/>
        <v>0</v>
      </c>
      <c r="BK13" s="62">
        <f t="shared" si="25"/>
        <v>0</v>
      </c>
      <c r="BL13" s="62">
        <f t="shared" si="26"/>
        <v>0</v>
      </c>
      <c r="BM13" s="62">
        <f t="shared" si="27"/>
        <v>0</v>
      </c>
      <c r="BN13" s="62">
        <f t="shared" si="28"/>
        <v>0</v>
      </c>
      <c r="BO13" s="62">
        <f t="shared" si="29"/>
        <v>0</v>
      </c>
      <c r="BP13" s="62">
        <f t="shared" si="30"/>
        <v>0</v>
      </c>
      <c r="BQ13" s="62">
        <f t="shared" si="31"/>
        <v>0</v>
      </c>
    </row>
    <row r="14" spans="1:71">
      <c r="A14" s="3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3">
        <f t="shared" si="16"/>
        <v>0</v>
      </c>
      <c r="BB14" s="3">
        <f t="shared" si="17"/>
        <v>0</v>
      </c>
      <c r="BC14" s="3">
        <f t="shared" si="18"/>
        <v>0</v>
      </c>
      <c r="BD14" s="3">
        <f t="shared" si="19"/>
        <v>0</v>
      </c>
      <c r="BE14" s="3">
        <f t="shared" si="20"/>
        <v>0</v>
      </c>
      <c r="BF14" s="3">
        <f t="shared" si="21"/>
        <v>0</v>
      </c>
      <c r="BG14" s="3">
        <f t="shared" si="22"/>
        <v>0</v>
      </c>
      <c r="BH14" s="3">
        <f t="shared" si="23"/>
        <v>0</v>
      </c>
      <c r="BJ14" s="62">
        <f t="shared" si="24"/>
        <v>0</v>
      </c>
      <c r="BK14" s="62">
        <f t="shared" si="25"/>
        <v>0</v>
      </c>
      <c r="BL14" s="62">
        <f t="shared" si="26"/>
        <v>0</v>
      </c>
      <c r="BM14" s="62">
        <f t="shared" si="27"/>
        <v>0</v>
      </c>
      <c r="BN14" s="62">
        <f t="shared" si="28"/>
        <v>0</v>
      </c>
      <c r="BO14" s="62">
        <f t="shared" si="29"/>
        <v>0</v>
      </c>
      <c r="BP14" s="62">
        <f t="shared" si="30"/>
        <v>0</v>
      </c>
      <c r="BQ14" s="62">
        <f t="shared" si="31"/>
        <v>0</v>
      </c>
    </row>
    <row r="15" spans="1:71">
      <c r="A15" s="3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3">
        <f t="shared" si="16"/>
        <v>0</v>
      </c>
      <c r="BB15" s="3">
        <f t="shared" si="17"/>
        <v>0</v>
      </c>
      <c r="BC15" s="3">
        <f t="shared" si="18"/>
        <v>0</v>
      </c>
      <c r="BD15" s="3">
        <f t="shared" si="19"/>
        <v>0</v>
      </c>
      <c r="BE15" s="3">
        <f t="shared" si="20"/>
        <v>0</v>
      </c>
      <c r="BF15" s="3">
        <f t="shared" si="21"/>
        <v>0</v>
      </c>
      <c r="BG15" s="3">
        <f t="shared" si="22"/>
        <v>0</v>
      </c>
      <c r="BH15" s="3">
        <f t="shared" si="23"/>
        <v>0</v>
      </c>
      <c r="BJ15" s="62">
        <f t="shared" si="24"/>
        <v>0</v>
      </c>
      <c r="BK15" s="62">
        <f t="shared" si="25"/>
        <v>0</v>
      </c>
      <c r="BL15" s="62">
        <f t="shared" si="26"/>
        <v>0</v>
      </c>
      <c r="BM15" s="62">
        <f t="shared" si="27"/>
        <v>0</v>
      </c>
      <c r="BN15" s="62">
        <f t="shared" si="28"/>
        <v>0</v>
      </c>
      <c r="BO15" s="62">
        <f t="shared" si="29"/>
        <v>0</v>
      </c>
      <c r="BP15" s="62">
        <f t="shared" si="30"/>
        <v>0</v>
      </c>
      <c r="BQ15" s="62">
        <f t="shared" si="31"/>
        <v>0</v>
      </c>
    </row>
    <row r="16" spans="1:71">
      <c r="A16" s="3">
        <v>13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3">
        <f t="shared" si="16"/>
        <v>0</v>
      </c>
      <c r="BB16" s="3">
        <f t="shared" si="17"/>
        <v>0</v>
      </c>
      <c r="BC16" s="3">
        <f t="shared" si="18"/>
        <v>0</v>
      </c>
      <c r="BD16" s="3">
        <f t="shared" si="19"/>
        <v>0</v>
      </c>
      <c r="BE16" s="3">
        <f t="shared" si="20"/>
        <v>0</v>
      </c>
      <c r="BF16" s="3">
        <f t="shared" si="21"/>
        <v>0</v>
      </c>
      <c r="BG16" s="3">
        <f t="shared" si="22"/>
        <v>0</v>
      </c>
      <c r="BH16" s="3">
        <f t="shared" si="23"/>
        <v>0</v>
      </c>
      <c r="BJ16" s="62">
        <f t="shared" si="24"/>
        <v>0</v>
      </c>
      <c r="BK16" s="62">
        <f t="shared" si="25"/>
        <v>0</v>
      </c>
      <c r="BL16" s="62">
        <f t="shared" si="26"/>
        <v>0</v>
      </c>
      <c r="BM16" s="62">
        <f t="shared" si="27"/>
        <v>0</v>
      </c>
      <c r="BN16" s="62">
        <f t="shared" si="28"/>
        <v>0</v>
      </c>
      <c r="BO16" s="62">
        <f t="shared" si="29"/>
        <v>0</v>
      </c>
      <c r="BP16" s="62">
        <f t="shared" si="30"/>
        <v>0</v>
      </c>
      <c r="BQ16" s="62">
        <f t="shared" si="31"/>
        <v>0</v>
      </c>
    </row>
    <row r="17" spans="1:69">
      <c r="A17" s="3">
        <v>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3">
        <f t="shared" ref="BA17:BA57" si="32">SUM(AI17:AL17)</f>
        <v>0</v>
      </c>
      <c r="BB17" s="3">
        <f t="shared" ref="BB17:BB29" si="33">SUM(AQ17+AT17+AV17)</f>
        <v>0</v>
      </c>
      <c r="BC17" s="3">
        <f t="shared" ref="BC17:BC57" si="34">SUM(AM17+AN17+AO17+AP17+AR17)</f>
        <v>0</v>
      </c>
      <c r="BD17" s="3">
        <f t="shared" ref="BD17:BD29" si="35">SUM(AX17+AY17+AZ17)</f>
        <v>0</v>
      </c>
      <c r="BE17" s="3">
        <f t="shared" ref="BE17:BE57" si="36">SUM(Z17:AH17)</f>
        <v>0</v>
      </c>
      <c r="BF17" s="3">
        <f t="shared" ref="BF17:BF57" si="37">SUM(AS17+AU17+AW17)</f>
        <v>0</v>
      </c>
      <c r="BG17" s="3">
        <f t="shared" ref="BG17:BG57" si="38">SUM(V17:Y17)</f>
        <v>0</v>
      </c>
      <c r="BH17" s="3">
        <f t="shared" ref="BH17:BH29" si="39">SUM(BA17:BG17)</f>
        <v>0</v>
      </c>
      <c r="BJ17" s="62">
        <f t="shared" ref="BJ17:BJ57" si="40">SUM(BA17/16)*100</f>
        <v>0</v>
      </c>
      <c r="BK17" s="62">
        <f t="shared" ref="BK17:BK57" si="41">SUM(BB17/12)*100</f>
        <v>0</v>
      </c>
      <c r="BL17" s="62">
        <f t="shared" ref="BL17:BL57" si="42">SUM(BC17/20)*100</f>
        <v>0</v>
      </c>
      <c r="BM17" s="62">
        <f t="shared" ref="BM17:BM57" si="43">SUM(BD17/12)*100</f>
        <v>0</v>
      </c>
      <c r="BN17" s="62">
        <f t="shared" ref="BN17:BN57" si="44">SUM(BE17/36)*100</f>
        <v>0</v>
      </c>
      <c r="BO17" s="62">
        <f t="shared" ref="BO17:BO57" si="45">SUM(BF17/12)*100</f>
        <v>0</v>
      </c>
      <c r="BP17" s="62">
        <f t="shared" ref="BP17:BP57" si="46">SUM(BG17/16)*100</f>
        <v>0</v>
      </c>
      <c r="BQ17" s="62">
        <f t="shared" ref="BQ17:BQ57" si="47">SUM(BH17/124)*100</f>
        <v>0</v>
      </c>
    </row>
    <row r="18" spans="1:69">
      <c r="A18" s="3">
        <v>15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3">
        <f t="shared" si="32"/>
        <v>0</v>
      </c>
      <c r="BB18" s="3">
        <f t="shared" si="33"/>
        <v>0</v>
      </c>
      <c r="BC18" s="3">
        <f t="shared" si="34"/>
        <v>0</v>
      </c>
      <c r="BD18" s="3">
        <f t="shared" si="35"/>
        <v>0</v>
      </c>
      <c r="BE18" s="3">
        <f t="shared" si="36"/>
        <v>0</v>
      </c>
      <c r="BF18" s="3">
        <f t="shared" si="37"/>
        <v>0</v>
      </c>
      <c r="BG18" s="3">
        <f t="shared" si="38"/>
        <v>0</v>
      </c>
      <c r="BH18" s="3">
        <f t="shared" si="39"/>
        <v>0</v>
      </c>
      <c r="BJ18" s="62">
        <f t="shared" si="40"/>
        <v>0</v>
      </c>
      <c r="BK18" s="62">
        <f t="shared" si="41"/>
        <v>0</v>
      </c>
      <c r="BL18" s="62">
        <f t="shared" si="42"/>
        <v>0</v>
      </c>
      <c r="BM18" s="62">
        <f t="shared" si="43"/>
        <v>0</v>
      </c>
      <c r="BN18" s="62">
        <f t="shared" si="44"/>
        <v>0</v>
      </c>
      <c r="BO18" s="62">
        <f t="shared" si="45"/>
        <v>0</v>
      </c>
      <c r="BP18" s="62">
        <f t="shared" si="46"/>
        <v>0</v>
      </c>
      <c r="BQ18" s="62">
        <f t="shared" si="47"/>
        <v>0</v>
      </c>
    </row>
    <row r="19" spans="1:69">
      <c r="A19" s="3">
        <v>16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3">
        <f t="shared" si="32"/>
        <v>0</v>
      </c>
      <c r="BB19" s="3">
        <f t="shared" si="33"/>
        <v>0</v>
      </c>
      <c r="BC19" s="3">
        <f t="shared" si="34"/>
        <v>0</v>
      </c>
      <c r="BD19" s="3">
        <f t="shared" si="35"/>
        <v>0</v>
      </c>
      <c r="BE19" s="3">
        <f t="shared" si="36"/>
        <v>0</v>
      </c>
      <c r="BF19" s="3">
        <f t="shared" si="37"/>
        <v>0</v>
      </c>
      <c r="BG19" s="3">
        <f t="shared" si="38"/>
        <v>0</v>
      </c>
      <c r="BH19" s="3">
        <f t="shared" si="39"/>
        <v>0</v>
      </c>
      <c r="BJ19" s="62">
        <f t="shared" si="40"/>
        <v>0</v>
      </c>
      <c r="BK19" s="62">
        <f t="shared" si="41"/>
        <v>0</v>
      </c>
      <c r="BL19" s="62">
        <f t="shared" si="42"/>
        <v>0</v>
      </c>
      <c r="BM19" s="62">
        <f t="shared" si="43"/>
        <v>0</v>
      </c>
      <c r="BN19" s="62">
        <f t="shared" si="44"/>
        <v>0</v>
      </c>
      <c r="BO19" s="62">
        <f t="shared" si="45"/>
        <v>0</v>
      </c>
      <c r="BP19" s="62">
        <f t="shared" si="46"/>
        <v>0</v>
      </c>
      <c r="BQ19" s="62">
        <f t="shared" si="47"/>
        <v>0</v>
      </c>
    </row>
    <row r="20" spans="1:69">
      <c r="A20" s="3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3">
        <f t="shared" si="32"/>
        <v>0</v>
      </c>
      <c r="BB20" s="3">
        <f t="shared" si="33"/>
        <v>0</v>
      </c>
      <c r="BC20" s="3">
        <f t="shared" si="34"/>
        <v>0</v>
      </c>
      <c r="BD20" s="3">
        <f t="shared" si="35"/>
        <v>0</v>
      </c>
      <c r="BE20" s="3">
        <f t="shared" si="36"/>
        <v>0</v>
      </c>
      <c r="BF20" s="3">
        <f t="shared" si="37"/>
        <v>0</v>
      </c>
      <c r="BG20" s="3">
        <f t="shared" si="38"/>
        <v>0</v>
      </c>
      <c r="BH20" s="3">
        <f t="shared" si="39"/>
        <v>0</v>
      </c>
      <c r="BJ20" s="62">
        <f t="shared" si="40"/>
        <v>0</v>
      </c>
      <c r="BK20" s="62">
        <f t="shared" si="41"/>
        <v>0</v>
      </c>
      <c r="BL20" s="62">
        <f t="shared" si="42"/>
        <v>0</v>
      </c>
      <c r="BM20" s="62">
        <f t="shared" si="43"/>
        <v>0</v>
      </c>
      <c r="BN20" s="62">
        <f t="shared" si="44"/>
        <v>0</v>
      </c>
      <c r="BO20" s="62">
        <f t="shared" si="45"/>
        <v>0</v>
      </c>
      <c r="BP20" s="62">
        <f t="shared" si="46"/>
        <v>0</v>
      </c>
      <c r="BQ20" s="62">
        <f t="shared" si="47"/>
        <v>0</v>
      </c>
    </row>
    <row r="21" spans="1:69">
      <c r="A21" s="3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3">
        <f t="shared" si="32"/>
        <v>0</v>
      </c>
      <c r="BB21" s="3">
        <f t="shared" si="33"/>
        <v>0</v>
      </c>
      <c r="BC21" s="3">
        <f t="shared" si="34"/>
        <v>0</v>
      </c>
      <c r="BD21" s="3">
        <f t="shared" si="35"/>
        <v>0</v>
      </c>
      <c r="BE21" s="3">
        <f t="shared" si="36"/>
        <v>0</v>
      </c>
      <c r="BF21" s="3">
        <f t="shared" si="37"/>
        <v>0</v>
      </c>
      <c r="BG21" s="3">
        <f t="shared" si="38"/>
        <v>0</v>
      </c>
      <c r="BH21" s="3">
        <f t="shared" si="39"/>
        <v>0</v>
      </c>
      <c r="BJ21" s="62">
        <f t="shared" si="40"/>
        <v>0</v>
      </c>
      <c r="BK21" s="62">
        <f t="shared" si="41"/>
        <v>0</v>
      </c>
      <c r="BL21" s="62">
        <f t="shared" si="42"/>
        <v>0</v>
      </c>
      <c r="BM21" s="62">
        <f t="shared" si="43"/>
        <v>0</v>
      </c>
      <c r="BN21" s="62">
        <f t="shared" si="44"/>
        <v>0</v>
      </c>
      <c r="BO21" s="62">
        <f t="shared" si="45"/>
        <v>0</v>
      </c>
      <c r="BP21" s="62">
        <f t="shared" si="46"/>
        <v>0</v>
      </c>
      <c r="BQ21" s="62">
        <f t="shared" si="47"/>
        <v>0</v>
      </c>
    </row>
    <row r="22" spans="1:69">
      <c r="A22" s="3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3">
        <f t="shared" si="32"/>
        <v>0</v>
      </c>
      <c r="BB22" s="3">
        <f t="shared" si="33"/>
        <v>0</v>
      </c>
      <c r="BC22" s="3">
        <f t="shared" si="34"/>
        <v>0</v>
      </c>
      <c r="BD22" s="3">
        <f t="shared" si="35"/>
        <v>0</v>
      </c>
      <c r="BE22" s="3">
        <f t="shared" si="36"/>
        <v>0</v>
      </c>
      <c r="BF22" s="3">
        <f t="shared" si="37"/>
        <v>0</v>
      </c>
      <c r="BG22" s="3">
        <f t="shared" si="38"/>
        <v>0</v>
      </c>
      <c r="BH22" s="3">
        <f t="shared" si="39"/>
        <v>0</v>
      </c>
      <c r="BJ22" s="62">
        <f t="shared" si="40"/>
        <v>0</v>
      </c>
      <c r="BK22" s="62">
        <f t="shared" si="41"/>
        <v>0</v>
      </c>
      <c r="BL22" s="62">
        <f t="shared" si="42"/>
        <v>0</v>
      </c>
      <c r="BM22" s="62">
        <f t="shared" si="43"/>
        <v>0</v>
      </c>
      <c r="BN22" s="62">
        <f t="shared" si="44"/>
        <v>0</v>
      </c>
      <c r="BO22" s="62">
        <f t="shared" si="45"/>
        <v>0</v>
      </c>
      <c r="BP22" s="62">
        <f t="shared" si="46"/>
        <v>0</v>
      </c>
      <c r="BQ22" s="62">
        <f t="shared" si="47"/>
        <v>0</v>
      </c>
    </row>
    <row r="23" spans="1:69">
      <c r="A23" s="3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3">
        <f t="shared" si="32"/>
        <v>0</v>
      </c>
      <c r="BB23" s="3">
        <f t="shared" si="33"/>
        <v>0</v>
      </c>
      <c r="BC23" s="3">
        <f t="shared" si="34"/>
        <v>0</v>
      </c>
      <c r="BD23" s="3">
        <f t="shared" si="35"/>
        <v>0</v>
      </c>
      <c r="BE23" s="3">
        <f t="shared" si="36"/>
        <v>0</v>
      </c>
      <c r="BF23" s="3">
        <f t="shared" si="37"/>
        <v>0</v>
      </c>
      <c r="BG23" s="3">
        <f t="shared" si="38"/>
        <v>0</v>
      </c>
      <c r="BH23" s="3">
        <f t="shared" si="39"/>
        <v>0</v>
      </c>
      <c r="BJ23" s="62">
        <f t="shared" si="40"/>
        <v>0</v>
      </c>
      <c r="BK23" s="62">
        <f t="shared" si="41"/>
        <v>0</v>
      </c>
      <c r="BL23" s="62">
        <f t="shared" si="42"/>
        <v>0</v>
      </c>
      <c r="BM23" s="62">
        <f t="shared" si="43"/>
        <v>0</v>
      </c>
      <c r="BN23" s="62">
        <f t="shared" si="44"/>
        <v>0</v>
      </c>
      <c r="BO23" s="62">
        <f t="shared" si="45"/>
        <v>0</v>
      </c>
      <c r="BP23" s="62">
        <f t="shared" si="46"/>
        <v>0</v>
      </c>
      <c r="BQ23" s="62">
        <f t="shared" si="47"/>
        <v>0</v>
      </c>
    </row>
    <row r="24" spans="1:69">
      <c r="A24" s="3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3">
        <f t="shared" si="32"/>
        <v>0</v>
      </c>
      <c r="BB24" s="3">
        <f t="shared" si="33"/>
        <v>0</v>
      </c>
      <c r="BC24" s="3">
        <f t="shared" si="34"/>
        <v>0</v>
      </c>
      <c r="BD24" s="3">
        <f t="shared" si="35"/>
        <v>0</v>
      </c>
      <c r="BE24" s="3">
        <f t="shared" si="36"/>
        <v>0</v>
      </c>
      <c r="BF24" s="3">
        <f t="shared" si="37"/>
        <v>0</v>
      </c>
      <c r="BG24" s="3">
        <f t="shared" si="38"/>
        <v>0</v>
      </c>
      <c r="BH24" s="3">
        <f t="shared" si="39"/>
        <v>0</v>
      </c>
      <c r="BJ24" s="62">
        <f t="shared" si="40"/>
        <v>0</v>
      </c>
      <c r="BK24" s="62">
        <f t="shared" si="41"/>
        <v>0</v>
      </c>
      <c r="BL24" s="62">
        <f t="shared" si="42"/>
        <v>0</v>
      </c>
      <c r="BM24" s="62">
        <f t="shared" si="43"/>
        <v>0</v>
      </c>
      <c r="BN24" s="62">
        <f t="shared" si="44"/>
        <v>0</v>
      </c>
      <c r="BO24" s="62">
        <f t="shared" si="45"/>
        <v>0</v>
      </c>
      <c r="BP24" s="62">
        <f t="shared" si="46"/>
        <v>0</v>
      </c>
      <c r="BQ24" s="62">
        <f t="shared" si="47"/>
        <v>0</v>
      </c>
    </row>
    <row r="25" spans="1:69">
      <c r="A25" s="3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3">
        <f t="shared" si="32"/>
        <v>0</v>
      </c>
      <c r="BB25" s="3">
        <f t="shared" si="33"/>
        <v>0</v>
      </c>
      <c r="BC25" s="3">
        <f t="shared" si="34"/>
        <v>0</v>
      </c>
      <c r="BD25" s="3">
        <f t="shared" si="35"/>
        <v>0</v>
      </c>
      <c r="BE25" s="3">
        <f t="shared" si="36"/>
        <v>0</v>
      </c>
      <c r="BF25" s="3">
        <f t="shared" si="37"/>
        <v>0</v>
      </c>
      <c r="BG25" s="3">
        <f t="shared" si="38"/>
        <v>0</v>
      </c>
      <c r="BH25" s="3">
        <f t="shared" si="39"/>
        <v>0</v>
      </c>
      <c r="BJ25" s="62">
        <f t="shared" si="40"/>
        <v>0</v>
      </c>
      <c r="BK25" s="62">
        <f t="shared" si="41"/>
        <v>0</v>
      </c>
      <c r="BL25" s="62">
        <f t="shared" si="42"/>
        <v>0</v>
      </c>
      <c r="BM25" s="62">
        <f t="shared" si="43"/>
        <v>0</v>
      </c>
      <c r="BN25" s="62">
        <f t="shared" si="44"/>
        <v>0</v>
      </c>
      <c r="BO25" s="62">
        <f t="shared" si="45"/>
        <v>0</v>
      </c>
      <c r="BP25" s="62">
        <f t="shared" si="46"/>
        <v>0</v>
      </c>
      <c r="BQ25" s="62">
        <f t="shared" si="47"/>
        <v>0</v>
      </c>
    </row>
    <row r="26" spans="1:69">
      <c r="A26" s="3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3">
        <f t="shared" si="32"/>
        <v>0</v>
      </c>
      <c r="BB26" s="3">
        <f t="shared" si="33"/>
        <v>0</v>
      </c>
      <c r="BC26" s="3">
        <f t="shared" si="34"/>
        <v>0</v>
      </c>
      <c r="BD26" s="3">
        <f t="shared" si="35"/>
        <v>0</v>
      </c>
      <c r="BE26" s="3">
        <f t="shared" si="36"/>
        <v>0</v>
      </c>
      <c r="BF26" s="3">
        <f t="shared" si="37"/>
        <v>0</v>
      </c>
      <c r="BG26" s="3">
        <f t="shared" si="38"/>
        <v>0</v>
      </c>
      <c r="BH26" s="3">
        <f t="shared" si="39"/>
        <v>0</v>
      </c>
      <c r="BJ26" s="62">
        <f t="shared" si="40"/>
        <v>0</v>
      </c>
      <c r="BK26" s="62">
        <f t="shared" si="41"/>
        <v>0</v>
      </c>
      <c r="BL26" s="62">
        <f t="shared" si="42"/>
        <v>0</v>
      </c>
      <c r="BM26" s="62">
        <f t="shared" si="43"/>
        <v>0</v>
      </c>
      <c r="BN26" s="62">
        <f t="shared" si="44"/>
        <v>0</v>
      </c>
      <c r="BO26" s="62">
        <f t="shared" si="45"/>
        <v>0</v>
      </c>
      <c r="BP26" s="62">
        <f t="shared" si="46"/>
        <v>0</v>
      </c>
      <c r="BQ26" s="62">
        <f t="shared" si="47"/>
        <v>0</v>
      </c>
    </row>
    <row r="27" spans="1:69">
      <c r="A27" s="3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3">
        <f t="shared" si="32"/>
        <v>0</v>
      </c>
      <c r="BB27" s="3">
        <f t="shared" si="33"/>
        <v>0</v>
      </c>
      <c r="BC27" s="3">
        <f t="shared" si="34"/>
        <v>0</v>
      </c>
      <c r="BD27" s="3">
        <f t="shared" si="35"/>
        <v>0</v>
      </c>
      <c r="BE27" s="3">
        <f t="shared" si="36"/>
        <v>0</v>
      </c>
      <c r="BF27" s="3">
        <f t="shared" si="37"/>
        <v>0</v>
      </c>
      <c r="BG27" s="3">
        <f t="shared" si="38"/>
        <v>0</v>
      </c>
      <c r="BH27" s="3">
        <f t="shared" si="39"/>
        <v>0</v>
      </c>
      <c r="BJ27" s="62">
        <f t="shared" si="40"/>
        <v>0</v>
      </c>
      <c r="BK27" s="62">
        <f t="shared" si="41"/>
        <v>0</v>
      </c>
      <c r="BL27" s="62">
        <f t="shared" si="42"/>
        <v>0</v>
      </c>
      <c r="BM27" s="62">
        <f t="shared" si="43"/>
        <v>0</v>
      </c>
      <c r="BN27" s="62">
        <f t="shared" si="44"/>
        <v>0</v>
      </c>
      <c r="BO27" s="62">
        <f t="shared" si="45"/>
        <v>0</v>
      </c>
      <c r="BP27" s="62">
        <f t="shared" si="46"/>
        <v>0</v>
      </c>
      <c r="BQ27" s="62">
        <f t="shared" si="47"/>
        <v>0</v>
      </c>
    </row>
    <row r="28" spans="1:69">
      <c r="A28" s="3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3">
        <f t="shared" si="32"/>
        <v>0</v>
      </c>
      <c r="BB28" s="3">
        <f t="shared" si="33"/>
        <v>0</v>
      </c>
      <c r="BC28" s="3">
        <f t="shared" si="34"/>
        <v>0</v>
      </c>
      <c r="BD28" s="3">
        <f t="shared" si="35"/>
        <v>0</v>
      </c>
      <c r="BE28" s="3">
        <f t="shared" si="36"/>
        <v>0</v>
      </c>
      <c r="BF28" s="3">
        <f t="shared" si="37"/>
        <v>0</v>
      </c>
      <c r="BG28" s="3">
        <f t="shared" si="38"/>
        <v>0</v>
      </c>
      <c r="BH28" s="3">
        <f t="shared" si="39"/>
        <v>0</v>
      </c>
      <c r="BJ28" s="62">
        <f t="shared" si="40"/>
        <v>0</v>
      </c>
      <c r="BK28" s="62">
        <f t="shared" si="41"/>
        <v>0</v>
      </c>
      <c r="BL28" s="62">
        <f t="shared" si="42"/>
        <v>0</v>
      </c>
      <c r="BM28" s="62">
        <f t="shared" si="43"/>
        <v>0</v>
      </c>
      <c r="BN28" s="62">
        <f t="shared" si="44"/>
        <v>0</v>
      </c>
      <c r="BO28" s="62">
        <f t="shared" si="45"/>
        <v>0</v>
      </c>
      <c r="BP28" s="62">
        <f t="shared" si="46"/>
        <v>0</v>
      </c>
      <c r="BQ28" s="62">
        <f t="shared" si="47"/>
        <v>0</v>
      </c>
    </row>
    <row r="29" spans="1:69">
      <c r="A29" s="3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3">
        <f t="shared" si="32"/>
        <v>0</v>
      </c>
      <c r="BB29" s="3">
        <f t="shared" si="33"/>
        <v>0</v>
      </c>
      <c r="BC29" s="3">
        <f t="shared" si="34"/>
        <v>0</v>
      </c>
      <c r="BD29" s="3">
        <f t="shared" si="35"/>
        <v>0</v>
      </c>
      <c r="BE29" s="3">
        <f t="shared" si="36"/>
        <v>0</v>
      </c>
      <c r="BF29" s="3">
        <f t="shared" si="37"/>
        <v>0</v>
      </c>
      <c r="BG29" s="3">
        <f t="shared" si="38"/>
        <v>0</v>
      </c>
      <c r="BH29" s="3">
        <f t="shared" si="39"/>
        <v>0</v>
      </c>
      <c r="BJ29" s="62">
        <f t="shared" si="40"/>
        <v>0</v>
      </c>
      <c r="BK29" s="62">
        <f t="shared" si="41"/>
        <v>0</v>
      </c>
      <c r="BL29" s="62">
        <f t="shared" si="42"/>
        <v>0</v>
      </c>
      <c r="BM29" s="62">
        <f t="shared" si="43"/>
        <v>0</v>
      </c>
      <c r="BN29" s="62">
        <f t="shared" si="44"/>
        <v>0</v>
      </c>
      <c r="BO29" s="62">
        <f t="shared" si="45"/>
        <v>0</v>
      </c>
      <c r="BP29" s="62">
        <f t="shared" si="46"/>
        <v>0</v>
      </c>
      <c r="BQ29" s="62">
        <f t="shared" si="47"/>
        <v>0</v>
      </c>
    </row>
    <row r="30" spans="1:69">
      <c r="A30" s="3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3">
        <f t="shared" si="32"/>
        <v>0</v>
      </c>
      <c r="BB30" s="3">
        <f t="shared" ref="BB30:BB57" si="48">SUM(AQ30+AT30+AV30)</f>
        <v>0</v>
      </c>
      <c r="BC30" s="3">
        <f t="shared" si="34"/>
        <v>0</v>
      </c>
      <c r="BD30" s="3">
        <f t="shared" ref="BD30:BD57" si="49">SUM(AX30+AY30+AZ30)</f>
        <v>0</v>
      </c>
      <c r="BE30" s="3">
        <f t="shared" si="36"/>
        <v>0</v>
      </c>
      <c r="BF30" s="3">
        <f t="shared" si="37"/>
        <v>0</v>
      </c>
      <c r="BG30" s="3">
        <f t="shared" si="38"/>
        <v>0</v>
      </c>
      <c r="BH30" s="3">
        <f t="shared" ref="BH30:BH57" si="50">SUM(BA30:BG30)</f>
        <v>0</v>
      </c>
      <c r="BJ30" s="62">
        <f t="shared" si="40"/>
        <v>0</v>
      </c>
      <c r="BK30" s="62">
        <f t="shared" si="41"/>
        <v>0</v>
      </c>
      <c r="BL30" s="62">
        <f t="shared" si="42"/>
        <v>0</v>
      </c>
      <c r="BM30" s="62">
        <f t="shared" si="43"/>
        <v>0</v>
      </c>
      <c r="BN30" s="62">
        <f t="shared" si="44"/>
        <v>0</v>
      </c>
      <c r="BO30" s="62">
        <f t="shared" si="45"/>
        <v>0</v>
      </c>
      <c r="BP30" s="62">
        <f t="shared" si="46"/>
        <v>0</v>
      </c>
      <c r="BQ30" s="62">
        <f t="shared" si="47"/>
        <v>0</v>
      </c>
    </row>
    <row r="31" spans="1:69">
      <c r="A31" s="3">
        <v>28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3">
        <f t="shared" si="32"/>
        <v>0</v>
      </c>
      <c r="BB31" s="3">
        <f t="shared" si="48"/>
        <v>0</v>
      </c>
      <c r="BC31" s="3">
        <f t="shared" si="34"/>
        <v>0</v>
      </c>
      <c r="BD31" s="3">
        <f t="shared" si="49"/>
        <v>0</v>
      </c>
      <c r="BE31" s="3">
        <f t="shared" si="36"/>
        <v>0</v>
      </c>
      <c r="BF31" s="3">
        <f t="shared" si="37"/>
        <v>0</v>
      </c>
      <c r="BG31" s="3">
        <f t="shared" si="38"/>
        <v>0</v>
      </c>
      <c r="BH31" s="3">
        <f t="shared" si="50"/>
        <v>0</v>
      </c>
      <c r="BJ31" s="62">
        <f t="shared" si="40"/>
        <v>0</v>
      </c>
      <c r="BK31" s="62">
        <f t="shared" si="41"/>
        <v>0</v>
      </c>
      <c r="BL31" s="62">
        <f t="shared" si="42"/>
        <v>0</v>
      </c>
      <c r="BM31" s="62">
        <f t="shared" si="43"/>
        <v>0</v>
      </c>
      <c r="BN31" s="62">
        <f t="shared" si="44"/>
        <v>0</v>
      </c>
      <c r="BO31" s="62">
        <f t="shared" si="45"/>
        <v>0</v>
      </c>
      <c r="BP31" s="62">
        <f t="shared" si="46"/>
        <v>0</v>
      </c>
      <c r="BQ31" s="62">
        <f t="shared" si="47"/>
        <v>0</v>
      </c>
    </row>
    <row r="32" spans="1:69">
      <c r="A32" s="3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3">
        <f t="shared" si="32"/>
        <v>0</v>
      </c>
      <c r="BB32" s="3">
        <f t="shared" si="48"/>
        <v>0</v>
      </c>
      <c r="BC32" s="3">
        <f t="shared" si="34"/>
        <v>0</v>
      </c>
      <c r="BD32" s="3">
        <f t="shared" si="49"/>
        <v>0</v>
      </c>
      <c r="BE32" s="3">
        <f t="shared" si="36"/>
        <v>0</v>
      </c>
      <c r="BF32" s="3">
        <f t="shared" si="37"/>
        <v>0</v>
      </c>
      <c r="BG32" s="3">
        <f t="shared" si="38"/>
        <v>0</v>
      </c>
      <c r="BH32" s="3">
        <f t="shared" si="50"/>
        <v>0</v>
      </c>
      <c r="BJ32" s="62">
        <f t="shared" si="40"/>
        <v>0</v>
      </c>
      <c r="BK32" s="62">
        <f t="shared" si="41"/>
        <v>0</v>
      </c>
      <c r="BL32" s="62">
        <f t="shared" si="42"/>
        <v>0</v>
      </c>
      <c r="BM32" s="62">
        <f t="shared" si="43"/>
        <v>0</v>
      </c>
      <c r="BN32" s="62">
        <f t="shared" si="44"/>
        <v>0</v>
      </c>
      <c r="BO32" s="62">
        <f t="shared" si="45"/>
        <v>0</v>
      </c>
      <c r="BP32" s="62">
        <f t="shared" si="46"/>
        <v>0</v>
      </c>
      <c r="BQ32" s="62">
        <f t="shared" si="47"/>
        <v>0</v>
      </c>
    </row>
    <row r="33" spans="1:69">
      <c r="A33" s="3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3">
        <f t="shared" si="32"/>
        <v>0</v>
      </c>
      <c r="BB33" s="3">
        <f t="shared" si="48"/>
        <v>0</v>
      </c>
      <c r="BC33" s="3">
        <f t="shared" si="34"/>
        <v>0</v>
      </c>
      <c r="BD33" s="3">
        <f t="shared" si="49"/>
        <v>0</v>
      </c>
      <c r="BE33" s="3">
        <f t="shared" si="36"/>
        <v>0</v>
      </c>
      <c r="BF33" s="3">
        <f t="shared" si="37"/>
        <v>0</v>
      </c>
      <c r="BG33" s="3">
        <f t="shared" si="38"/>
        <v>0</v>
      </c>
      <c r="BH33" s="3">
        <f t="shared" si="50"/>
        <v>0</v>
      </c>
      <c r="BJ33" s="62">
        <f t="shared" si="40"/>
        <v>0</v>
      </c>
      <c r="BK33" s="62">
        <f t="shared" si="41"/>
        <v>0</v>
      </c>
      <c r="BL33" s="62">
        <f t="shared" si="42"/>
        <v>0</v>
      </c>
      <c r="BM33" s="62">
        <f t="shared" si="43"/>
        <v>0</v>
      </c>
      <c r="BN33" s="62">
        <f t="shared" si="44"/>
        <v>0</v>
      </c>
      <c r="BO33" s="62">
        <f t="shared" si="45"/>
        <v>0</v>
      </c>
      <c r="BP33" s="62">
        <f t="shared" si="46"/>
        <v>0</v>
      </c>
      <c r="BQ33" s="62">
        <f t="shared" si="47"/>
        <v>0</v>
      </c>
    </row>
    <row r="34" spans="1:69">
      <c r="A34" s="3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3">
        <f t="shared" si="32"/>
        <v>0</v>
      </c>
      <c r="BB34" s="3">
        <f t="shared" si="48"/>
        <v>0</v>
      </c>
      <c r="BC34" s="3">
        <f t="shared" si="34"/>
        <v>0</v>
      </c>
      <c r="BD34" s="3">
        <f t="shared" si="49"/>
        <v>0</v>
      </c>
      <c r="BE34" s="3">
        <f t="shared" si="36"/>
        <v>0</v>
      </c>
      <c r="BF34" s="3">
        <f t="shared" si="37"/>
        <v>0</v>
      </c>
      <c r="BG34" s="3">
        <f t="shared" si="38"/>
        <v>0</v>
      </c>
      <c r="BH34" s="3">
        <f t="shared" si="50"/>
        <v>0</v>
      </c>
      <c r="BJ34" s="62">
        <f t="shared" si="40"/>
        <v>0</v>
      </c>
      <c r="BK34" s="62">
        <f t="shared" si="41"/>
        <v>0</v>
      </c>
      <c r="BL34" s="62">
        <f t="shared" si="42"/>
        <v>0</v>
      </c>
      <c r="BM34" s="62">
        <f t="shared" si="43"/>
        <v>0</v>
      </c>
      <c r="BN34" s="62">
        <f t="shared" si="44"/>
        <v>0</v>
      </c>
      <c r="BO34" s="62">
        <f t="shared" si="45"/>
        <v>0</v>
      </c>
      <c r="BP34" s="62">
        <f t="shared" si="46"/>
        <v>0</v>
      </c>
      <c r="BQ34" s="62">
        <f t="shared" si="47"/>
        <v>0</v>
      </c>
    </row>
    <row r="35" spans="1:69">
      <c r="A35" s="3">
        <v>32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3">
        <f t="shared" si="32"/>
        <v>0</v>
      </c>
      <c r="BB35" s="3">
        <f t="shared" si="48"/>
        <v>0</v>
      </c>
      <c r="BC35" s="3">
        <f t="shared" si="34"/>
        <v>0</v>
      </c>
      <c r="BD35" s="3">
        <f t="shared" si="49"/>
        <v>0</v>
      </c>
      <c r="BE35" s="3">
        <f t="shared" si="36"/>
        <v>0</v>
      </c>
      <c r="BF35" s="3">
        <f t="shared" si="37"/>
        <v>0</v>
      </c>
      <c r="BG35" s="3">
        <f t="shared" si="38"/>
        <v>0</v>
      </c>
      <c r="BH35" s="3">
        <f t="shared" si="50"/>
        <v>0</v>
      </c>
      <c r="BJ35" s="62">
        <f t="shared" si="40"/>
        <v>0</v>
      </c>
      <c r="BK35" s="62">
        <f t="shared" si="41"/>
        <v>0</v>
      </c>
      <c r="BL35" s="62">
        <f t="shared" si="42"/>
        <v>0</v>
      </c>
      <c r="BM35" s="62">
        <f t="shared" si="43"/>
        <v>0</v>
      </c>
      <c r="BN35" s="62">
        <f t="shared" si="44"/>
        <v>0</v>
      </c>
      <c r="BO35" s="62">
        <f t="shared" si="45"/>
        <v>0</v>
      </c>
      <c r="BP35" s="62">
        <f t="shared" si="46"/>
        <v>0</v>
      </c>
      <c r="BQ35" s="62">
        <f t="shared" si="47"/>
        <v>0</v>
      </c>
    </row>
    <row r="36" spans="1:69">
      <c r="A36" s="3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3">
        <f t="shared" si="32"/>
        <v>0</v>
      </c>
      <c r="BB36" s="3">
        <f t="shared" si="48"/>
        <v>0</v>
      </c>
      <c r="BC36" s="3">
        <f t="shared" si="34"/>
        <v>0</v>
      </c>
      <c r="BD36" s="3">
        <f t="shared" si="49"/>
        <v>0</v>
      </c>
      <c r="BE36" s="3">
        <f t="shared" si="36"/>
        <v>0</v>
      </c>
      <c r="BF36" s="3">
        <f t="shared" si="37"/>
        <v>0</v>
      </c>
      <c r="BG36" s="3">
        <f t="shared" si="38"/>
        <v>0</v>
      </c>
      <c r="BH36" s="3">
        <f t="shared" si="50"/>
        <v>0</v>
      </c>
      <c r="BJ36" s="62">
        <f t="shared" si="40"/>
        <v>0</v>
      </c>
      <c r="BK36" s="62">
        <f t="shared" si="41"/>
        <v>0</v>
      </c>
      <c r="BL36" s="62">
        <f t="shared" si="42"/>
        <v>0</v>
      </c>
      <c r="BM36" s="62">
        <f t="shared" si="43"/>
        <v>0</v>
      </c>
      <c r="BN36" s="62">
        <f t="shared" si="44"/>
        <v>0</v>
      </c>
      <c r="BO36" s="62">
        <f t="shared" si="45"/>
        <v>0</v>
      </c>
      <c r="BP36" s="62">
        <f t="shared" si="46"/>
        <v>0</v>
      </c>
      <c r="BQ36" s="62">
        <f t="shared" si="47"/>
        <v>0</v>
      </c>
    </row>
    <row r="37" spans="1:69">
      <c r="A37" s="3">
        <v>34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3">
        <f t="shared" si="32"/>
        <v>0</v>
      </c>
      <c r="BB37" s="3">
        <f t="shared" si="48"/>
        <v>0</v>
      </c>
      <c r="BC37" s="3">
        <f t="shared" si="34"/>
        <v>0</v>
      </c>
      <c r="BD37" s="3">
        <f t="shared" si="49"/>
        <v>0</v>
      </c>
      <c r="BE37" s="3">
        <f t="shared" si="36"/>
        <v>0</v>
      </c>
      <c r="BF37" s="3">
        <f t="shared" si="37"/>
        <v>0</v>
      </c>
      <c r="BG37" s="3">
        <f t="shared" si="38"/>
        <v>0</v>
      </c>
      <c r="BH37" s="3">
        <f t="shared" si="50"/>
        <v>0</v>
      </c>
      <c r="BJ37" s="62">
        <f t="shared" si="40"/>
        <v>0</v>
      </c>
      <c r="BK37" s="62">
        <f t="shared" si="41"/>
        <v>0</v>
      </c>
      <c r="BL37" s="62">
        <f t="shared" si="42"/>
        <v>0</v>
      </c>
      <c r="BM37" s="62">
        <f t="shared" si="43"/>
        <v>0</v>
      </c>
      <c r="BN37" s="62">
        <f t="shared" si="44"/>
        <v>0</v>
      </c>
      <c r="BO37" s="62">
        <f t="shared" si="45"/>
        <v>0</v>
      </c>
      <c r="BP37" s="62">
        <f t="shared" si="46"/>
        <v>0</v>
      </c>
      <c r="BQ37" s="62">
        <f t="shared" si="47"/>
        <v>0</v>
      </c>
    </row>
    <row r="38" spans="1:69">
      <c r="A38" s="3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3">
        <f t="shared" si="32"/>
        <v>0</v>
      </c>
      <c r="BB38" s="3">
        <f t="shared" si="48"/>
        <v>0</v>
      </c>
      <c r="BC38" s="3">
        <f t="shared" si="34"/>
        <v>0</v>
      </c>
      <c r="BD38" s="3">
        <f t="shared" si="49"/>
        <v>0</v>
      </c>
      <c r="BE38" s="3">
        <f t="shared" si="36"/>
        <v>0</v>
      </c>
      <c r="BF38" s="3">
        <f t="shared" si="37"/>
        <v>0</v>
      </c>
      <c r="BG38" s="3">
        <f t="shared" si="38"/>
        <v>0</v>
      </c>
      <c r="BH38" s="3">
        <f t="shared" si="50"/>
        <v>0</v>
      </c>
      <c r="BJ38" s="62">
        <f t="shared" si="40"/>
        <v>0</v>
      </c>
      <c r="BK38" s="62">
        <f t="shared" si="41"/>
        <v>0</v>
      </c>
      <c r="BL38" s="62">
        <f t="shared" si="42"/>
        <v>0</v>
      </c>
      <c r="BM38" s="62">
        <f t="shared" si="43"/>
        <v>0</v>
      </c>
      <c r="BN38" s="62">
        <f t="shared" si="44"/>
        <v>0</v>
      </c>
      <c r="BO38" s="62">
        <f t="shared" si="45"/>
        <v>0</v>
      </c>
      <c r="BP38" s="62">
        <f t="shared" si="46"/>
        <v>0</v>
      </c>
      <c r="BQ38" s="62">
        <f t="shared" si="47"/>
        <v>0</v>
      </c>
    </row>
    <row r="39" spans="1:69">
      <c r="A39" s="3">
        <v>36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3">
        <f t="shared" si="32"/>
        <v>0</v>
      </c>
      <c r="BB39" s="3">
        <f t="shared" si="48"/>
        <v>0</v>
      </c>
      <c r="BC39" s="3">
        <f t="shared" si="34"/>
        <v>0</v>
      </c>
      <c r="BD39" s="3">
        <f t="shared" si="49"/>
        <v>0</v>
      </c>
      <c r="BE39" s="3">
        <f t="shared" si="36"/>
        <v>0</v>
      </c>
      <c r="BF39" s="3">
        <f t="shared" si="37"/>
        <v>0</v>
      </c>
      <c r="BG39" s="3">
        <f t="shared" si="38"/>
        <v>0</v>
      </c>
      <c r="BH39" s="3">
        <f t="shared" si="50"/>
        <v>0</v>
      </c>
      <c r="BJ39" s="62">
        <f t="shared" si="40"/>
        <v>0</v>
      </c>
      <c r="BK39" s="62">
        <f t="shared" si="41"/>
        <v>0</v>
      </c>
      <c r="BL39" s="62">
        <f t="shared" si="42"/>
        <v>0</v>
      </c>
      <c r="BM39" s="62">
        <f t="shared" si="43"/>
        <v>0</v>
      </c>
      <c r="BN39" s="62">
        <f t="shared" si="44"/>
        <v>0</v>
      </c>
      <c r="BO39" s="62">
        <f t="shared" si="45"/>
        <v>0</v>
      </c>
      <c r="BP39" s="62">
        <f t="shared" si="46"/>
        <v>0</v>
      </c>
      <c r="BQ39" s="62">
        <f t="shared" si="47"/>
        <v>0</v>
      </c>
    </row>
    <row r="40" spans="1:69">
      <c r="A40" s="3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3">
        <f t="shared" si="32"/>
        <v>0</v>
      </c>
      <c r="BB40" s="3">
        <f t="shared" si="48"/>
        <v>0</v>
      </c>
      <c r="BC40" s="3">
        <f t="shared" si="34"/>
        <v>0</v>
      </c>
      <c r="BD40" s="3">
        <f t="shared" si="49"/>
        <v>0</v>
      </c>
      <c r="BE40" s="3">
        <f t="shared" si="36"/>
        <v>0</v>
      </c>
      <c r="BF40" s="3">
        <f t="shared" si="37"/>
        <v>0</v>
      </c>
      <c r="BG40" s="3">
        <f t="shared" si="38"/>
        <v>0</v>
      </c>
      <c r="BH40" s="3">
        <f t="shared" si="50"/>
        <v>0</v>
      </c>
      <c r="BJ40" s="62">
        <f t="shared" si="40"/>
        <v>0</v>
      </c>
      <c r="BK40" s="62">
        <f t="shared" si="41"/>
        <v>0</v>
      </c>
      <c r="BL40" s="62">
        <f t="shared" si="42"/>
        <v>0</v>
      </c>
      <c r="BM40" s="62">
        <f t="shared" si="43"/>
        <v>0</v>
      </c>
      <c r="BN40" s="62">
        <f t="shared" si="44"/>
        <v>0</v>
      </c>
      <c r="BO40" s="62">
        <f t="shared" si="45"/>
        <v>0</v>
      </c>
      <c r="BP40" s="62">
        <f t="shared" si="46"/>
        <v>0</v>
      </c>
      <c r="BQ40" s="62">
        <f t="shared" si="47"/>
        <v>0</v>
      </c>
    </row>
    <row r="41" spans="1:69">
      <c r="A41" s="3">
        <v>38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3">
        <f t="shared" si="32"/>
        <v>0</v>
      </c>
      <c r="BB41" s="3">
        <f t="shared" si="48"/>
        <v>0</v>
      </c>
      <c r="BC41" s="3">
        <f t="shared" si="34"/>
        <v>0</v>
      </c>
      <c r="BD41" s="3">
        <f t="shared" si="49"/>
        <v>0</v>
      </c>
      <c r="BE41" s="3">
        <f t="shared" si="36"/>
        <v>0</v>
      </c>
      <c r="BF41" s="3">
        <f t="shared" si="37"/>
        <v>0</v>
      </c>
      <c r="BG41" s="3">
        <f t="shared" si="38"/>
        <v>0</v>
      </c>
      <c r="BH41" s="3">
        <f t="shared" si="50"/>
        <v>0</v>
      </c>
      <c r="BJ41" s="62">
        <f t="shared" si="40"/>
        <v>0</v>
      </c>
      <c r="BK41" s="62">
        <f t="shared" si="41"/>
        <v>0</v>
      </c>
      <c r="BL41" s="62">
        <f t="shared" si="42"/>
        <v>0</v>
      </c>
      <c r="BM41" s="62">
        <f t="shared" si="43"/>
        <v>0</v>
      </c>
      <c r="BN41" s="62">
        <f t="shared" si="44"/>
        <v>0</v>
      </c>
      <c r="BO41" s="62">
        <f t="shared" si="45"/>
        <v>0</v>
      </c>
      <c r="BP41" s="62">
        <f t="shared" si="46"/>
        <v>0</v>
      </c>
      <c r="BQ41" s="62">
        <f t="shared" si="47"/>
        <v>0</v>
      </c>
    </row>
    <row r="42" spans="1:69">
      <c r="A42" s="3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3">
        <f t="shared" si="32"/>
        <v>0</v>
      </c>
      <c r="BB42" s="3">
        <f t="shared" si="48"/>
        <v>0</v>
      </c>
      <c r="BC42" s="3">
        <f t="shared" si="34"/>
        <v>0</v>
      </c>
      <c r="BD42" s="3">
        <f t="shared" si="49"/>
        <v>0</v>
      </c>
      <c r="BE42" s="3">
        <f t="shared" si="36"/>
        <v>0</v>
      </c>
      <c r="BF42" s="3">
        <f t="shared" si="37"/>
        <v>0</v>
      </c>
      <c r="BG42" s="3">
        <f t="shared" si="38"/>
        <v>0</v>
      </c>
      <c r="BH42" s="3">
        <f t="shared" si="50"/>
        <v>0</v>
      </c>
      <c r="BJ42" s="62">
        <f t="shared" si="40"/>
        <v>0</v>
      </c>
      <c r="BK42" s="62">
        <f t="shared" si="41"/>
        <v>0</v>
      </c>
      <c r="BL42" s="62">
        <f t="shared" si="42"/>
        <v>0</v>
      </c>
      <c r="BM42" s="62">
        <f t="shared" si="43"/>
        <v>0</v>
      </c>
      <c r="BN42" s="62">
        <f t="shared" si="44"/>
        <v>0</v>
      </c>
      <c r="BO42" s="62">
        <f t="shared" si="45"/>
        <v>0</v>
      </c>
      <c r="BP42" s="62">
        <f t="shared" si="46"/>
        <v>0</v>
      </c>
      <c r="BQ42" s="62">
        <f t="shared" si="47"/>
        <v>0</v>
      </c>
    </row>
    <row r="43" spans="1:69">
      <c r="A43" s="3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3">
        <f t="shared" si="32"/>
        <v>0</v>
      </c>
      <c r="BB43" s="3">
        <f t="shared" si="48"/>
        <v>0</v>
      </c>
      <c r="BC43" s="3">
        <f t="shared" si="34"/>
        <v>0</v>
      </c>
      <c r="BD43" s="3">
        <f t="shared" si="49"/>
        <v>0</v>
      </c>
      <c r="BE43" s="3">
        <f t="shared" si="36"/>
        <v>0</v>
      </c>
      <c r="BF43" s="3">
        <f t="shared" si="37"/>
        <v>0</v>
      </c>
      <c r="BG43" s="3">
        <f t="shared" si="38"/>
        <v>0</v>
      </c>
      <c r="BH43" s="3">
        <f t="shared" si="50"/>
        <v>0</v>
      </c>
      <c r="BJ43" s="62">
        <f t="shared" si="40"/>
        <v>0</v>
      </c>
      <c r="BK43" s="62">
        <f t="shared" si="41"/>
        <v>0</v>
      </c>
      <c r="BL43" s="62">
        <f t="shared" si="42"/>
        <v>0</v>
      </c>
      <c r="BM43" s="62">
        <f t="shared" si="43"/>
        <v>0</v>
      </c>
      <c r="BN43" s="62">
        <f t="shared" si="44"/>
        <v>0</v>
      </c>
      <c r="BO43" s="62">
        <f t="shared" si="45"/>
        <v>0</v>
      </c>
      <c r="BP43" s="62">
        <f t="shared" si="46"/>
        <v>0</v>
      </c>
      <c r="BQ43" s="62">
        <f t="shared" si="47"/>
        <v>0</v>
      </c>
    </row>
    <row r="44" spans="1:69">
      <c r="A44" s="3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3">
        <f t="shared" si="32"/>
        <v>0</v>
      </c>
      <c r="BB44" s="3">
        <f t="shared" si="48"/>
        <v>0</v>
      </c>
      <c r="BC44" s="3">
        <f t="shared" si="34"/>
        <v>0</v>
      </c>
      <c r="BD44" s="3">
        <f t="shared" si="49"/>
        <v>0</v>
      </c>
      <c r="BE44" s="3">
        <f t="shared" si="36"/>
        <v>0</v>
      </c>
      <c r="BF44" s="3">
        <f t="shared" si="37"/>
        <v>0</v>
      </c>
      <c r="BG44" s="3">
        <f t="shared" si="38"/>
        <v>0</v>
      </c>
      <c r="BH44" s="3">
        <f t="shared" si="50"/>
        <v>0</v>
      </c>
      <c r="BJ44" s="62">
        <f t="shared" si="40"/>
        <v>0</v>
      </c>
      <c r="BK44" s="62">
        <f t="shared" si="41"/>
        <v>0</v>
      </c>
      <c r="BL44" s="62">
        <f t="shared" si="42"/>
        <v>0</v>
      </c>
      <c r="BM44" s="62">
        <f t="shared" si="43"/>
        <v>0</v>
      </c>
      <c r="BN44" s="62">
        <f t="shared" si="44"/>
        <v>0</v>
      </c>
      <c r="BO44" s="62">
        <f t="shared" si="45"/>
        <v>0</v>
      </c>
      <c r="BP44" s="62">
        <f t="shared" si="46"/>
        <v>0</v>
      </c>
      <c r="BQ44" s="62">
        <f t="shared" si="47"/>
        <v>0</v>
      </c>
    </row>
    <row r="45" spans="1:69">
      <c r="A45" s="3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3">
        <f t="shared" si="32"/>
        <v>0</v>
      </c>
      <c r="BB45" s="3">
        <f t="shared" si="48"/>
        <v>0</v>
      </c>
      <c r="BC45" s="3">
        <f t="shared" si="34"/>
        <v>0</v>
      </c>
      <c r="BD45" s="3">
        <f t="shared" si="49"/>
        <v>0</v>
      </c>
      <c r="BE45" s="3">
        <f t="shared" si="36"/>
        <v>0</v>
      </c>
      <c r="BF45" s="3">
        <f t="shared" si="37"/>
        <v>0</v>
      </c>
      <c r="BG45" s="3">
        <f t="shared" si="38"/>
        <v>0</v>
      </c>
      <c r="BH45" s="3">
        <f t="shared" si="50"/>
        <v>0</v>
      </c>
      <c r="BJ45" s="62">
        <f t="shared" si="40"/>
        <v>0</v>
      </c>
      <c r="BK45" s="62">
        <f t="shared" si="41"/>
        <v>0</v>
      </c>
      <c r="BL45" s="62">
        <f t="shared" si="42"/>
        <v>0</v>
      </c>
      <c r="BM45" s="62">
        <f t="shared" si="43"/>
        <v>0</v>
      </c>
      <c r="BN45" s="62">
        <f t="shared" si="44"/>
        <v>0</v>
      </c>
      <c r="BO45" s="62">
        <f t="shared" si="45"/>
        <v>0</v>
      </c>
      <c r="BP45" s="62">
        <f t="shared" si="46"/>
        <v>0</v>
      </c>
      <c r="BQ45" s="62">
        <f t="shared" si="47"/>
        <v>0</v>
      </c>
    </row>
    <row r="46" spans="1:69">
      <c r="A46" s="3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3">
        <f t="shared" si="32"/>
        <v>0</v>
      </c>
      <c r="BB46" s="3">
        <f t="shared" si="48"/>
        <v>0</v>
      </c>
      <c r="BC46" s="3">
        <f t="shared" si="34"/>
        <v>0</v>
      </c>
      <c r="BD46" s="3">
        <f t="shared" si="49"/>
        <v>0</v>
      </c>
      <c r="BE46" s="3">
        <f t="shared" si="36"/>
        <v>0</v>
      </c>
      <c r="BF46" s="3">
        <f t="shared" si="37"/>
        <v>0</v>
      </c>
      <c r="BG46" s="3">
        <f t="shared" si="38"/>
        <v>0</v>
      </c>
      <c r="BH46" s="3">
        <f t="shared" si="50"/>
        <v>0</v>
      </c>
      <c r="BJ46" s="62">
        <f t="shared" si="40"/>
        <v>0</v>
      </c>
      <c r="BK46" s="62">
        <f t="shared" si="41"/>
        <v>0</v>
      </c>
      <c r="BL46" s="62">
        <f t="shared" si="42"/>
        <v>0</v>
      </c>
      <c r="BM46" s="62">
        <f t="shared" si="43"/>
        <v>0</v>
      </c>
      <c r="BN46" s="62">
        <f t="shared" si="44"/>
        <v>0</v>
      </c>
      <c r="BO46" s="62">
        <f t="shared" si="45"/>
        <v>0</v>
      </c>
      <c r="BP46" s="62">
        <f t="shared" si="46"/>
        <v>0</v>
      </c>
      <c r="BQ46" s="62">
        <f t="shared" si="47"/>
        <v>0</v>
      </c>
    </row>
    <row r="47" spans="1:69">
      <c r="A47" s="3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3">
        <f t="shared" si="32"/>
        <v>0</v>
      </c>
      <c r="BB47" s="3">
        <f t="shared" si="48"/>
        <v>0</v>
      </c>
      <c r="BC47" s="3">
        <f t="shared" si="34"/>
        <v>0</v>
      </c>
      <c r="BD47" s="3">
        <f t="shared" si="49"/>
        <v>0</v>
      </c>
      <c r="BE47" s="3">
        <f t="shared" si="36"/>
        <v>0</v>
      </c>
      <c r="BF47" s="3">
        <f t="shared" si="37"/>
        <v>0</v>
      </c>
      <c r="BG47" s="3">
        <f t="shared" si="38"/>
        <v>0</v>
      </c>
      <c r="BH47" s="3">
        <f t="shared" si="50"/>
        <v>0</v>
      </c>
      <c r="BJ47" s="62">
        <f t="shared" si="40"/>
        <v>0</v>
      </c>
      <c r="BK47" s="62">
        <f t="shared" si="41"/>
        <v>0</v>
      </c>
      <c r="BL47" s="62">
        <f t="shared" si="42"/>
        <v>0</v>
      </c>
      <c r="BM47" s="62">
        <f t="shared" si="43"/>
        <v>0</v>
      </c>
      <c r="BN47" s="62">
        <f t="shared" si="44"/>
        <v>0</v>
      </c>
      <c r="BO47" s="62">
        <f t="shared" si="45"/>
        <v>0</v>
      </c>
      <c r="BP47" s="62">
        <f t="shared" si="46"/>
        <v>0</v>
      </c>
      <c r="BQ47" s="62">
        <f t="shared" si="47"/>
        <v>0</v>
      </c>
    </row>
    <row r="48" spans="1:69">
      <c r="A48" s="3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3">
        <f t="shared" si="32"/>
        <v>0</v>
      </c>
      <c r="BB48" s="3">
        <f t="shared" si="48"/>
        <v>0</v>
      </c>
      <c r="BC48" s="3">
        <f t="shared" si="34"/>
        <v>0</v>
      </c>
      <c r="BD48" s="3">
        <f t="shared" si="49"/>
        <v>0</v>
      </c>
      <c r="BE48" s="3">
        <f t="shared" si="36"/>
        <v>0</v>
      </c>
      <c r="BF48" s="3">
        <f t="shared" si="37"/>
        <v>0</v>
      </c>
      <c r="BG48" s="3">
        <f t="shared" si="38"/>
        <v>0</v>
      </c>
      <c r="BH48" s="3">
        <f t="shared" si="50"/>
        <v>0</v>
      </c>
      <c r="BJ48" s="62">
        <f t="shared" si="40"/>
        <v>0</v>
      </c>
      <c r="BK48" s="62">
        <f t="shared" si="41"/>
        <v>0</v>
      </c>
      <c r="BL48" s="62">
        <f t="shared" si="42"/>
        <v>0</v>
      </c>
      <c r="BM48" s="62">
        <f t="shared" si="43"/>
        <v>0</v>
      </c>
      <c r="BN48" s="62">
        <f t="shared" si="44"/>
        <v>0</v>
      </c>
      <c r="BO48" s="62">
        <f t="shared" si="45"/>
        <v>0</v>
      </c>
      <c r="BP48" s="62">
        <f t="shared" si="46"/>
        <v>0</v>
      </c>
      <c r="BQ48" s="62">
        <f t="shared" si="47"/>
        <v>0</v>
      </c>
    </row>
    <row r="49" spans="1:69">
      <c r="A49" s="3">
        <v>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3">
        <f t="shared" si="32"/>
        <v>0</v>
      </c>
      <c r="BB49" s="3">
        <f t="shared" si="48"/>
        <v>0</v>
      </c>
      <c r="BC49" s="3">
        <f t="shared" si="34"/>
        <v>0</v>
      </c>
      <c r="BD49" s="3">
        <f t="shared" si="49"/>
        <v>0</v>
      </c>
      <c r="BE49" s="3">
        <f t="shared" si="36"/>
        <v>0</v>
      </c>
      <c r="BF49" s="3">
        <f t="shared" si="37"/>
        <v>0</v>
      </c>
      <c r="BG49" s="3">
        <f t="shared" si="38"/>
        <v>0</v>
      </c>
      <c r="BH49" s="3">
        <f t="shared" si="50"/>
        <v>0</v>
      </c>
      <c r="BJ49" s="62">
        <f t="shared" si="40"/>
        <v>0</v>
      </c>
      <c r="BK49" s="62">
        <f t="shared" si="41"/>
        <v>0</v>
      </c>
      <c r="BL49" s="62">
        <f t="shared" si="42"/>
        <v>0</v>
      </c>
      <c r="BM49" s="62">
        <f t="shared" si="43"/>
        <v>0</v>
      </c>
      <c r="BN49" s="62">
        <f t="shared" si="44"/>
        <v>0</v>
      </c>
      <c r="BO49" s="62">
        <f t="shared" si="45"/>
        <v>0</v>
      </c>
      <c r="BP49" s="62">
        <f t="shared" si="46"/>
        <v>0</v>
      </c>
      <c r="BQ49" s="62">
        <f t="shared" si="47"/>
        <v>0</v>
      </c>
    </row>
    <row r="50" spans="1:69">
      <c r="A50" s="3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3">
        <f t="shared" si="32"/>
        <v>0</v>
      </c>
      <c r="BB50" s="3">
        <f t="shared" si="48"/>
        <v>0</v>
      </c>
      <c r="BC50" s="3">
        <f t="shared" si="34"/>
        <v>0</v>
      </c>
      <c r="BD50" s="3">
        <f t="shared" si="49"/>
        <v>0</v>
      </c>
      <c r="BE50" s="3">
        <f t="shared" si="36"/>
        <v>0</v>
      </c>
      <c r="BF50" s="3">
        <f t="shared" si="37"/>
        <v>0</v>
      </c>
      <c r="BG50" s="3">
        <f t="shared" si="38"/>
        <v>0</v>
      </c>
      <c r="BH50" s="3">
        <f t="shared" si="50"/>
        <v>0</v>
      </c>
      <c r="BJ50" s="62">
        <f t="shared" si="40"/>
        <v>0</v>
      </c>
      <c r="BK50" s="62">
        <f t="shared" si="41"/>
        <v>0</v>
      </c>
      <c r="BL50" s="62">
        <f t="shared" si="42"/>
        <v>0</v>
      </c>
      <c r="BM50" s="62">
        <f t="shared" si="43"/>
        <v>0</v>
      </c>
      <c r="BN50" s="62">
        <f t="shared" si="44"/>
        <v>0</v>
      </c>
      <c r="BO50" s="62">
        <f t="shared" si="45"/>
        <v>0</v>
      </c>
      <c r="BP50" s="62">
        <f t="shared" si="46"/>
        <v>0</v>
      </c>
      <c r="BQ50" s="62">
        <f t="shared" si="47"/>
        <v>0</v>
      </c>
    </row>
    <row r="51" spans="1:69">
      <c r="A51" s="3">
        <v>48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3">
        <f t="shared" si="32"/>
        <v>0</v>
      </c>
      <c r="BB51" s="3">
        <f t="shared" si="48"/>
        <v>0</v>
      </c>
      <c r="BC51" s="3">
        <f t="shared" si="34"/>
        <v>0</v>
      </c>
      <c r="BD51" s="3">
        <f t="shared" si="49"/>
        <v>0</v>
      </c>
      <c r="BE51" s="3">
        <f t="shared" si="36"/>
        <v>0</v>
      </c>
      <c r="BF51" s="3">
        <f t="shared" si="37"/>
        <v>0</v>
      </c>
      <c r="BG51" s="3">
        <f t="shared" si="38"/>
        <v>0</v>
      </c>
      <c r="BH51" s="3">
        <f t="shared" si="50"/>
        <v>0</v>
      </c>
      <c r="BJ51" s="62">
        <f t="shared" si="40"/>
        <v>0</v>
      </c>
      <c r="BK51" s="62">
        <f t="shared" si="41"/>
        <v>0</v>
      </c>
      <c r="BL51" s="62">
        <f t="shared" si="42"/>
        <v>0</v>
      </c>
      <c r="BM51" s="62">
        <f t="shared" si="43"/>
        <v>0</v>
      </c>
      <c r="BN51" s="62">
        <f t="shared" si="44"/>
        <v>0</v>
      </c>
      <c r="BO51" s="62">
        <f t="shared" si="45"/>
        <v>0</v>
      </c>
      <c r="BP51" s="62">
        <f t="shared" si="46"/>
        <v>0</v>
      </c>
      <c r="BQ51" s="62">
        <f t="shared" si="47"/>
        <v>0</v>
      </c>
    </row>
    <row r="52" spans="1:69">
      <c r="A52" s="3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3">
        <f t="shared" si="32"/>
        <v>0</v>
      </c>
      <c r="BB52" s="3">
        <f t="shared" si="48"/>
        <v>0</v>
      </c>
      <c r="BC52" s="3">
        <f t="shared" si="34"/>
        <v>0</v>
      </c>
      <c r="BD52" s="3">
        <f t="shared" si="49"/>
        <v>0</v>
      </c>
      <c r="BE52" s="3">
        <f t="shared" si="36"/>
        <v>0</v>
      </c>
      <c r="BF52" s="3">
        <f t="shared" si="37"/>
        <v>0</v>
      </c>
      <c r="BG52" s="3">
        <f t="shared" si="38"/>
        <v>0</v>
      </c>
      <c r="BH52" s="3">
        <f t="shared" si="50"/>
        <v>0</v>
      </c>
      <c r="BJ52" s="62">
        <f t="shared" si="40"/>
        <v>0</v>
      </c>
      <c r="BK52" s="62">
        <f t="shared" si="41"/>
        <v>0</v>
      </c>
      <c r="BL52" s="62">
        <f t="shared" si="42"/>
        <v>0</v>
      </c>
      <c r="BM52" s="62">
        <f t="shared" si="43"/>
        <v>0</v>
      </c>
      <c r="BN52" s="62">
        <f t="shared" si="44"/>
        <v>0</v>
      </c>
      <c r="BO52" s="62">
        <f t="shared" si="45"/>
        <v>0</v>
      </c>
      <c r="BP52" s="62">
        <f t="shared" si="46"/>
        <v>0</v>
      </c>
      <c r="BQ52" s="62">
        <f t="shared" si="47"/>
        <v>0</v>
      </c>
    </row>
    <row r="53" spans="1:69">
      <c r="A53" s="3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3">
        <f t="shared" si="32"/>
        <v>0</v>
      </c>
      <c r="BB53" s="3">
        <f t="shared" si="48"/>
        <v>0</v>
      </c>
      <c r="BC53" s="3">
        <f t="shared" si="34"/>
        <v>0</v>
      </c>
      <c r="BD53" s="3">
        <f t="shared" si="49"/>
        <v>0</v>
      </c>
      <c r="BE53" s="3">
        <f t="shared" si="36"/>
        <v>0</v>
      </c>
      <c r="BF53" s="3">
        <f t="shared" si="37"/>
        <v>0</v>
      </c>
      <c r="BG53" s="3">
        <f t="shared" si="38"/>
        <v>0</v>
      </c>
      <c r="BH53" s="3">
        <f t="shared" si="50"/>
        <v>0</v>
      </c>
      <c r="BJ53" s="62">
        <f t="shared" si="40"/>
        <v>0</v>
      </c>
      <c r="BK53" s="62">
        <f t="shared" si="41"/>
        <v>0</v>
      </c>
      <c r="BL53" s="62">
        <f t="shared" si="42"/>
        <v>0</v>
      </c>
      <c r="BM53" s="62">
        <f t="shared" si="43"/>
        <v>0</v>
      </c>
      <c r="BN53" s="62">
        <f t="shared" si="44"/>
        <v>0</v>
      </c>
      <c r="BO53" s="62">
        <f t="shared" si="45"/>
        <v>0</v>
      </c>
      <c r="BP53" s="62">
        <f t="shared" si="46"/>
        <v>0</v>
      </c>
      <c r="BQ53" s="62">
        <f t="shared" si="47"/>
        <v>0</v>
      </c>
    </row>
    <row r="54" spans="1:69">
      <c r="A54" s="3">
        <v>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3">
        <f t="shared" si="32"/>
        <v>0</v>
      </c>
      <c r="BB54" s="3">
        <f t="shared" si="48"/>
        <v>0</v>
      </c>
      <c r="BC54" s="3">
        <f t="shared" si="34"/>
        <v>0</v>
      </c>
      <c r="BD54" s="3">
        <f t="shared" si="49"/>
        <v>0</v>
      </c>
      <c r="BE54" s="3">
        <f t="shared" si="36"/>
        <v>0</v>
      </c>
      <c r="BF54" s="3">
        <f t="shared" si="37"/>
        <v>0</v>
      </c>
      <c r="BG54" s="3">
        <f t="shared" si="38"/>
        <v>0</v>
      </c>
      <c r="BH54" s="3">
        <f t="shared" si="50"/>
        <v>0</v>
      </c>
      <c r="BJ54" s="62">
        <f t="shared" si="40"/>
        <v>0</v>
      </c>
      <c r="BK54" s="62">
        <f t="shared" si="41"/>
        <v>0</v>
      </c>
      <c r="BL54" s="62">
        <f t="shared" si="42"/>
        <v>0</v>
      </c>
      <c r="BM54" s="62">
        <f t="shared" si="43"/>
        <v>0</v>
      </c>
      <c r="BN54" s="62">
        <f t="shared" si="44"/>
        <v>0</v>
      </c>
      <c r="BO54" s="62">
        <f t="shared" si="45"/>
        <v>0</v>
      </c>
      <c r="BP54" s="62">
        <f t="shared" si="46"/>
        <v>0</v>
      </c>
      <c r="BQ54" s="62">
        <f t="shared" si="47"/>
        <v>0</v>
      </c>
    </row>
    <row r="55" spans="1:69">
      <c r="A55" s="3">
        <v>52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3">
        <f t="shared" si="32"/>
        <v>0</v>
      </c>
      <c r="BB55" s="3">
        <f t="shared" si="48"/>
        <v>0</v>
      </c>
      <c r="BC55" s="3">
        <f t="shared" si="34"/>
        <v>0</v>
      </c>
      <c r="BD55" s="3">
        <f t="shared" si="49"/>
        <v>0</v>
      </c>
      <c r="BE55" s="3">
        <f t="shared" si="36"/>
        <v>0</v>
      </c>
      <c r="BF55" s="3">
        <f t="shared" si="37"/>
        <v>0</v>
      </c>
      <c r="BG55" s="3">
        <f t="shared" si="38"/>
        <v>0</v>
      </c>
      <c r="BH55" s="3">
        <f t="shared" si="50"/>
        <v>0</v>
      </c>
      <c r="BJ55" s="62">
        <f t="shared" si="40"/>
        <v>0</v>
      </c>
      <c r="BK55" s="62">
        <f t="shared" si="41"/>
        <v>0</v>
      </c>
      <c r="BL55" s="62">
        <f t="shared" si="42"/>
        <v>0</v>
      </c>
      <c r="BM55" s="62">
        <f t="shared" si="43"/>
        <v>0</v>
      </c>
      <c r="BN55" s="62">
        <f t="shared" si="44"/>
        <v>0</v>
      </c>
      <c r="BO55" s="62">
        <f t="shared" si="45"/>
        <v>0</v>
      </c>
      <c r="BP55" s="62">
        <f t="shared" si="46"/>
        <v>0</v>
      </c>
      <c r="BQ55" s="62">
        <f t="shared" si="47"/>
        <v>0</v>
      </c>
    </row>
    <row r="56" spans="1:69">
      <c r="A56" s="3">
        <v>53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3">
        <f t="shared" si="32"/>
        <v>0</v>
      </c>
      <c r="BB56" s="3">
        <f t="shared" si="48"/>
        <v>0</v>
      </c>
      <c r="BC56" s="3">
        <f t="shared" si="34"/>
        <v>0</v>
      </c>
      <c r="BD56" s="3">
        <f t="shared" si="49"/>
        <v>0</v>
      </c>
      <c r="BE56" s="3">
        <f t="shared" si="36"/>
        <v>0</v>
      </c>
      <c r="BF56" s="3">
        <f t="shared" si="37"/>
        <v>0</v>
      </c>
      <c r="BG56" s="3">
        <f t="shared" si="38"/>
        <v>0</v>
      </c>
      <c r="BH56" s="3">
        <f t="shared" si="50"/>
        <v>0</v>
      </c>
      <c r="BJ56" s="62">
        <f t="shared" si="40"/>
        <v>0</v>
      </c>
      <c r="BK56" s="62">
        <f t="shared" si="41"/>
        <v>0</v>
      </c>
      <c r="BL56" s="62">
        <f t="shared" si="42"/>
        <v>0</v>
      </c>
      <c r="BM56" s="62">
        <f t="shared" si="43"/>
        <v>0</v>
      </c>
      <c r="BN56" s="62">
        <f t="shared" si="44"/>
        <v>0</v>
      </c>
      <c r="BO56" s="62">
        <f t="shared" si="45"/>
        <v>0</v>
      </c>
      <c r="BP56" s="62">
        <f t="shared" si="46"/>
        <v>0</v>
      </c>
      <c r="BQ56" s="62">
        <f t="shared" si="47"/>
        <v>0</v>
      </c>
    </row>
    <row r="57" spans="1:69">
      <c r="A57" s="3">
        <v>54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3">
        <f t="shared" si="32"/>
        <v>0</v>
      </c>
      <c r="BB57" s="3">
        <f t="shared" si="48"/>
        <v>0</v>
      </c>
      <c r="BC57" s="3">
        <f t="shared" si="34"/>
        <v>0</v>
      </c>
      <c r="BD57" s="3">
        <f t="shared" si="49"/>
        <v>0</v>
      </c>
      <c r="BE57" s="3">
        <f t="shared" si="36"/>
        <v>0</v>
      </c>
      <c r="BF57" s="3">
        <f t="shared" si="37"/>
        <v>0</v>
      </c>
      <c r="BG57" s="3">
        <f t="shared" si="38"/>
        <v>0</v>
      </c>
      <c r="BH57" s="3">
        <f t="shared" si="50"/>
        <v>0</v>
      </c>
      <c r="BJ57" s="62">
        <f t="shared" si="40"/>
        <v>0</v>
      </c>
      <c r="BK57" s="62">
        <f t="shared" si="41"/>
        <v>0</v>
      </c>
      <c r="BL57" s="62">
        <f t="shared" si="42"/>
        <v>0</v>
      </c>
      <c r="BM57" s="62">
        <f t="shared" si="43"/>
        <v>0</v>
      </c>
      <c r="BN57" s="62">
        <f t="shared" si="44"/>
        <v>0</v>
      </c>
      <c r="BO57" s="62">
        <f t="shared" si="45"/>
        <v>0</v>
      </c>
      <c r="BP57" s="62">
        <f t="shared" si="46"/>
        <v>0</v>
      </c>
      <c r="BQ57" s="62">
        <f t="shared" si="47"/>
        <v>0</v>
      </c>
    </row>
    <row r="58" spans="1:69">
      <c r="A58" s="3">
        <v>55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3"/>
      <c r="BB58" s="3"/>
      <c r="BC58" s="3"/>
      <c r="BD58" s="3"/>
      <c r="BE58" s="3"/>
      <c r="BF58" s="3"/>
      <c r="BG58" s="3"/>
      <c r="BH58" s="3"/>
      <c r="BJ58" s="62"/>
      <c r="BK58" s="62"/>
      <c r="BL58" s="62"/>
      <c r="BM58" s="62"/>
      <c r="BN58" s="62"/>
      <c r="BO58" s="62"/>
      <c r="BP58" s="62"/>
      <c r="BQ58" s="62"/>
    </row>
    <row r="59" spans="1:69">
      <c r="A59" s="3">
        <v>56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3"/>
      <c r="BB59" s="3"/>
      <c r="BC59" s="3"/>
      <c r="BD59" s="3"/>
      <c r="BE59" s="3"/>
      <c r="BF59" s="3"/>
      <c r="BG59" s="3"/>
      <c r="BH59" s="3"/>
      <c r="BJ59" s="62"/>
      <c r="BK59" s="62"/>
      <c r="BL59" s="62"/>
      <c r="BM59" s="62"/>
      <c r="BN59" s="62"/>
      <c r="BO59" s="62"/>
      <c r="BP59" s="62"/>
      <c r="BQ59" s="62"/>
    </row>
    <row r="60" spans="1:69">
      <c r="A60" s="3">
        <v>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3"/>
      <c r="BB60" s="3"/>
      <c r="BC60" s="3"/>
      <c r="BD60" s="3"/>
      <c r="BE60" s="3"/>
      <c r="BF60" s="3"/>
      <c r="BG60" s="3"/>
      <c r="BH60" s="3"/>
      <c r="BJ60" s="62"/>
      <c r="BK60" s="62"/>
      <c r="BL60" s="62"/>
      <c r="BM60" s="62"/>
      <c r="BN60" s="62"/>
      <c r="BO60" s="62"/>
      <c r="BP60" s="62"/>
      <c r="BQ60" s="62"/>
    </row>
    <row r="61" spans="1:69">
      <c r="A61" s="3">
        <v>58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3"/>
      <c r="BB61" s="3"/>
      <c r="BC61" s="3"/>
      <c r="BD61" s="3"/>
      <c r="BE61" s="3"/>
      <c r="BF61" s="3"/>
      <c r="BG61" s="3"/>
      <c r="BH61" s="3"/>
      <c r="BJ61" s="62"/>
      <c r="BK61" s="62"/>
      <c r="BL61" s="62"/>
      <c r="BM61" s="62"/>
      <c r="BN61" s="62"/>
      <c r="BO61" s="62"/>
      <c r="BP61" s="62"/>
      <c r="BQ61" s="62"/>
    </row>
    <row r="62" spans="1:69">
      <c r="A62" s="3">
        <v>59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3"/>
      <c r="BB62" s="3"/>
      <c r="BC62" s="3"/>
      <c r="BD62" s="3"/>
      <c r="BE62" s="3"/>
      <c r="BF62" s="3"/>
      <c r="BG62" s="3"/>
      <c r="BH62" s="3"/>
      <c r="BJ62" s="62"/>
      <c r="BK62" s="62"/>
      <c r="BL62" s="62"/>
      <c r="BM62" s="62"/>
      <c r="BN62" s="62"/>
      <c r="BO62" s="62"/>
      <c r="BP62" s="62"/>
      <c r="BQ62" s="62"/>
    </row>
    <row r="63" spans="1:69">
      <c r="A63" s="3">
        <v>60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3"/>
      <c r="BB63" s="3"/>
      <c r="BC63" s="3"/>
      <c r="BD63" s="3"/>
      <c r="BE63" s="3"/>
      <c r="BF63" s="3"/>
      <c r="BG63" s="3"/>
      <c r="BH63" s="3"/>
      <c r="BJ63" s="62"/>
      <c r="BK63" s="62"/>
      <c r="BL63" s="62"/>
      <c r="BM63" s="62"/>
      <c r="BN63" s="62"/>
      <c r="BO63" s="62"/>
      <c r="BP63" s="62"/>
      <c r="BQ63" s="62"/>
    </row>
    <row r="64" spans="1:69">
      <c r="A64" s="3">
        <v>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3"/>
      <c r="BB64" s="3"/>
      <c r="BC64" s="3"/>
      <c r="BD64" s="3"/>
      <c r="BE64" s="3"/>
      <c r="BF64" s="3"/>
      <c r="BG64" s="3"/>
      <c r="BH64" s="3"/>
      <c r="BJ64" s="62"/>
      <c r="BK64" s="62"/>
      <c r="BL64" s="62"/>
      <c r="BM64" s="62"/>
      <c r="BN64" s="62"/>
      <c r="BO64" s="62"/>
      <c r="BP64" s="62"/>
      <c r="BQ64" s="62"/>
    </row>
    <row r="65" spans="1:69">
      <c r="A65" s="3">
        <v>62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3"/>
      <c r="BB65" s="3"/>
      <c r="BC65" s="3"/>
      <c r="BD65" s="3"/>
      <c r="BE65" s="3"/>
      <c r="BF65" s="3"/>
      <c r="BG65" s="3"/>
      <c r="BH65" s="3"/>
      <c r="BJ65" s="62"/>
      <c r="BK65" s="62"/>
      <c r="BL65" s="62"/>
      <c r="BM65" s="62"/>
      <c r="BN65" s="62"/>
      <c r="BO65" s="62"/>
      <c r="BP65" s="62"/>
      <c r="BQ65" s="62"/>
    </row>
    <row r="66" spans="1:69">
      <c r="A66" s="3">
        <v>63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3"/>
      <c r="BB66" s="3"/>
      <c r="BC66" s="3"/>
      <c r="BD66" s="3"/>
      <c r="BE66" s="3"/>
      <c r="BF66" s="3"/>
      <c r="BG66" s="3"/>
      <c r="BH66" s="3"/>
      <c r="BJ66" s="62"/>
      <c r="BK66" s="62"/>
      <c r="BL66" s="62"/>
      <c r="BM66" s="62"/>
      <c r="BN66" s="62"/>
      <c r="BO66" s="62"/>
      <c r="BP66" s="62"/>
      <c r="BQ66" s="62"/>
    </row>
    <row r="67" spans="1:69">
      <c r="A67" s="3">
        <v>64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3"/>
      <c r="BB67" s="3"/>
      <c r="BC67" s="3"/>
      <c r="BD67" s="3"/>
      <c r="BE67" s="3"/>
      <c r="BF67" s="3"/>
      <c r="BG67" s="3"/>
      <c r="BH67" s="3"/>
      <c r="BJ67" s="62"/>
      <c r="BK67" s="62"/>
      <c r="BL67" s="62"/>
      <c r="BM67" s="62"/>
      <c r="BN67" s="62"/>
      <c r="BO67" s="62"/>
      <c r="BP67" s="62"/>
      <c r="BQ67" s="62"/>
    </row>
    <row r="68" spans="1:69">
      <c r="A68" s="3">
        <v>65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3"/>
      <c r="BB68" s="3"/>
      <c r="BC68" s="3"/>
      <c r="BD68" s="3"/>
      <c r="BE68" s="3"/>
      <c r="BF68" s="3"/>
      <c r="BG68" s="3"/>
      <c r="BH68" s="3"/>
      <c r="BJ68" s="62"/>
      <c r="BK68" s="62"/>
      <c r="BL68" s="62"/>
      <c r="BM68" s="62"/>
      <c r="BN68" s="62"/>
      <c r="BO68" s="62"/>
      <c r="BP68" s="62"/>
      <c r="BQ68" s="62"/>
    </row>
    <row r="69" spans="1:69">
      <c r="A69" s="3">
        <v>66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3"/>
      <c r="BB69" s="3"/>
      <c r="BC69" s="3"/>
      <c r="BD69" s="3"/>
      <c r="BE69" s="3"/>
      <c r="BF69" s="3"/>
      <c r="BG69" s="3"/>
      <c r="BH69" s="3"/>
      <c r="BJ69" s="62"/>
      <c r="BK69" s="62"/>
      <c r="BL69" s="62"/>
      <c r="BM69" s="62"/>
      <c r="BN69" s="62"/>
      <c r="BO69" s="62"/>
      <c r="BP69" s="62"/>
      <c r="BQ69" s="62"/>
    </row>
    <row r="70" spans="1:69">
      <c r="A70" s="3">
        <v>67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3"/>
      <c r="BB70" s="3"/>
      <c r="BC70" s="3"/>
      <c r="BD70" s="3"/>
      <c r="BE70" s="3"/>
      <c r="BF70" s="3"/>
      <c r="BG70" s="3"/>
      <c r="BH70" s="3"/>
      <c r="BJ70" s="62"/>
      <c r="BK70" s="62"/>
      <c r="BL70" s="62"/>
      <c r="BM70" s="62"/>
      <c r="BN70" s="62"/>
      <c r="BO70" s="62"/>
      <c r="BP70" s="62"/>
      <c r="BQ70" s="62"/>
    </row>
    <row r="71" spans="1:69">
      <c r="A71" s="3">
        <v>68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3"/>
      <c r="BB71" s="3"/>
      <c r="BC71" s="3"/>
      <c r="BD71" s="3"/>
      <c r="BE71" s="3"/>
      <c r="BF71" s="3"/>
      <c r="BG71" s="3"/>
      <c r="BH71" s="3"/>
      <c r="BJ71" s="62"/>
      <c r="BK71" s="62"/>
      <c r="BL71" s="62"/>
      <c r="BM71" s="62"/>
      <c r="BN71" s="62"/>
      <c r="BO71" s="62"/>
      <c r="BP71" s="62"/>
      <c r="BQ71" s="62"/>
    </row>
    <row r="72" spans="1:69">
      <c r="A72" s="3">
        <v>69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3"/>
      <c r="BB72" s="3"/>
      <c r="BC72" s="3"/>
      <c r="BD72" s="3"/>
      <c r="BE72" s="3"/>
      <c r="BF72" s="3"/>
      <c r="BG72" s="3"/>
      <c r="BH72" s="3"/>
      <c r="BJ72" s="62"/>
      <c r="BK72" s="62"/>
      <c r="BL72" s="62"/>
      <c r="BM72" s="62"/>
      <c r="BN72" s="62"/>
      <c r="BO72" s="62"/>
      <c r="BP72" s="62"/>
      <c r="BQ72" s="62"/>
    </row>
    <row r="73" spans="1:69">
      <c r="A73" s="3">
        <v>70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3"/>
      <c r="BB73" s="3"/>
      <c r="BC73" s="3"/>
      <c r="BD73" s="3"/>
      <c r="BE73" s="3"/>
      <c r="BF73" s="3"/>
      <c r="BG73" s="3"/>
      <c r="BH73" s="3"/>
      <c r="BJ73" s="62"/>
      <c r="BK73" s="62"/>
      <c r="BL73" s="62"/>
      <c r="BM73" s="62"/>
      <c r="BN73" s="62"/>
      <c r="BO73" s="62"/>
      <c r="BP73" s="62"/>
      <c r="BQ73" s="62"/>
    </row>
    <row r="74" spans="1:69">
      <c r="A74" s="3">
        <v>71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3"/>
      <c r="BB74" s="3"/>
      <c r="BC74" s="3"/>
      <c r="BD74" s="3"/>
      <c r="BE74" s="3"/>
      <c r="BF74" s="3"/>
      <c r="BG74" s="3"/>
      <c r="BH74" s="3"/>
      <c r="BJ74" s="62"/>
      <c r="BK74" s="62"/>
      <c r="BL74" s="62"/>
      <c r="BM74" s="62"/>
      <c r="BN74" s="62"/>
      <c r="BO74" s="62"/>
      <c r="BP74" s="62"/>
      <c r="BQ74" s="62"/>
    </row>
    <row r="75" spans="1:69">
      <c r="A75" s="3">
        <v>72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3"/>
      <c r="BB75" s="3"/>
      <c r="BC75" s="3"/>
      <c r="BD75" s="3"/>
      <c r="BE75" s="3"/>
      <c r="BF75" s="3"/>
      <c r="BG75" s="3"/>
      <c r="BH75" s="3"/>
      <c r="BJ75" s="62"/>
      <c r="BK75" s="62"/>
      <c r="BL75" s="62"/>
      <c r="BM75" s="62"/>
      <c r="BN75" s="62"/>
      <c r="BO75" s="62"/>
      <c r="BP75" s="62"/>
      <c r="BQ75" s="62"/>
    </row>
    <row r="76" spans="1:69">
      <c r="A76" s="3">
        <v>73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3"/>
      <c r="BB76" s="3"/>
      <c r="BC76" s="3"/>
      <c r="BD76" s="3"/>
      <c r="BE76" s="3"/>
      <c r="BF76" s="3"/>
      <c r="BG76" s="3"/>
      <c r="BH76" s="3"/>
      <c r="BJ76" s="62"/>
      <c r="BK76" s="62"/>
      <c r="BL76" s="62"/>
      <c r="BM76" s="62"/>
      <c r="BN76" s="62"/>
      <c r="BO76" s="62"/>
      <c r="BP76" s="62"/>
      <c r="BQ76" s="62"/>
    </row>
    <row r="77" spans="1:69">
      <c r="A77" s="3">
        <v>74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3"/>
      <c r="BB77" s="3"/>
      <c r="BC77" s="3"/>
      <c r="BD77" s="3"/>
      <c r="BE77" s="3"/>
      <c r="BF77" s="3"/>
      <c r="BG77" s="3"/>
      <c r="BH77" s="3"/>
      <c r="BJ77" s="62"/>
      <c r="BK77" s="62"/>
      <c r="BL77" s="62"/>
      <c r="BM77" s="62"/>
      <c r="BN77" s="62"/>
      <c r="BO77" s="62"/>
      <c r="BP77" s="62"/>
      <c r="BQ77" s="62"/>
    </row>
    <row r="78" spans="1:69">
      <c r="A78" s="3">
        <v>75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3"/>
      <c r="BB78" s="3"/>
      <c r="BC78" s="3"/>
      <c r="BD78" s="3"/>
      <c r="BE78" s="3"/>
      <c r="BF78" s="3"/>
      <c r="BG78" s="3"/>
      <c r="BH78" s="3"/>
      <c r="BJ78" s="62"/>
      <c r="BK78" s="62"/>
      <c r="BL78" s="62"/>
      <c r="BM78" s="62"/>
      <c r="BN78" s="62"/>
      <c r="BO78" s="62"/>
      <c r="BP78" s="62"/>
      <c r="BQ78" s="62"/>
    </row>
    <row r="79" spans="1:69">
      <c r="A79" s="3">
        <v>76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3"/>
      <c r="BB79" s="3"/>
      <c r="BC79" s="3"/>
      <c r="BD79" s="3"/>
      <c r="BE79" s="3"/>
      <c r="BF79" s="3"/>
      <c r="BG79" s="3"/>
      <c r="BH79" s="3"/>
      <c r="BJ79" s="62"/>
      <c r="BK79" s="62"/>
      <c r="BL79" s="62"/>
      <c r="BM79" s="62"/>
      <c r="BN79" s="62"/>
      <c r="BO79" s="62"/>
      <c r="BP79" s="62"/>
      <c r="BQ79" s="62"/>
    </row>
    <row r="80" spans="1:69">
      <c r="A80" s="3">
        <v>77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3"/>
      <c r="BB80" s="3"/>
      <c r="BC80" s="3"/>
      <c r="BD80" s="3"/>
      <c r="BE80" s="3"/>
      <c r="BF80" s="3"/>
      <c r="BG80" s="3"/>
      <c r="BH80" s="3"/>
      <c r="BJ80" s="62"/>
      <c r="BK80" s="62"/>
      <c r="BL80" s="62"/>
      <c r="BM80" s="62"/>
      <c r="BN80" s="62"/>
      <c r="BO80" s="62"/>
      <c r="BP80" s="62"/>
      <c r="BQ80" s="62"/>
    </row>
    <row r="81" spans="1:69">
      <c r="A81" s="3">
        <v>78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3"/>
      <c r="BB81" s="3"/>
      <c r="BC81" s="3"/>
      <c r="BD81" s="3"/>
      <c r="BE81" s="3"/>
      <c r="BF81" s="3"/>
      <c r="BG81" s="3"/>
      <c r="BH81" s="3"/>
      <c r="BJ81" s="62"/>
      <c r="BK81" s="62"/>
      <c r="BL81" s="62"/>
      <c r="BM81" s="62"/>
      <c r="BN81" s="62"/>
      <c r="BO81" s="62"/>
      <c r="BP81" s="62"/>
      <c r="BQ81" s="62"/>
    </row>
    <row r="82" spans="1:69">
      <c r="A82" s="3">
        <v>79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3"/>
      <c r="BB82" s="3"/>
      <c r="BC82" s="3"/>
      <c r="BD82" s="3"/>
      <c r="BE82" s="3"/>
      <c r="BF82" s="3"/>
      <c r="BG82" s="3"/>
      <c r="BH82" s="3"/>
      <c r="BJ82" s="62"/>
      <c r="BK82" s="62"/>
      <c r="BL82" s="62"/>
      <c r="BM82" s="62"/>
      <c r="BN82" s="62"/>
      <c r="BO82" s="62"/>
      <c r="BP82" s="62"/>
      <c r="BQ82" s="62"/>
    </row>
    <row r="83" spans="1:69">
      <c r="A83" s="3">
        <v>80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3"/>
      <c r="BB83" s="3"/>
      <c r="BC83" s="3"/>
      <c r="BD83" s="3"/>
      <c r="BE83" s="3"/>
      <c r="BF83" s="3"/>
      <c r="BG83" s="3"/>
      <c r="BH83" s="3"/>
      <c r="BJ83" s="62"/>
      <c r="BK83" s="62"/>
      <c r="BL83" s="62"/>
      <c r="BM83" s="62"/>
      <c r="BN83" s="62"/>
      <c r="BO83" s="62"/>
      <c r="BP83" s="62"/>
      <c r="BQ83" s="62"/>
    </row>
    <row r="84" spans="1:69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J84" s="63">
        <f t="shared" ref="BJ84:BQ84" si="51">AVERAGE(BJ4:BJ31)</f>
        <v>2.4553571428571428</v>
      </c>
      <c r="BK84" s="63">
        <f t="shared" si="51"/>
        <v>0</v>
      </c>
      <c r="BL84" s="63">
        <f t="shared" si="51"/>
        <v>0</v>
      </c>
      <c r="BM84" s="63">
        <f t="shared" si="51"/>
        <v>2.9761904761904767</v>
      </c>
      <c r="BN84" s="63">
        <f t="shared" si="51"/>
        <v>1.6865079365079367</v>
      </c>
      <c r="BO84" s="63">
        <f t="shared" si="51"/>
        <v>1.7857142857142854</v>
      </c>
      <c r="BP84" s="63">
        <f t="shared" si="51"/>
        <v>2.2321428571428572</v>
      </c>
      <c r="BQ84" s="63">
        <f t="shared" si="51"/>
        <v>1.5552995391705069</v>
      </c>
    </row>
    <row r="85" spans="1:69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69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69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69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6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69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69">
      <c r="A91" s="3"/>
    </row>
    <row r="92" spans="1:69">
      <c r="A92" s="3"/>
    </row>
    <row r="93" spans="1:69">
      <c r="A93" s="3"/>
    </row>
    <row r="94" spans="1:69">
      <c r="A94" s="3"/>
    </row>
    <row r="95" spans="1:69">
      <c r="A95" s="3"/>
    </row>
    <row r="96" spans="1:69">
      <c r="A96" s="3"/>
    </row>
    <row r="97" spans="1:1">
      <c r="A97" s="3"/>
    </row>
  </sheetData>
  <mergeCells count="6">
    <mergeCell ref="BQ1:BQ3"/>
    <mergeCell ref="A1:U2"/>
    <mergeCell ref="V1:AZ2"/>
    <mergeCell ref="BA1:BG2"/>
    <mergeCell ref="BH1:BH3"/>
    <mergeCell ref="BJ1:BP2"/>
  </mergeCells>
  <conditionalFormatting sqref="BJ84">
    <cfRule type="cellIs" dxfId="198" priority="40" operator="between">
      <formula>0</formula>
      <formula>6.3</formula>
    </cfRule>
    <cfRule type="cellIs" dxfId="197" priority="39" operator="between">
      <formula>6.4</formula>
      <formula>25</formula>
    </cfRule>
    <cfRule type="cellIs" dxfId="196" priority="38" operator="between">
      <formula>25.1</formula>
      <formula>37.5</formula>
    </cfRule>
    <cfRule type="cellIs" dxfId="195" priority="37" operator="between">
      <formula>37.6</formula>
      <formula>50</formula>
    </cfRule>
    <cfRule type="cellIs" dxfId="194" priority="36" operator="between">
      <formula>50.1</formula>
      <formula>100</formula>
    </cfRule>
  </conditionalFormatting>
  <conditionalFormatting sqref="BK84">
    <cfRule type="cellIs" dxfId="193" priority="35" operator="between">
      <formula>0</formula>
      <formula>0.9</formula>
    </cfRule>
    <cfRule type="cellIs" dxfId="192" priority="34" operator="between">
      <formula>1</formula>
      <formula>8.3</formula>
    </cfRule>
    <cfRule type="cellIs" dxfId="191" priority="33" operator="between">
      <formula>8.4</formula>
      <formula>16.7</formula>
    </cfRule>
    <cfRule type="cellIs" dxfId="190" priority="32" operator="between">
      <formula>16.8</formula>
      <formula>25</formula>
    </cfRule>
    <cfRule type="cellIs" dxfId="189" priority="31" operator="between">
      <formula>25.1</formula>
      <formula>100</formula>
    </cfRule>
  </conditionalFormatting>
  <conditionalFormatting sqref="BL84">
    <cfRule type="cellIs" dxfId="188" priority="30" operator="between">
      <formula>0</formula>
      <formula>0.9</formula>
    </cfRule>
    <cfRule type="cellIs" dxfId="187" priority="29" operator="between">
      <formula>1</formula>
      <formula>10</formula>
    </cfRule>
    <cfRule type="cellIs" dxfId="186" priority="28" operator="between">
      <formula>10.1</formula>
      <formula>20</formula>
    </cfRule>
    <cfRule type="cellIs" dxfId="185" priority="27" operator="between">
      <formula>20.1</formula>
      <formula>30</formula>
    </cfRule>
    <cfRule type="cellIs" dxfId="184" priority="26" operator="between">
      <formula>30.1</formula>
      <formula>100</formula>
    </cfRule>
  </conditionalFormatting>
  <conditionalFormatting sqref="BM84">
    <cfRule type="cellIs" dxfId="183" priority="21" operator="between">
      <formula>50.1</formula>
      <formula>100</formula>
    </cfRule>
    <cfRule type="cellIs" dxfId="182" priority="22" operator="between">
      <formula>33.4</formula>
      <formula>50</formula>
    </cfRule>
    <cfRule type="cellIs" dxfId="181" priority="23" operator="between">
      <formula>25.1</formula>
      <formula>33.3</formula>
    </cfRule>
    <cfRule type="cellIs" dxfId="180" priority="24" operator="between">
      <formula>8.4</formula>
      <formula>25</formula>
    </cfRule>
    <cfRule type="cellIs" dxfId="179" priority="25" operator="between">
      <formula>0</formula>
      <formula>8.3</formula>
    </cfRule>
  </conditionalFormatting>
  <conditionalFormatting sqref="BN84">
    <cfRule type="cellIs" dxfId="178" priority="20" operator="between">
      <formula>0</formula>
      <formula>5.6</formula>
    </cfRule>
    <cfRule type="cellIs" dxfId="177" priority="19" operator="between">
      <formula>5.7</formula>
      <formula>11.1</formula>
    </cfRule>
    <cfRule type="cellIs" dxfId="176" priority="18" operator="between">
      <formula>11.2</formula>
      <formula>13.9</formula>
    </cfRule>
    <cfRule type="cellIs" dxfId="175" priority="17" operator="between">
      <formula>14</formula>
      <formula>22.2</formula>
    </cfRule>
    <cfRule type="cellIs" dxfId="174" priority="16" operator="between">
      <formula>22.3</formula>
      <formula>100</formula>
    </cfRule>
  </conditionalFormatting>
  <conditionalFormatting sqref="BO84">
    <cfRule type="cellIs" dxfId="173" priority="15" operator="between">
      <formula>0</formula>
      <formula>8.3</formula>
    </cfRule>
    <cfRule type="cellIs" dxfId="172" priority="14" operator="between">
      <formula>8.4</formula>
      <formula>16.7</formula>
    </cfRule>
    <cfRule type="cellIs" dxfId="171" priority="13" operator="between">
      <formula>16.8</formula>
      <formula>25</formula>
    </cfRule>
    <cfRule type="cellIs" dxfId="170" priority="12" operator="between">
      <formula>25.1</formula>
      <formula>41.7</formula>
    </cfRule>
    <cfRule type="cellIs" dxfId="169" priority="11" operator="between">
      <formula>41.8</formula>
      <formula>100</formula>
    </cfRule>
  </conditionalFormatting>
  <conditionalFormatting sqref="BP84">
    <cfRule type="cellIs" dxfId="168" priority="6" operator="between">
      <formula>43.9</formula>
      <formula>100</formula>
    </cfRule>
    <cfRule type="cellIs" dxfId="167" priority="10" operator="between">
      <formula>0</formula>
      <formula>0.9</formula>
    </cfRule>
    <cfRule type="cellIs" dxfId="166" priority="9" operator="between">
      <formula>1</formula>
      <formula>12.5</formula>
    </cfRule>
    <cfRule type="cellIs" dxfId="165" priority="8" operator="between">
      <formula>12.6</formula>
      <formula>25</formula>
    </cfRule>
    <cfRule type="cellIs" dxfId="164" priority="7" operator="between">
      <formula>25.1</formula>
      <formula>43.8</formula>
    </cfRule>
  </conditionalFormatting>
  <conditionalFormatting sqref="BQ84">
    <cfRule type="cellIs" dxfId="163" priority="2" operator="between">
      <formula>22.7</formula>
      <formula>29</formula>
    </cfRule>
    <cfRule type="cellIs" dxfId="162" priority="3" operator="between">
      <formula>17</formula>
      <formula>22.6</formula>
    </cfRule>
    <cfRule type="cellIs" dxfId="161" priority="4" operator="between">
      <formula>11.4</formula>
      <formula>16.9</formula>
    </cfRule>
    <cfRule type="cellIs" dxfId="160" priority="5" operator="between">
      <formula>0</formula>
      <formula>11.3</formula>
    </cfRule>
    <cfRule type="cellIs" dxfId="159" priority="1" operator="between">
      <formula>29.1</formula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6"/>
  <sheetViews>
    <sheetView zoomScale="110" zoomScaleNormal="11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4" sqref="G4"/>
    </sheetView>
  </sheetViews>
  <sheetFormatPr baseColWidth="10" defaultRowHeight="14.5"/>
  <cols>
    <col min="1" max="1" width="6.81640625" style="69" customWidth="1"/>
    <col min="2" max="2" width="27.26953125" style="69" customWidth="1"/>
    <col min="3" max="3" width="13.1796875" style="69" customWidth="1"/>
    <col min="4" max="4" width="9.453125" style="69" customWidth="1"/>
    <col min="5" max="6" width="10.81640625" style="69"/>
    <col min="7" max="7" width="30.453125" style="69" customWidth="1"/>
    <col min="8" max="8" width="31.81640625" style="69" customWidth="1"/>
    <col min="9" max="9" width="15.453125" style="69" customWidth="1"/>
    <col min="10" max="14" width="10.81640625" style="69"/>
    <col min="15" max="15" width="30.54296875" style="69" customWidth="1"/>
    <col min="16" max="16" width="41.1796875" style="69" customWidth="1"/>
    <col min="17" max="17" width="10.81640625" style="69"/>
    <col min="18" max="18" width="24.7265625" style="69" customWidth="1"/>
    <col min="19" max="19" width="25.7265625" style="69" customWidth="1"/>
    <col min="20" max="20" width="16.1796875" style="69" customWidth="1"/>
    <col min="21" max="21" width="10.81640625" style="69"/>
    <col min="22" max="52" width="3.81640625" customWidth="1"/>
    <col min="57" max="57" width="21" customWidth="1"/>
    <col min="58" max="58" width="23.54296875" customWidth="1"/>
  </cols>
  <sheetData>
    <row r="1" spans="1:58" ht="15" thickBot="1">
      <c r="A1" s="158" t="s">
        <v>78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76"/>
      <c r="V1" s="168" t="s">
        <v>6</v>
      </c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70"/>
      <c r="BA1" s="171" t="s">
        <v>12</v>
      </c>
      <c r="BB1" s="172"/>
      <c r="BC1" s="172"/>
      <c r="BD1" s="173"/>
      <c r="BE1" s="174" t="s">
        <v>5</v>
      </c>
      <c r="BF1" s="175"/>
    </row>
    <row r="2" spans="1:58" ht="55" customHeight="1">
      <c r="A2" s="64" t="s">
        <v>36</v>
      </c>
      <c r="B2" s="65" t="str">
        <f>'INTRA LABORAL A'!B4</f>
        <v>Nombre</v>
      </c>
      <c r="C2" s="65" t="str">
        <f>'INTRA LABORAL A'!C4</f>
        <v>Identificacion</v>
      </c>
      <c r="D2" s="65" t="str">
        <f>'INTRA LABORAL A'!D4</f>
        <v>Sexo</v>
      </c>
      <c r="E2" s="65" t="str">
        <f>'INTRA LABORAL A'!E4</f>
        <v>Año Nacimiento</v>
      </c>
      <c r="F2" s="65" t="str">
        <f>'INTRA LABORAL A'!F4</f>
        <v>Estado Civil</v>
      </c>
      <c r="G2" s="65" t="str">
        <f>'INTRA LABORAL A'!G4</f>
        <v>Ultimo nivel de estudio</v>
      </c>
      <c r="H2" s="65" t="str">
        <f>'INTRA LABORAL A'!H4</f>
        <v>Ocupacion/Profesion</v>
      </c>
      <c r="I2" s="65" t="str">
        <f>'INTRA LABORAL A'!I4</f>
        <v>Lugar de Residencia</v>
      </c>
      <c r="J2" s="65" t="str">
        <f>'INTRA LABORAL A'!J4</f>
        <v>Estrato</v>
      </c>
      <c r="K2" s="65" t="str">
        <f>'INTRA LABORAL A'!K4</f>
        <v>Tipo de Vivienda</v>
      </c>
      <c r="L2" s="65" t="str">
        <f>'INTRA LABORAL A'!L4</f>
        <v>Numero de personas a cargo</v>
      </c>
      <c r="M2" s="65" t="str">
        <f>'INTRA LABORAL A'!M4</f>
        <v>Lugar donde trabaja actualmente</v>
      </c>
      <c r="N2" s="65" t="str">
        <f>'INTRA LABORAL A'!N4</f>
        <v>Tiempo de trabajo en la empresa</v>
      </c>
      <c r="O2" s="65" t="str">
        <f>'INTRA LABORAL A'!O4</f>
        <v>Cargo actual</v>
      </c>
      <c r="P2" s="65" t="str">
        <f>'INTRA LABORAL A'!P4</f>
        <v>Seleccione el tipo de cargo</v>
      </c>
      <c r="Q2" s="65" t="str">
        <f>'INTRA LABORAL A'!Q4</f>
        <v>Hace cuantos años que desempeña el cargo u oficio en la empresa</v>
      </c>
      <c r="R2" s="65" t="str">
        <f>'INTRA LABORAL A'!R4</f>
        <v>Nombre del area o seccion de la empresa en el que trabaja</v>
      </c>
      <c r="S2" s="65" t="str">
        <f>'INTRA LABORAL A'!S4</f>
        <v>Tipo de contrato</v>
      </c>
      <c r="T2" s="65" t="str">
        <f>'INTRA LABORAL A'!T4</f>
        <v>Horas diarias de trabajo al dia</v>
      </c>
      <c r="U2" s="65" t="str">
        <f>'INTRA LABORAL A'!U4</f>
        <v>Tipo de salario que recibe</v>
      </c>
      <c r="V2" s="86">
        <v>1</v>
      </c>
      <c r="W2" s="86">
        <v>2</v>
      </c>
      <c r="X2" s="86">
        <v>3</v>
      </c>
      <c r="Y2" s="86">
        <v>4</v>
      </c>
      <c r="Z2" s="86">
        <v>5</v>
      </c>
      <c r="AA2" s="86">
        <v>6</v>
      </c>
      <c r="AB2" s="86">
        <v>7</v>
      </c>
      <c r="AC2" s="86">
        <v>8</v>
      </c>
      <c r="AD2" s="86">
        <v>9</v>
      </c>
      <c r="AE2" s="86">
        <v>10</v>
      </c>
      <c r="AF2" s="86">
        <v>11</v>
      </c>
      <c r="AG2" s="86">
        <v>12</v>
      </c>
      <c r="AH2" s="86">
        <v>13</v>
      </c>
      <c r="AI2" s="86">
        <v>14</v>
      </c>
      <c r="AJ2" s="86">
        <v>15</v>
      </c>
      <c r="AK2" s="86">
        <v>16</v>
      </c>
      <c r="AL2" s="86">
        <v>17</v>
      </c>
      <c r="AM2" s="86">
        <v>18</v>
      </c>
      <c r="AN2" s="86">
        <v>19</v>
      </c>
      <c r="AO2" s="86">
        <v>20</v>
      </c>
      <c r="AP2" s="86">
        <v>21</v>
      </c>
      <c r="AQ2" s="86">
        <v>22</v>
      </c>
      <c r="AR2" s="86">
        <v>23</v>
      </c>
      <c r="AS2" s="86">
        <v>24</v>
      </c>
      <c r="AT2" s="86">
        <v>25</v>
      </c>
      <c r="AU2" s="86">
        <v>26</v>
      </c>
      <c r="AV2" s="86">
        <v>27</v>
      </c>
      <c r="AW2" s="86">
        <v>28</v>
      </c>
      <c r="AX2" s="86">
        <v>29</v>
      </c>
      <c r="AY2" s="86">
        <v>30</v>
      </c>
      <c r="AZ2" s="86">
        <v>31</v>
      </c>
      <c r="BA2" s="87" t="s">
        <v>90</v>
      </c>
      <c r="BB2" s="87" t="s">
        <v>91</v>
      </c>
      <c r="BC2" s="87" t="s">
        <v>92</v>
      </c>
      <c r="BD2" s="87" t="s">
        <v>93</v>
      </c>
      <c r="BE2" s="88" t="s">
        <v>13</v>
      </c>
      <c r="BF2" s="70" t="s">
        <v>14</v>
      </c>
    </row>
    <row r="3" spans="1:58">
      <c r="A3" s="24">
        <v>1</v>
      </c>
      <c r="B3" s="24" t="str">
        <f>'INTRA LABORAL A'!B5</f>
        <v xml:space="preserve">Adriana Katheribe Farfan </v>
      </c>
      <c r="C3" s="24">
        <f>'INTRA LABORAL A'!C5</f>
        <v>1075274331</v>
      </c>
      <c r="D3" s="24" t="str">
        <f>'INTRA LABORAL A'!D5</f>
        <v>f</v>
      </c>
      <c r="E3" s="24">
        <f>'INTRA LABORAL A'!E5</f>
        <v>1993</v>
      </c>
      <c r="F3" s="24" t="str">
        <f>'INTRA LABORAL A'!F5</f>
        <v>Casado</v>
      </c>
      <c r="G3" s="24" t="str">
        <f>'INTRA LABORAL A'!G5</f>
        <v>Post-grado incompleto</v>
      </c>
      <c r="H3" s="24" t="str">
        <f>'INTRA LABORAL A'!H5</f>
        <v xml:space="preserve">Ingeniero industrial </v>
      </c>
      <c r="I3" s="24" t="str">
        <f>'INTRA LABORAL A'!I5</f>
        <v>Neiva</v>
      </c>
      <c r="J3" s="24">
        <f>'INTRA LABORAL A'!J5</f>
        <v>2</v>
      </c>
      <c r="K3" s="24" t="str">
        <f>'INTRA LABORAL A'!K5</f>
        <v>Propia</v>
      </c>
      <c r="L3" s="24">
        <f>'INTRA LABORAL A'!L5</f>
        <v>1</v>
      </c>
      <c r="M3" s="24" t="str">
        <f>'INTRA LABORAL A'!M5</f>
        <v>Neiva - Huila</v>
      </c>
      <c r="N3" s="24" t="str">
        <f>'INTRA LABORAL A'!N5</f>
        <v xml:space="preserve">3 años </v>
      </c>
      <c r="O3" s="24" t="str">
        <f>'INTRA LABORAL A'!O5</f>
        <v xml:space="preserve">Administrdora </v>
      </c>
      <c r="P3" s="24" t="str">
        <f>'INTRA LABORAL A'!P5</f>
        <v>Jefatura - tiene personal a cargo</v>
      </c>
      <c r="Q3" s="24" t="str">
        <f>'INTRA LABORAL A'!Q5</f>
        <v xml:space="preserve">1 año </v>
      </c>
      <c r="R3" s="24" t="str">
        <f>'INTRA LABORAL A'!R5</f>
        <v>Administración</v>
      </c>
      <c r="S3" s="24" t="str">
        <f>'INTRA LABORAL A'!S5</f>
        <v>Temporal de menos de 1 año</v>
      </c>
      <c r="T3" s="24">
        <f>'INTRA LABORAL A'!T5</f>
        <v>8</v>
      </c>
      <c r="U3" s="24" t="str">
        <f>'INTRA LABORAL A'!U5</f>
        <v xml:space="preserve">Fijo </v>
      </c>
      <c r="V3" s="6">
        <v>6</v>
      </c>
      <c r="W3" s="6">
        <v>3</v>
      </c>
      <c r="X3" s="6">
        <v>0</v>
      </c>
      <c r="Y3" s="6">
        <v>2</v>
      </c>
      <c r="Z3" s="6">
        <v>2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3</v>
      </c>
      <c r="AI3" s="6">
        <v>0</v>
      </c>
      <c r="AJ3" s="6">
        <v>0</v>
      </c>
      <c r="AK3" s="6">
        <v>0</v>
      </c>
      <c r="AL3" s="6">
        <v>2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3</v>
      </c>
      <c r="AS3" s="6">
        <v>0</v>
      </c>
      <c r="AT3" s="6">
        <v>2</v>
      </c>
      <c r="AU3" s="6">
        <v>0</v>
      </c>
      <c r="AV3" s="6">
        <v>0</v>
      </c>
      <c r="AW3" s="6">
        <v>2</v>
      </c>
      <c r="AX3" s="6">
        <v>0</v>
      </c>
      <c r="AY3" s="6">
        <v>0</v>
      </c>
      <c r="AZ3" s="6">
        <v>1</v>
      </c>
      <c r="BA3" s="46">
        <f>AVERAGE(V3:AC3)*4</f>
        <v>6.5</v>
      </c>
      <c r="BB3" s="46">
        <f>AVERAGE(AD3:AG3)*3</f>
        <v>0</v>
      </c>
      <c r="BC3" s="46">
        <f>AVERAGE(AH3:AQ3)*2</f>
        <v>1</v>
      </c>
      <c r="BD3" s="46">
        <f>AVERAGE(AR3:AZ3)*1</f>
        <v>0.88888888888888884</v>
      </c>
      <c r="BE3" s="46">
        <f>SUM(BA3:BD3)</f>
        <v>8.3888888888888893</v>
      </c>
      <c r="BF3" s="71">
        <f>(BE3/61.16)*100</f>
        <v>13.71629968752271</v>
      </c>
    </row>
    <row r="4" spans="1:58">
      <c r="A4" s="24">
        <v>2</v>
      </c>
      <c r="B4" s="24" t="str">
        <f>'INTRA LABORAL A'!B6</f>
        <v xml:space="preserve">Ever Adames Ramón </v>
      </c>
      <c r="C4" s="24">
        <f>'INTRA LABORAL A'!C6</f>
        <v>7696889</v>
      </c>
      <c r="D4" s="24" t="str">
        <f>'INTRA LABORAL A'!D6</f>
        <v>m</v>
      </c>
      <c r="E4" s="24">
        <f>'INTRA LABORAL A'!E6</f>
        <v>1974</v>
      </c>
      <c r="F4" s="24" t="str">
        <f>'INTRA LABORAL A'!F6</f>
        <v>Soltero (a)</v>
      </c>
      <c r="G4" s="24" t="str">
        <f>'INTRA LABORAL A'!G6</f>
        <v>Post-grado completo</v>
      </c>
      <c r="H4" s="24" t="str">
        <f>'INTRA LABORAL A'!H6</f>
        <v xml:space="preserve">Ingeniero </v>
      </c>
      <c r="I4" s="24" t="str">
        <f>'INTRA LABORAL A'!I6</f>
        <v>Neiva</v>
      </c>
      <c r="J4" s="24">
        <f>'INTRA LABORAL A'!J6</f>
        <v>3</v>
      </c>
      <c r="K4" s="24" t="str">
        <f>'INTRA LABORAL A'!K6</f>
        <v>Propia</v>
      </c>
      <c r="L4" s="24">
        <f>'INTRA LABORAL A'!L6</f>
        <v>1</v>
      </c>
      <c r="M4" s="24" t="str">
        <f>'INTRA LABORAL A'!M6</f>
        <v>Neiva - Huila</v>
      </c>
      <c r="N4" s="24" t="str">
        <f>'INTRA LABORAL A'!N6</f>
        <v>20 años</v>
      </c>
      <c r="O4" s="24" t="str">
        <f>'INTRA LABORAL A'!O6</f>
        <v xml:space="preserve">Gerente </v>
      </c>
      <c r="P4" s="24" t="str">
        <f>'INTRA LABORAL A'!P6</f>
        <v>Jefatura - tiene personal a cargo</v>
      </c>
      <c r="Q4" s="24" t="str">
        <f>'INTRA LABORAL A'!Q6</f>
        <v>10 años</v>
      </c>
      <c r="R4" s="24" t="str">
        <f>'INTRA LABORAL A'!R6</f>
        <v xml:space="preserve">Gerencia </v>
      </c>
      <c r="S4" s="24" t="str">
        <f>'INTRA LABORAL A'!S6</f>
        <v>Termino Indefinido</v>
      </c>
      <c r="T4" s="24">
        <f>'INTRA LABORAL A'!T6</f>
        <v>8</v>
      </c>
      <c r="U4" s="24" t="str">
        <f>'INTRA LABORAL A'!U6</f>
        <v>Una Parte fija y otra variable</v>
      </c>
      <c r="V4" s="6">
        <v>0</v>
      </c>
      <c r="W4" s="6">
        <v>0</v>
      </c>
      <c r="X4" s="6">
        <v>0</v>
      </c>
      <c r="Y4" s="6">
        <v>2</v>
      </c>
      <c r="Z4" s="6">
        <v>0</v>
      </c>
      <c r="AA4" s="6">
        <v>0</v>
      </c>
      <c r="AB4" s="6">
        <v>1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2</v>
      </c>
      <c r="AX4" s="6">
        <v>0</v>
      </c>
      <c r="AY4" s="6">
        <v>0</v>
      </c>
      <c r="AZ4" s="6">
        <v>0</v>
      </c>
      <c r="BA4" s="46">
        <f t="shared" ref="BA4" si="0">AVERAGE(V4:AC4)*4</f>
        <v>1.5</v>
      </c>
      <c r="BB4" s="46">
        <f t="shared" ref="BB4" si="1">AVERAGE(AD4:AG4)*3</f>
        <v>0</v>
      </c>
      <c r="BC4" s="46">
        <f t="shared" ref="BC4" si="2">AVERAGE(AH4:AQ4)*2</f>
        <v>0</v>
      </c>
      <c r="BD4" s="46">
        <f t="shared" ref="BD4" si="3">AVERAGE(AR4:AZ4)*1</f>
        <v>0.22222222222222221</v>
      </c>
      <c r="BE4" s="46">
        <f t="shared" ref="BE4" si="4">SUM(BA4:BD4)</f>
        <v>1.7222222222222223</v>
      </c>
      <c r="BF4" s="71">
        <f t="shared" ref="BF4:BF11" si="5">(BE4/61.16)*100</f>
        <v>2.8159290749218808</v>
      </c>
    </row>
    <row r="5" spans="1:58">
      <c r="A5" s="24">
        <v>3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46"/>
      <c r="BB5" s="46"/>
      <c r="BC5" s="46"/>
      <c r="BD5" s="46"/>
      <c r="BE5" s="46"/>
      <c r="BF5" s="71">
        <f t="shared" si="5"/>
        <v>0</v>
      </c>
    </row>
    <row r="6" spans="1:58">
      <c r="A6" s="24">
        <v>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46"/>
      <c r="BB6" s="46"/>
      <c r="BC6" s="46"/>
      <c r="BD6" s="46"/>
      <c r="BE6" s="46"/>
      <c r="BF6" s="71">
        <f t="shared" si="5"/>
        <v>0</v>
      </c>
    </row>
    <row r="7" spans="1:58">
      <c r="A7" s="24">
        <v>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46"/>
      <c r="BB7" s="46"/>
      <c r="BC7" s="46"/>
      <c r="BD7" s="46"/>
      <c r="BE7" s="46"/>
      <c r="BF7" s="71">
        <f t="shared" si="5"/>
        <v>0</v>
      </c>
    </row>
    <row r="8" spans="1:58">
      <c r="A8" s="24">
        <v>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46"/>
      <c r="BB8" s="46"/>
      <c r="BC8" s="46"/>
      <c r="BD8" s="46"/>
      <c r="BE8" s="46"/>
      <c r="BF8" s="71">
        <f t="shared" si="5"/>
        <v>0</v>
      </c>
    </row>
    <row r="9" spans="1:58">
      <c r="A9" s="24">
        <v>7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46"/>
      <c r="BB9" s="46"/>
      <c r="BC9" s="46"/>
      <c r="BD9" s="46"/>
      <c r="BE9" s="46"/>
      <c r="BF9" s="71">
        <f t="shared" si="5"/>
        <v>0</v>
      </c>
    </row>
    <row r="10" spans="1:58">
      <c r="A10" s="24">
        <v>8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46"/>
      <c r="BB10" s="46"/>
      <c r="BC10" s="46"/>
      <c r="BD10" s="46"/>
      <c r="BE10" s="46"/>
      <c r="BF10" s="71">
        <f t="shared" si="5"/>
        <v>0</v>
      </c>
    </row>
    <row r="11" spans="1:58">
      <c r="A11" s="24">
        <v>9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46"/>
      <c r="BB11" s="46"/>
      <c r="BC11" s="46"/>
      <c r="BD11" s="46"/>
      <c r="BE11" s="46"/>
      <c r="BF11" s="71">
        <f t="shared" si="5"/>
        <v>0</v>
      </c>
    </row>
    <row r="12" spans="1:58">
      <c r="A12" s="24">
        <v>10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46"/>
      <c r="BB12" s="46"/>
      <c r="BC12" s="46"/>
      <c r="BD12" s="46"/>
      <c r="BE12" s="46"/>
      <c r="BF12" s="71">
        <f>(BE12/61.16)*100</f>
        <v>0</v>
      </c>
    </row>
    <row r="13" spans="1:58">
      <c r="A13" s="24">
        <v>11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46"/>
      <c r="BB13" s="46"/>
      <c r="BC13" s="46"/>
      <c r="BD13" s="46"/>
      <c r="BE13" s="46"/>
      <c r="BF13" s="71">
        <f>(BE13/61.16)*100</f>
        <v>0</v>
      </c>
    </row>
    <row r="14" spans="1:58">
      <c r="A14" s="24">
        <v>12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46"/>
      <c r="BB14" s="46"/>
      <c r="BC14" s="46"/>
      <c r="BD14" s="46"/>
      <c r="BE14" s="46"/>
      <c r="BF14" s="71">
        <f>(BE14/61.16)*100</f>
        <v>0</v>
      </c>
    </row>
    <row r="15" spans="1:58">
      <c r="A15" s="24">
        <v>13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46"/>
      <c r="BB15" s="46"/>
      <c r="BC15" s="46"/>
      <c r="BD15" s="46"/>
      <c r="BE15" s="46"/>
      <c r="BF15" s="71">
        <f t="shared" ref="BF15:BF27" si="6">(BE15/61.16)*100</f>
        <v>0</v>
      </c>
    </row>
    <row r="16" spans="1:58">
      <c r="A16" s="24">
        <v>14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46"/>
      <c r="BB16" s="46"/>
      <c r="BC16" s="46"/>
      <c r="BD16" s="46"/>
      <c r="BE16" s="46"/>
      <c r="BF16" s="71">
        <f t="shared" si="6"/>
        <v>0</v>
      </c>
    </row>
    <row r="17" spans="1:58">
      <c r="A17" s="24">
        <v>15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46"/>
      <c r="BB17" s="46"/>
      <c r="BC17" s="46"/>
      <c r="BD17" s="46"/>
      <c r="BE17" s="46"/>
      <c r="BF17" s="71">
        <f t="shared" si="6"/>
        <v>0</v>
      </c>
    </row>
    <row r="18" spans="1:58">
      <c r="A18" s="24">
        <v>16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46"/>
      <c r="BB18" s="46"/>
      <c r="BC18" s="46"/>
      <c r="BD18" s="46"/>
      <c r="BE18" s="46"/>
      <c r="BF18" s="71">
        <f t="shared" si="6"/>
        <v>0</v>
      </c>
    </row>
    <row r="19" spans="1:58">
      <c r="A19" s="24">
        <v>17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46"/>
      <c r="BB19" s="46"/>
      <c r="BC19" s="46"/>
      <c r="BD19" s="46"/>
      <c r="BE19" s="46"/>
      <c r="BF19" s="71">
        <f t="shared" si="6"/>
        <v>0</v>
      </c>
    </row>
    <row r="20" spans="1:58">
      <c r="A20" s="24">
        <v>18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46"/>
      <c r="BB20" s="46"/>
      <c r="BC20" s="46"/>
      <c r="BD20" s="46"/>
      <c r="BE20" s="46"/>
      <c r="BF20" s="71">
        <f t="shared" si="6"/>
        <v>0</v>
      </c>
    </row>
    <row r="21" spans="1:58">
      <c r="A21" s="24">
        <v>19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46"/>
      <c r="BB21" s="46"/>
      <c r="BC21" s="46"/>
      <c r="BD21" s="46"/>
      <c r="BE21" s="46"/>
      <c r="BF21" s="71">
        <f t="shared" si="6"/>
        <v>0</v>
      </c>
    </row>
    <row r="22" spans="1:58">
      <c r="A22" s="24">
        <v>20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46"/>
      <c r="BB22" s="46"/>
      <c r="BC22" s="46"/>
      <c r="BD22" s="46"/>
      <c r="BE22" s="46"/>
      <c r="BF22" s="71">
        <f t="shared" si="6"/>
        <v>0</v>
      </c>
    </row>
    <row r="23" spans="1:58">
      <c r="A23" s="24">
        <v>21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46"/>
      <c r="BB23" s="46"/>
      <c r="BC23" s="46"/>
      <c r="BD23" s="46"/>
      <c r="BE23" s="46"/>
      <c r="BF23" s="71">
        <f t="shared" si="6"/>
        <v>0</v>
      </c>
    </row>
    <row r="24" spans="1:58">
      <c r="A24" s="24">
        <v>22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46"/>
      <c r="BB24" s="46"/>
      <c r="BC24" s="46"/>
      <c r="BD24" s="46"/>
      <c r="BE24" s="46"/>
      <c r="BF24" s="71">
        <f t="shared" si="6"/>
        <v>0</v>
      </c>
    </row>
    <row r="25" spans="1:58">
      <c r="A25" s="24">
        <v>23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46"/>
      <c r="BB25" s="46"/>
      <c r="BC25" s="46"/>
      <c r="BD25" s="46"/>
      <c r="BE25" s="46"/>
      <c r="BF25" s="71">
        <f t="shared" si="6"/>
        <v>0</v>
      </c>
    </row>
    <row r="26" spans="1:58">
      <c r="A26" s="24">
        <v>24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46"/>
      <c r="BB26" s="46"/>
      <c r="BC26" s="46"/>
      <c r="BD26" s="46"/>
      <c r="BE26" s="46"/>
      <c r="BF26" s="71">
        <f t="shared" si="6"/>
        <v>0</v>
      </c>
    </row>
    <row r="27" spans="1:58">
      <c r="A27" s="24">
        <v>25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46"/>
      <c r="BB27" s="46"/>
      <c r="BC27" s="46"/>
      <c r="BD27" s="46"/>
      <c r="BE27" s="46"/>
      <c r="BF27" s="71">
        <f t="shared" si="6"/>
        <v>0</v>
      </c>
    </row>
    <row r="28" spans="1:58">
      <c r="A28" s="24">
        <v>26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46"/>
      <c r="BB28" s="46"/>
      <c r="BC28" s="46"/>
      <c r="BD28" s="46"/>
      <c r="BE28" s="46"/>
      <c r="BF28" s="71">
        <f t="shared" ref="BF28:BF38" si="7">(BE28/61.16)*100</f>
        <v>0</v>
      </c>
    </row>
    <row r="29" spans="1:58">
      <c r="A29" s="24">
        <v>27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46"/>
      <c r="BB29" s="46"/>
      <c r="BC29" s="46"/>
      <c r="BD29" s="46"/>
      <c r="BE29" s="46"/>
      <c r="BF29" s="71">
        <f t="shared" si="7"/>
        <v>0</v>
      </c>
    </row>
    <row r="30" spans="1:58">
      <c r="A30" s="24">
        <v>28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46"/>
      <c r="BB30" s="46"/>
      <c r="BC30" s="46"/>
      <c r="BD30" s="46"/>
      <c r="BE30" s="46"/>
      <c r="BF30" s="71">
        <f t="shared" si="7"/>
        <v>0</v>
      </c>
    </row>
    <row r="31" spans="1:58">
      <c r="A31" s="24">
        <v>29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46"/>
      <c r="BB31" s="46"/>
      <c r="BC31" s="46"/>
      <c r="BD31" s="46"/>
      <c r="BE31" s="46"/>
      <c r="BF31" s="71">
        <f t="shared" si="7"/>
        <v>0</v>
      </c>
    </row>
    <row r="32" spans="1:58">
      <c r="A32" s="24">
        <v>30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46"/>
      <c r="BB32" s="46"/>
      <c r="BC32" s="46"/>
      <c r="BD32" s="46"/>
      <c r="BE32" s="46"/>
      <c r="BF32" s="71">
        <f t="shared" si="7"/>
        <v>0</v>
      </c>
    </row>
    <row r="33" spans="1:58">
      <c r="A33" s="91">
        <v>31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46"/>
      <c r="BB33" s="46"/>
      <c r="BC33" s="46"/>
      <c r="BD33" s="46"/>
      <c r="BE33" s="46"/>
      <c r="BF33" s="71">
        <f t="shared" si="7"/>
        <v>0</v>
      </c>
    </row>
    <row r="34" spans="1:58">
      <c r="A34" s="24">
        <v>32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46"/>
      <c r="BB34" s="46"/>
      <c r="BC34" s="46"/>
      <c r="BD34" s="46"/>
      <c r="BE34" s="46"/>
      <c r="BF34" s="71">
        <f t="shared" si="7"/>
        <v>0</v>
      </c>
    </row>
    <row r="35" spans="1:58">
      <c r="A35" s="24">
        <v>33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46"/>
      <c r="BB35" s="46"/>
      <c r="BC35" s="46"/>
      <c r="BD35" s="46"/>
      <c r="BE35" s="46"/>
      <c r="BF35" s="71">
        <f t="shared" si="7"/>
        <v>0</v>
      </c>
    </row>
    <row r="36" spans="1:58">
      <c r="A36" s="24">
        <v>34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46"/>
      <c r="BB36" s="46"/>
      <c r="BC36" s="46"/>
      <c r="BD36" s="46"/>
      <c r="BE36" s="46"/>
      <c r="BF36" s="71">
        <f t="shared" si="7"/>
        <v>0</v>
      </c>
    </row>
    <row r="37" spans="1:58">
      <c r="A37" s="24">
        <v>35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46"/>
      <c r="BB37" s="46"/>
      <c r="BC37" s="46"/>
      <c r="BD37" s="46"/>
      <c r="BE37" s="46"/>
      <c r="BF37" s="71">
        <f t="shared" si="7"/>
        <v>0</v>
      </c>
    </row>
    <row r="38" spans="1:58">
      <c r="A38" s="24">
        <v>36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46"/>
      <c r="BB38" s="46"/>
      <c r="BC38" s="46"/>
      <c r="BD38" s="46"/>
      <c r="BE38" s="46"/>
      <c r="BF38" s="71">
        <f t="shared" si="7"/>
        <v>0</v>
      </c>
    </row>
    <row r="39" spans="1:58">
      <c r="A39" s="24">
        <v>37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46"/>
      <c r="BB39" s="46"/>
      <c r="BC39" s="46"/>
      <c r="BD39" s="46"/>
      <c r="BE39" s="46"/>
      <c r="BF39" s="71"/>
    </row>
    <row r="40" spans="1:58">
      <c r="A40" s="24">
        <v>38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46"/>
      <c r="BB40" s="46"/>
      <c r="BC40" s="46"/>
      <c r="BD40" s="46"/>
      <c r="BE40" s="46"/>
      <c r="BF40" s="71"/>
    </row>
    <row r="41" spans="1:58">
      <c r="A41" s="24">
        <v>39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46"/>
      <c r="BB41" s="46"/>
      <c r="BC41" s="46"/>
      <c r="BD41" s="46"/>
      <c r="BE41" s="46"/>
      <c r="BF41" s="71"/>
    </row>
    <row r="42" spans="1:58">
      <c r="A42" s="24">
        <v>40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46"/>
      <c r="BB42" s="46"/>
      <c r="BC42" s="46"/>
      <c r="BD42" s="46"/>
      <c r="BE42" s="46"/>
      <c r="BF42" s="71"/>
    </row>
    <row r="43" spans="1:58">
      <c r="A43" s="24">
        <v>41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46"/>
      <c r="BB43" s="46"/>
      <c r="BC43" s="46"/>
      <c r="BD43" s="46"/>
      <c r="BE43" s="46"/>
      <c r="BF43" s="71"/>
    </row>
    <row r="44" spans="1:58">
      <c r="A44" s="24">
        <v>42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46"/>
      <c r="BB44" s="46"/>
      <c r="BC44" s="46"/>
      <c r="BD44" s="46"/>
      <c r="BE44" s="46"/>
      <c r="BF44" s="71"/>
    </row>
    <row r="45" spans="1:58">
      <c r="A45" s="24">
        <v>43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46"/>
      <c r="BB45" s="46"/>
      <c r="BC45" s="46"/>
      <c r="BD45" s="46"/>
      <c r="BE45" s="46"/>
      <c r="BF45" s="71"/>
    </row>
    <row r="46" spans="1:58">
      <c r="A46" s="24">
        <v>44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46"/>
      <c r="BB46" s="46"/>
      <c r="BC46" s="46"/>
      <c r="BD46" s="46"/>
      <c r="BE46" s="46"/>
      <c r="BF46" s="71"/>
    </row>
    <row r="47" spans="1:58">
      <c r="A47" s="24">
        <v>45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46"/>
      <c r="BB47" s="46"/>
      <c r="BC47" s="46"/>
      <c r="BD47" s="46"/>
      <c r="BE47" s="46"/>
      <c r="BF47" s="71"/>
    </row>
    <row r="48" spans="1:58">
      <c r="A48" s="24">
        <v>46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46"/>
      <c r="BB48" s="46"/>
      <c r="BC48" s="46"/>
      <c r="BD48" s="46"/>
      <c r="BE48" s="46"/>
      <c r="BF48" s="71"/>
    </row>
    <row r="49" spans="1:58">
      <c r="A49" s="24">
        <v>47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46"/>
      <c r="BB49" s="46"/>
      <c r="BC49" s="46"/>
      <c r="BD49" s="46"/>
      <c r="BE49" s="46"/>
      <c r="BF49" s="71"/>
    </row>
    <row r="50" spans="1:58">
      <c r="A50" s="24">
        <v>48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46"/>
      <c r="BB50" s="46"/>
      <c r="BC50" s="46"/>
      <c r="BD50" s="46"/>
      <c r="BE50" s="46"/>
      <c r="BF50" s="71"/>
    </row>
    <row r="51" spans="1:58">
      <c r="A51" s="24">
        <v>49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46"/>
      <c r="BB51" s="46"/>
      <c r="BC51" s="46"/>
      <c r="BD51" s="46"/>
      <c r="BE51" s="46"/>
      <c r="BF51" s="71"/>
    </row>
    <row r="52" spans="1:58">
      <c r="A52" s="24">
        <v>50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46"/>
      <c r="BB52" s="46"/>
      <c r="BC52" s="46"/>
      <c r="BD52" s="46"/>
      <c r="BE52" s="46"/>
      <c r="BF52" s="71"/>
    </row>
    <row r="53" spans="1:58">
      <c r="A53" s="24">
        <v>51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46"/>
      <c r="BB53" s="46"/>
      <c r="BC53" s="46"/>
      <c r="BD53" s="46"/>
      <c r="BE53" s="46"/>
      <c r="BF53" s="71"/>
    </row>
    <row r="54" spans="1:58">
      <c r="A54" s="24">
        <v>52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46"/>
      <c r="BB54" s="46"/>
      <c r="BC54" s="46"/>
      <c r="BD54" s="46"/>
      <c r="BE54" s="46"/>
      <c r="BF54" s="71"/>
    </row>
    <row r="55" spans="1:58">
      <c r="A55" s="24">
        <v>53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46"/>
      <c r="BB55" s="46"/>
      <c r="BC55" s="46"/>
      <c r="BD55" s="46"/>
      <c r="BE55" s="46"/>
      <c r="BF55" s="71"/>
    </row>
    <row r="56" spans="1:58">
      <c r="A56" s="24">
        <v>54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46"/>
      <c r="BB56" s="46"/>
      <c r="BC56" s="46"/>
      <c r="BD56" s="46"/>
      <c r="BE56" s="46"/>
      <c r="BF56" s="71"/>
    </row>
    <row r="57" spans="1:58">
      <c r="A57" s="24">
        <v>55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46"/>
      <c r="BB57" s="46"/>
      <c r="BC57" s="46"/>
      <c r="BD57" s="46"/>
      <c r="BE57" s="46"/>
      <c r="BF57" s="71"/>
    </row>
    <row r="58" spans="1:58">
      <c r="A58" s="24">
        <v>56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46"/>
      <c r="BB58" s="46"/>
      <c r="BC58" s="46"/>
      <c r="BD58" s="46"/>
      <c r="BE58" s="46"/>
      <c r="BF58" s="71"/>
    </row>
    <row r="59" spans="1:58">
      <c r="A59" s="24">
        <v>57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46"/>
      <c r="BB59" s="46"/>
      <c r="BC59" s="46"/>
      <c r="BD59" s="46"/>
      <c r="BE59" s="46"/>
      <c r="BF59" s="71"/>
    </row>
    <row r="60" spans="1:58">
      <c r="A60" s="24">
        <v>58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46"/>
      <c r="BB60" s="46"/>
      <c r="BC60" s="46"/>
      <c r="BD60" s="46"/>
      <c r="BE60" s="46"/>
      <c r="BF60" s="71"/>
    </row>
    <row r="61" spans="1:58">
      <c r="A61" s="24">
        <v>59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46"/>
      <c r="BB61" s="46"/>
      <c r="BC61" s="46"/>
      <c r="BD61" s="46"/>
      <c r="BE61" s="46"/>
      <c r="BF61" s="71"/>
    </row>
    <row r="62" spans="1:58">
      <c r="A62" s="24">
        <v>60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46"/>
      <c r="BB62" s="46"/>
      <c r="BC62" s="46"/>
      <c r="BD62" s="46"/>
      <c r="BE62" s="46"/>
      <c r="BF62" s="71"/>
    </row>
    <row r="63" spans="1:58">
      <c r="A63" s="24">
        <v>61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46"/>
      <c r="BB63" s="46"/>
      <c r="BC63" s="46"/>
      <c r="BD63" s="46"/>
      <c r="BE63" s="46"/>
      <c r="BF63" s="71"/>
    </row>
    <row r="64" spans="1:58">
      <c r="A64" s="24">
        <v>62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46"/>
      <c r="BB64" s="46"/>
      <c r="BC64" s="46"/>
      <c r="BD64" s="46"/>
      <c r="BE64" s="46"/>
      <c r="BF64" s="71"/>
    </row>
    <row r="65" spans="1:58">
      <c r="A65" s="24">
        <v>63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46"/>
      <c r="BB65" s="46"/>
      <c r="BC65" s="46"/>
      <c r="BD65" s="46"/>
      <c r="BE65" s="46"/>
      <c r="BF65" s="71"/>
    </row>
    <row r="66" spans="1:58">
      <c r="A66" s="24">
        <v>64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46"/>
      <c r="BB66" s="46"/>
      <c r="BC66" s="46"/>
      <c r="BD66" s="46"/>
      <c r="BE66" s="46"/>
      <c r="BF66" s="71"/>
    </row>
    <row r="67" spans="1:58">
      <c r="A67" s="24">
        <v>65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46"/>
      <c r="BB67" s="46"/>
      <c r="BC67" s="46"/>
      <c r="BD67" s="46"/>
      <c r="BE67" s="46"/>
      <c r="BF67" s="71"/>
    </row>
    <row r="68" spans="1:58">
      <c r="A68" s="24">
        <v>66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46"/>
      <c r="BB68" s="46"/>
      <c r="BC68" s="46"/>
      <c r="BD68" s="46"/>
      <c r="BE68" s="46"/>
      <c r="BF68" s="71"/>
    </row>
    <row r="69" spans="1:58">
      <c r="A69" s="24">
        <v>67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46"/>
      <c r="BB69" s="46"/>
      <c r="BC69" s="46"/>
      <c r="BD69" s="46"/>
      <c r="BE69" s="46"/>
      <c r="BF69" s="71"/>
    </row>
    <row r="70" spans="1:58">
      <c r="A70" s="24">
        <v>68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46"/>
      <c r="BB70" s="46"/>
      <c r="BC70" s="46"/>
      <c r="BD70" s="46"/>
      <c r="BE70" s="46"/>
      <c r="BF70" s="71"/>
    </row>
    <row r="71" spans="1:58">
      <c r="A71" s="24">
        <v>69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46"/>
      <c r="BB71" s="46"/>
      <c r="BC71" s="46"/>
      <c r="BD71" s="46"/>
      <c r="BE71" s="46"/>
      <c r="BF71" s="71"/>
    </row>
    <row r="72" spans="1:58">
      <c r="A72" s="24">
        <v>70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46"/>
      <c r="BB72" s="46"/>
      <c r="BC72" s="46"/>
      <c r="BD72" s="46"/>
      <c r="BE72" s="46"/>
      <c r="BF72" s="71"/>
    </row>
    <row r="73" spans="1:58">
      <c r="A73" s="24">
        <v>71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46"/>
      <c r="BB73" s="46"/>
      <c r="BC73" s="46"/>
      <c r="BD73" s="46"/>
      <c r="BE73" s="46"/>
      <c r="BF73" s="71"/>
    </row>
    <row r="74" spans="1:58">
      <c r="A74" s="24">
        <v>72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46"/>
      <c r="BB74" s="46"/>
      <c r="BC74" s="46"/>
      <c r="BD74" s="46"/>
      <c r="BE74" s="46"/>
      <c r="BF74" s="71"/>
    </row>
    <row r="75" spans="1:58">
      <c r="A75" s="24">
        <v>73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46"/>
      <c r="BB75" s="46"/>
      <c r="BC75" s="46"/>
      <c r="BD75" s="46"/>
      <c r="BE75" s="46"/>
      <c r="BF75" s="71"/>
    </row>
    <row r="76" spans="1:58">
      <c r="A76" s="24">
        <v>74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46"/>
      <c r="BB76" s="46"/>
      <c r="BC76" s="46"/>
      <c r="BD76" s="46"/>
      <c r="BE76" s="46"/>
      <c r="BF76" s="71"/>
    </row>
    <row r="77" spans="1:58">
      <c r="A77" s="24">
        <v>75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46"/>
      <c r="BB77" s="46"/>
      <c r="BC77" s="46"/>
      <c r="BD77" s="46"/>
      <c r="BE77" s="46"/>
      <c r="BF77" s="71"/>
    </row>
    <row r="78" spans="1:58">
      <c r="A78" s="24">
        <v>76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46"/>
      <c r="BB78" s="46"/>
      <c r="BC78" s="46"/>
      <c r="BD78" s="46"/>
      <c r="BE78" s="46"/>
      <c r="BF78" s="71"/>
    </row>
    <row r="79" spans="1:58">
      <c r="A79" s="24">
        <v>77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46"/>
      <c r="BB79" s="46"/>
      <c r="BC79" s="46"/>
      <c r="BD79" s="46"/>
      <c r="BE79" s="46"/>
      <c r="BF79" s="71"/>
    </row>
    <row r="80" spans="1:58">
      <c r="A80" s="24">
        <v>78</v>
      </c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46"/>
      <c r="BB80" s="46"/>
      <c r="BC80" s="46"/>
      <c r="BD80" s="46"/>
      <c r="BE80" s="46"/>
      <c r="BF80" s="71"/>
    </row>
    <row r="81" spans="1:58">
      <c r="A81" s="24">
        <v>79</v>
      </c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46"/>
      <c r="BB81" s="46"/>
      <c r="BC81" s="46"/>
      <c r="BD81" s="46"/>
      <c r="BE81" s="46"/>
      <c r="BF81" s="71"/>
    </row>
    <row r="82" spans="1:58">
      <c r="A82" s="24">
        <v>80</v>
      </c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46"/>
      <c r="BB82" s="46"/>
      <c r="BC82" s="46"/>
      <c r="BD82" s="46"/>
      <c r="BE82" s="46"/>
      <c r="BF82" s="71"/>
    </row>
    <row r="83" spans="1:58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71">
        <f>AVERAGE(BA3:BA30)</f>
        <v>4</v>
      </c>
      <c r="BB83" s="71">
        <f>AVERAGE(BB3:BB30)</f>
        <v>0</v>
      </c>
      <c r="BC83" s="71">
        <f>AVERAGE(BC3:BC30)</f>
        <v>0.5</v>
      </c>
      <c r="BD83" s="71">
        <f t="shared" ref="BD83:BF83" si="8">AVERAGE(BD3:BD29)</f>
        <v>0.55555555555555558</v>
      </c>
      <c r="BE83" s="71">
        <f t="shared" si="8"/>
        <v>5.0555555555555554</v>
      </c>
      <c r="BF83" s="82">
        <f t="shared" si="8"/>
        <v>0.6123047689794292</v>
      </c>
    </row>
    <row r="84" spans="1:58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58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58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58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5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58">
      <c r="A89" s="24"/>
    </row>
    <row r="90" spans="1:58">
      <c r="A90" s="24"/>
    </row>
    <row r="91" spans="1:58">
      <c r="A91" s="24"/>
    </row>
    <row r="92" spans="1:58">
      <c r="A92" s="24"/>
    </row>
    <row r="93" spans="1:58">
      <c r="A93" s="24"/>
    </row>
    <row r="94" spans="1:58">
      <c r="A94" s="24"/>
    </row>
    <row r="95" spans="1:58">
      <c r="A95" s="24"/>
    </row>
    <row r="96" spans="1:58">
      <c r="A96" s="24"/>
    </row>
  </sheetData>
  <autoFilter ref="A2:BF83"/>
  <mergeCells count="4">
    <mergeCell ref="V1:AZ1"/>
    <mergeCell ref="BA1:BD1"/>
    <mergeCell ref="BE1:BF1"/>
    <mergeCell ref="A1:U1"/>
  </mergeCells>
  <conditionalFormatting sqref="BF3:BF82 BA83:BF83">
    <cfRule type="cellIs" dxfId="158" priority="6" operator="between">
      <formula>25.1</formula>
      <formula>100</formula>
    </cfRule>
    <cfRule type="cellIs" dxfId="157" priority="7" operator="between">
      <formula>17.8</formula>
      <formula>25</formula>
    </cfRule>
    <cfRule type="cellIs" dxfId="156" priority="8" operator="between">
      <formula>12.7</formula>
      <formula>17.7</formula>
    </cfRule>
    <cfRule type="cellIs" dxfId="155" priority="9" operator="between">
      <formula>7.9</formula>
      <formula>12.6</formula>
    </cfRule>
    <cfRule type="cellIs" dxfId="154" priority="10" operator="between">
      <formula>0</formula>
      <formula>7.8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216"/>
  <sheetViews>
    <sheetView topLeftCell="AB2" zoomScale="110" zoomScaleNormal="110" workbookViewId="0">
      <pane ySplit="2" topLeftCell="A4" activePane="bottomLeft" state="frozen"/>
      <selection activeCell="EN2" sqref="EN2"/>
      <selection pane="bottomLeft" activeCell="P8" sqref="P8"/>
    </sheetView>
  </sheetViews>
  <sheetFormatPr baseColWidth="10" defaultRowHeight="14.5"/>
  <cols>
    <col min="1" max="1" width="7.453125" customWidth="1"/>
    <col min="2" max="2" width="27.26953125" customWidth="1"/>
    <col min="3" max="3" width="12.26953125" customWidth="1"/>
    <col min="4" max="4" width="6.1796875" customWidth="1"/>
    <col min="5" max="6" width="10.81640625" customWidth="1"/>
    <col min="7" max="7" width="32.453125" customWidth="1"/>
    <col min="8" max="8" width="26.54296875" customWidth="1"/>
    <col min="9" max="9" width="14.453125" customWidth="1"/>
    <col min="10" max="10" width="7.26953125" customWidth="1"/>
    <col min="11" max="11" width="11" customWidth="1"/>
    <col min="12" max="12" width="10.81640625" customWidth="1"/>
    <col min="13" max="13" width="35.7265625" customWidth="1"/>
    <col min="14" max="14" width="16.1796875" customWidth="1"/>
    <col min="15" max="15" width="26.54296875" customWidth="1"/>
    <col min="16" max="16" width="46" customWidth="1"/>
    <col min="17" max="17" width="30.7265625" customWidth="1"/>
    <col min="18" max="18" width="32.7265625" customWidth="1"/>
    <col min="19" max="19" width="26.54296875" customWidth="1"/>
    <col min="22" max="118" width="2.7265625" customWidth="1"/>
    <col min="119" max="125" width="11.1796875" customWidth="1"/>
    <col min="126" max="126" width="16.453125" customWidth="1"/>
    <col min="127" max="135" width="11.1796875" customWidth="1"/>
    <col min="136" max="136" width="21.1796875" customWidth="1"/>
    <col min="137" max="137" width="15" customWidth="1"/>
    <col min="138" max="138" width="21.1796875" customWidth="1"/>
    <col min="139" max="139" width="14.54296875" customWidth="1"/>
    <col min="140" max="140" width="13.1796875" customWidth="1"/>
    <col min="141" max="141" width="15.81640625" customWidth="1"/>
    <col min="142" max="143" width="17.81640625" customWidth="1"/>
    <col min="144" max="144" width="12.1796875" customWidth="1"/>
    <col min="145" max="146" width="10.54296875" customWidth="1"/>
    <col min="147" max="147" width="12.453125" customWidth="1"/>
    <col min="148" max="150" width="10.54296875" customWidth="1"/>
    <col min="151" max="151" width="17.453125" customWidth="1"/>
    <col min="152" max="160" width="10.54296875" customWidth="1"/>
    <col min="161" max="161" width="19" customWidth="1"/>
    <col min="162" max="162" width="16.81640625" customWidth="1"/>
    <col min="163" max="163" width="20.81640625" customWidth="1"/>
    <col min="164" max="164" width="16.81640625" customWidth="1"/>
    <col min="165" max="165" width="15.1796875" customWidth="1"/>
    <col min="166" max="166" width="16" customWidth="1"/>
    <col min="167" max="167" width="16.453125" customWidth="1"/>
    <col min="169" max="169" width="23.453125" customWidth="1"/>
    <col min="170" max="170" width="26.1796875" customWidth="1"/>
  </cols>
  <sheetData>
    <row r="1" spans="1:170" ht="30.65" customHeight="1" thickBot="1">
      <c r="A1" s="178" t="s">
        <v>35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210" t="s">
        <v>57</v>
      </c>
      <c r="DP1" s="211"/>
      <c r="DQ1" s="211"/>
      <c r="DR1" s="212"/>
      <c r="DS1" s="213" t="s">
        <v>58</v>
      </c>
      <c r="DT1" s="214"/>
      <c r="DU1" s="214"/>
      <c r="DV1" s="214"/>
      <c r="DW1" s="214"/>
      <c r="DX1" s="113" t="s">
        <v>59</v>
      </c>
      <c r="DY1" s="113"/>
      <c r="DZ1" s="113"/>
      <c r="EA1" s="113"/>
      <c r="EB1" s="113"/>
      <c r="EC1" s="113"/>
      <c r="ED1" s="113"/>
      <c r="EE1" s="113"/>
      <c r="EF1" s="113" t="s">
        <v>60</v>
      </c>
      <c r="EG1" s="113"/>
      <c r="EH1" s="143" t="s">
        <v>61</v>
      </c>
      <c r="EI1" s="143"/>
      <c r="EJ1" s="143"/>
      <c r="EK1" s="143"/>
      <c r="EL1" s="208" t="s">
        <v>5</v>
      </c>
      <c r="EM1" s="5"/>
      <c r="EN1" s="184" t="s">
        <v>7</v>
      </c>
      <c r="EO1" s="185"/>
      <c r="EP1" s="185"/>
      <c r="EQ1" s="186"/>
      <c r="ER1" s="184" t="s">
        <v>8</v>
      </c>
      <c r="ES1" s="185"/>
      <c r="ET1" s="185"/>
      <c r="EU1" s="185"/>
      <c r="EV1" s="186"/>
      <c r="EW1" s="184" t="s">
        <v>9</v>
      </c>
      <c r="EX1" s="185"/>
      <c r="EY1" s="185"/>
      <c r="EZ1" s="185"/>
      <c r="FA1" s="185"/>
      <c r="FB1" s="185"/>
      <c r="FC1" s="185"/>
      <c r="FD1" s="186"/>
      <c r="FE1" s="184" t="s">
        <v>10</v>
      </c>
      <c r="FF1" s="186"/>
      <c r="FG1" s="6"/>
      <c r="FH1" s="6"/>
      <c r="FI1" s="6"/>
      <c r="FJ1" s="6"/>
      <c r="FK1" s="6"/>
    </row>
    <row r="2" spans="1:170" ht="30" customHeight="1" thickBot="1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80" t="s">
        <v>6</v>
      </c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  <c r="BA2" s="181"/>
      <c r="BB2" s="181"/>
      <c r="BC2" s="181"/>
      <c r="BD2" s="181"/>
      <c r="BE2" s="181"/>
      <c r="BF2" s="181"/>
      <c r="BG2" s="181"/>
      <c r="BH2" s="181"/>
      <c r="BI2" s="181"/>
      <c r="BJ2" s="181"/>
      <c r="BK2" s="181"/>
      <c r="BL2" s="181"/>
      <c r="BM2" s="181"/>
      <c r="BN2" s="181"/>
      <c r="BO2" s="181"/>
      <c r="BP2" s="181"/>
      <c r="BQ2" s="181"/>
      <c r="BR2" s="181"/>
      <c r="BS2" s="181"/>
      <c r="BT2" s="181"/>
      <c r="BU2" s="181"/>
      <c r="BV2" s="181"/>
      <c r="BW2" s="181"/>
      <c r="BX2" s="181"/>
      <c r="BY2" s="181"/>
      <c r="BZ2" s="181"/>
      <c r="CA2" s="181"/>
      <c r="CB2" s="181"/>
      <c r="CC2" s="181"/>
      <c r="CD2" s="181"/>
      <c r="CE2" s="181"/>
      <c r="CF2" s="181"/>
      <c r="CG2" s="181"/>
      <c r="CH2" s="181"/>
      <c r="CI2" s="181"/>
      <c r="CJ2" s="181"/>
      <c r="CK2" s="181"/>
      <c r="CL2" s="181"/>
      <c r="CM2" s="181"/>
      <c r="CN2" s="181"/>
      <c r="CO2" s="181"/>
      <c r="CP2" s="181"/>
      <c r="CQ2" s="181"/>
      <c r="CR2" s="181"/>
      <c r="CS2" s="181"/>
      <c r="CT2" s="181"/>
      <c r="CU2" s="181"/>
      <c r="CV2" s="181"/>
      <c r="CW2" s="181"/>
      <c r="CX2" s="181"/>
      <c r="CY2" s="181"/>
      <c r="CZ2" s="181"/>
      <c r="DA2" s="181"/>
      <c r="DB2" s="181"/>
      <c r="DC2" s="181"/>
      <c r="DD2" s="181"/>
      <c r="DE2" s="181"/>
      <c r="DF2" s="181"/>
      <c r="DG2" s="181"/>
      <c r="DH2" s="181"/>
      <c r="DI2" s="181"/>
      <c r="DJ2" s="181"/>
      <c r="DK2" s="181"/>
      <c r="DL2" s="181"/>
      <c r="DM2" s="181"/>
      <c r="DN2" s="181"/>
      <c r="DO2" s="192" t="s">
        <v>56</v>
      </c>
      <c r="DP2" s="193"/>
      <c r="DQ2" s="193"/>
      <c r="DR2" s="194"/>
      <c r="DS2" s="195" t="s">
        <v>1</v>
      </c>
      <c r="DT2" s="195"/>
      <c r="DU2" s="195"/>
      <c r="DV2" s="195"/>
      <c r="DW2" s="195"/>
      <c r="DX2" s="196" t="s">
        <v>2</v>
      </c>
      <c r="DY2" s="197"/>
      <c r="DZ2" s="197"/>
      <c r="EA2" s="197"/>
      <c r="EB2" s="197"/>
      <c r="EC2" s="197"/>
      <c r="ED2" s="197"/>
      <c r="EE2" s="198"/>
      <c r="EF2" s="199" t="s">
        <v>3</v>
      </c>
      <c r="EG2" s="200"/>
      <c r="EH2" s="207"/>
      <c r="EI2" s="207"/>
      <c r="EJ2" s="207"/>
      <c r="EK2" s="207"/>
      <c r="EL2" s="209"/>
      <c r="EM2" s="5"/>
      <c r="EN2" s="201" t="s">
        <v>56</v>
      </c>
      <c r="EO2" s="202"/>
      <c r="EP2" s="202"/>
      <c r="EQ2" s="203"/>
      <c r="ER2" s="204" t="s">
        <v>1</v>
      </c>
      <c r="ES2" s="205"/>
      <c r="ET2" s="205"/>
      <c r="EU2" s="205"/>
      <c r="EV2" s="206"/>
      <c r="EW2" s="187" t="s">
        <v>2</v>
      </c>
      <c r="EX2" s="188"/>
      <c r="EY2" s="188"/>
      <c r="EZ2" s="188"/>
      <c r="FA2" s="188"/>
      <c r="FB2" s="188"/>
      <c r="FC2" s="188"/>
      <c r="FD2" s="189"/>
      <c r="FE2" s="190" t="s">
        <v>3</v>
      </c>
      <c r="FF2" s="191"/>
      <c r="FG2" s="182" t="s">
        <v>61</v>
      </c>
      <c r="FH2" s="183"/>
      <c r="FI2" s="183"/>
      <c r="FJ2" s="183"/>
      <c r="FK2" s="39" t="s">
        <v>5</v>
      </c>
      <c r="FM2" s="177" t="s">
        <v>88</v>
      </c>
      <c r="FN2" s="177"/>
    </row>
    <row r="3" spans="1:170" ht="57.65" customHeight="1" thickBot="1">
      <c r="A3" s="10" t="s">
        <v>36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94</v>
      </c>
      <c r="S3" s="10" t="s">
        <v>32</v>
      </c>
      <c r="T3" s="10" t="s">
        <v>33</v>
      </c>
      <c r="U3" s="10" t="s">
        <v>34</v>
      </c>
      <c r="V3" s="21">
        <v>1</v>
      </c>
      <c r="W3" s="22">
        <v>2</v>
      </c>
      <c r="X3" s="22">
        <v>3</v>
      </c>
      <c r="Y3" s="22">
        <v>4</v>
      </c>
      <c r="Z3" s="22">
        <v>5</v>
      </c>
      <c r="AA3" s="22">
        <v>6</v>
      </c>
      <c r="AB3" s="22">
        <v>7</v>
      </c>
      <c r="AC3" s="22">
        <v>8</v>
      </c>
      <c r="AD3" s="22">
        <v>9</v>
      </c>
      <c r="AE3" s="22">
        <v>10</v>
      </c>
      <c r="AF3" s="22">
        <v>11</v>
      </c>
      <c r="AG3" s="22">
        <v>12</v>
      </c>
      <c r="AH3" s="22">
        <v>13</v>
      </c>
      <c r="AI3" s="22">
        <v>14</v>
      </c>
      <c r="AJ3" s="22">
        <v>15</v>
      </c>
      <c r="AK3" s="22">
        <v>16</v>
      </c>
      <c r="AL3" s="22">
        <v>17</v>
      </c>
      <c r="AM3" s="22">
        <v>18</v>
      </c>
      <c r="AN3" s="22">
        <v>19</v>
      </c>
      <c r="AO3" s="22">
        <v>20</v>
      </c>
      <c r="AP3" s="22">
        <v>21</v>
      </c>
      <c r="AQ3" s="22">
        <v>22</v>
      </c>
      <c r="AR3" s="22">
        <v>23</v>
      </c>
      <c r="AS3" s="22">
        <v>24</v>
      </c>
      <c r="AT3" s="22">
        <v>25</v>
      </c>
      <c r="AU3" s="22">
        <v>26</v>
      </c>
      <c r="AV3" s="22">
        <v>27</v>
      </c>
      <c r="AW3" s="22">
        <v>28</v>
      </c>
      <c r="AX3" s="22">
        <v>29</v>
      </c>
      <c r="AY3" s="22">
        <v>30</v>
      </c>
      <c r="AZ3" s="22">
        <v>31</v>
      </c>
      <c r="BA3" s="22">
        <v>32</v>
      </c>
      <c r="BB3" s="22">
        <v>33</v>
      </c>
      <c r="BC3" s="22">
        <v>34</v>
      </c>
      <c r="BD3" s="22">
        <v>35</v>
      </c>
      <c r="BE3" s="22">
        <v>36</v>
      </c>
      <c r="BF3" s="22">
        <v>37</v>
      </c>
      <c r="BG3" s="22">
        <v>38</v>
      </c>
      <c r="BH3" s="22">
        <v>39</v>
      </c>
      <c r="BI3" s="22">
        <v>40</v>
      </c>
      <c r="BJ3" s="22">
        <v>41</v>
      </c>
      <c r="BK3" s="22">
        <v>42</v>
      </c>
      <c r="BL3" s="22">
        <v>43</v>
      </c>
      <c r="BM3" s="22">
        <v>44</v>
      </c>
      <c r="BN3" s="22">
        <v>45</v>
      </c>
      <c r="BO3" s="22">
        <v>46</v>
      </c>
      <c r="BP3" s="22">
        <v>47</v>
      </c>
      <c r="BQ3" s="22">
        <v>48</v>
      </c>
      <c r="BR3" s="22">
        <v>49</v>
      </c>
      <c r="BS3" s="22">
        <v>50</v>
      </c>
      <c r="BT3" s="22">
        <v>51</v>
      </c>
      <c r="BU3" s="22">
        <v>52</v>
      </c>
      <c r="BV3" s="22">
        <v>53</v>
      </c>
      <c r="BW3" s="22">
        <v>54</v>
      </c>
      <c r="BX3" s="22">
        <v>55</v>
      </c>
      <c r="BY3" s="22">
        <v>56</v>
      </c>
      <c r="BZ3" s="22">
        <v>57</v>
      </c>
      <c r="CA3" s="22">
        <v>58</v>
      </c>
      <c r="CB3" s="22">
        <v>59</v>
      </c>
      <c r="CC3" s="22">
        <v>60</v>
      </c>
      <c r="CD3" s="22">
        <v>61</v>
      </c>
      <c r="CE3" s="22">
        <v>62</v>
      </c>
      <c r="CF3" s="22">
        <v>63</v>
      </c>
      <c r="CG3" s="22">
        <v>64</v>
      </c>
      <c r="CH3" s="22">
        <v>65</v>
      </c>
      <c r="CI3" s="22">
        <v>66</v>
      </c>
      <c r="CJ3" s="22">
        <v>67</v>
      </c>
      <c r="CK3" s="22">
        <v>68</v>
      </c>
      <c r="CL3" s="22">
        <v>69</v>
      </c>
      <c r="CM3" s="22">
        <v>70</v>
      </c>
      <c r="CN3" s="22">
        <v>71</v>
      </c>
      <c r="CO3" s="22">
        <v>72</v>
      </c>
      <c r="CP3" s="22">
        <v>73</v>
      </c>
      <c r="CQ3" s="22">
        <v>74</v>
      </c>
      <c r="CR3" s="22">
        <v>75</v>
      </c>
      <c r="CS3" s="22">
        <v>76</v>
      </c>
      <c r="CT3" s="22">
        <v>77</v>
      </c>
      <c r="CU3" s="22">
        <v>78</v>
      </c>
      <c r="CV3" s="22">
        <v>79</v>
      </c>
      <c r="CW3" s="22">
        <v>80</v>
      </c>
      <c r="CX3" s="22">
        <v>81</v>
      </c>
      <c r="CY3" s="22">
        <v>82</v>
      </c>
      <c r="CZ3" s="22">
        <v>83</v>
      </c>
      <c r="DA3" s="22">
        <v>84</v>
      </c>
      <c r="DB3" s="22">
        <v>85</v>
      </c>
      <c r="DC3" s="22">
        <v>86</v>
      </c>
      <c r="DD3" s="22">
        <v>87</v>
      </c>
      <c r="DE3" s="22">
        <v>88</v>
      </c>
      <c r="DF3" s="22">
        <v>89</v>
      </c>
      <c r="DG3" s="22">
        <v>90</v>
      </c>
      <c r="DH3" s="22">
        <v>91</v>
      </c>
      <c r="DI3" s="22">
        <v>92</v>
      </c>
      <c r="DJ3" s="22">
        <v>93</v>
      </c>
      <c r="DK3" s="22">
        <v>94</v>
      </c>
      <c r="DL3" s="22">
        <v>95</v>
      </c>
      <c r="DM3" s="22">
        <v>96</v>
      </c>
      <c r="DN3" s="23">
        <v>97</v>
      </c>
      <c r="DO3" s="25" t="s">
        <v>38</v>
      </c>
      <c r="DP3" s="26" t="s">
        <v>39</v>
      </c>
      <c r="DQ3" s="26" t="s">
        <v>40</v>
      </c>
      <c r="DR3" s="56" t="s">
        <v>41</v>
      </c>
      <c r="DS3" s="27" t="s">
        <v>62</v>
      </c>
      <c r="DT3" s="27" t="s">
        <v>42</v>
      </c>
      <c r="DU3" s="27" t="s">
        <v>43</v>
      </c>
      <c r="DV3" s="27" t="s">
        <v>44</v>
      </c>
      <c r="DW3" s="27" t="s">
        <v>45</v>
      </c>
      <c r="DX3" s="28" t="s">
        <v>46</v>
      </c>
      <c r="DY3" s="28" t="s">
        <v>47</v>
      </c>
      <c r="DZ3" s="28" t="s">
        <v>48</v>
      </c>
      <c r="EA3" s="28" t="s">
        <v>49</v>
      </c>
      <c r="EB3" s="28" t="s">
        <v>50</v>
      </c>
      <c r="EC3" s="28" t="s">
        <v>51</v>
      </c>
      <c r="ED3" s="28" t="s">
        <v>52</v>
      </c>
      <c r="EE3" s="28" t="s">
        <v>53</v>
      </c>
      <c r="EF3" s="29" t="s">
        <v>54</v>
      </c>
      <c r="EG3" s="37" t="s">
        <v>55</v>
      </c>
      <c r="EH3" s="36" t="s">
        <v>56</v>
      </c>
      <c r="EI3" s="18" t="s">
        <v>1</v>
      </c>
      <c r="EJ3" s="19" t="s">
        <v>2</v>
      </c>
      <c r="EK3" s="20" t="s">
        <v>3</v>
      </c>
      <c r="EL3" s="38" t="s">
        <v>63</v>
      </c>
      <c r="EM3" s="59"/>
      <c r="EN3" s="25" t="s">
        <v>38</v>
      </c>
      <c r="EO3" s="26" t="s">
        <v>39</v>
      </c>
      <c r="EP3" s="26" t="s">
        <v>40</v>
      </c>
      <c r="EQ3" s="26" t="s">
        <v>41</v>
      </c>
      <c r="ER3" s="27" t="s">
        <v>62</v>
      </c>
      <c r="ES3" s="27" t="s">
        <v>42</v>
      </c>
      <c r="ET3" s="27" t="s">
        <v>43</v>
      </c>
      <c r="EU3" s="27" t="s">
        <v>44</v>
      </c>
      <c r="EV3" s="27" t="s">
        <v>45</v>
      </c>
      <c r="EW3" s="28" t="s">
        <v>46</v>
      </c>
      <c r="EX3" s="28" t="s">
        <v>47</v>
      </c>
      <c r="EY3" s="28" t="s">
        <v>48</v>
      </c>
      <c r="EZ3" s="28" t="s">
        <v>49</v>
      </c>
      <c r="FA3" s="28" t="s">
        <v>50</v>
      </c>
      <c r="FB3" s="28" t="s">
        <v>51</v>
      </c>
      <c r="FC3" s="28" t="s">
        <v>52</v>
      </c>
      <c r="FD3" s="28" t="s">
        <v>53</v>
      </c>
      <c r="FE3" s="29" t="s">
        <v>54</v>
      </c>
      <c r="FF3" s="37" t="s">
        <v>55</v>
      </c>
      <c r="FG3" s="44" t="s">
        <v>56</v>
      </c>
      <c r="FH3" s="30" t="s">
        <v>1</v>
      </c>
      <c r="FI3" s="31" t="s">
        <v>2</v>
      </c>
      <c r="FJ3" s="45" t="s">
        <v>3</v>
      </c>
      <c r="FK3" s="48" t="s">
        <v>63</v>
      </c>
      <c r="FM3" s="79" t="s">
        <v>89</v>
      </c>
      <c r="FN3" s="79" t="s">
        <v>86</v>
      </c>
    </row>
    <row r="4" spans="1:170">
      <c r="A4" s="3">
        <v>1</v>
      </c>
      <c r="B4" s="3" t="s">
        <v>120</v>
      </c>
      <c r="C4" s="3">
        <v>1080933847</v>
      </c>
      <c r="D4" s="3" t="s">
        <v>101</v>
      </c>
      <c r="E4" s="3">
        <v>1992</v>
      </c>
      <c r="F4" s="3" t="s">
        <v>110</v>
      </c>
      <c r="G4" s="3" t="s">
        <v>121</v>
      </c>
      <c r="H4" s="3" t="s">
        <v>122</v>
      </c>
      <c r="I4" s="3" t="s">
        <v>103</v>
      </c>
      <c r="J4" s="3">
        <v>2</v>
      </c>
      <c r="K4" s="3" t="s">
        <v>115</v>
      </c>
      <c r="L4" s="3">
        <v>0</v>
      </c>
      <c r="M4" s="3" t="s">
        <v>103</v>
      </c>
      <c r="N4" s="3" t="s">
        <v>108</v>
      </c>
      <c r="O4" s="3" t="s">
        <v>123</v>
      </c>
      <c r="P4" s="3" t="s">
        <v>113</v>
      </c>
      <c r="Q4" s="3" t="s">
        <v>108</v>
      </c>
      <c r="R4" s="3" t="s">
        <v>124</v>
      </c>
      <c r="S4" s="3" t="s">
        <v>114</v>
      </c>
      <c r="T4" s="3">
        <v>8</v>
      </c>
      <c r="U4" s="3" t="s">
        <v>116</v>
      </c>
      <c r="V4" s="6">
        <v>1</v>
      </c>
      <c r="W4" s="6">
        <v>2</v>
      </c>
      <c r="X4" s="6">
        <v>1</v>
      </c>
      <c r="Y4" s="6">
        <v>1</v>
      </c>
      <c r="Z4" s="6">
        <v>0</v>
      </c>
      <c r="AA4" s="6">
        <v>1</v>
      </c>
      <c r="AB4" s="6">
        <v>2</v>
      </c>
      <c r="AC4" s="6">
        <v>1</v>
      </c>
      <c r="AD4" s="6">
        <v>1</v>
      </c>
      <c r="AE4" s="6">
        <v>2</v>
      </c>
      <c r="AF4" s="6">
        <v>1</v>
      </c>
      <c r="AG4" s="6">
        <v>1</v>
      </c>
      <c r="AH4" s="6">
        <v>2</v>
      </c>
      <c r="AI4" s="6">
        <v>1</v>
      </c>
      <c r="AJ4" s="6">
        <v>0</v>
      </c>
      <c r="AK4" s="6">
        <v>3</v>
      </c>
      <c r="AL4" s="6">
        <v>4</v>
      </c>
      <c r="AM4" s="6">
        <v>2</v>
      </c>
      <c r="AN4" s="6">
        <v>2</v>
      </c>
      <c r="AO4" s="6">
        <v>4</v>
      </c>
      <c r="AP4" s="6">
        <v>2</v>
      </c>
      <c r="AQ4" s="6">
        <v>0</v>
      </c>
      <c r="AR4" s="6">
        <v>0</v>
      </c>
      <c r="AS4" s="6">
        <v>0</v>
      </c>
      <c r="AT4" s="6">
        <v>2</v>
      </c>
      <c r="AU4" s="6">
        <v>0</v>
      </c>
      <c r="AV4" s="6">
        <v>2</v>
      </c>
      <c r="AW4" s="6">
        <v>2</v>
      </c>
      <c r="AX4" s="6">
        <v>2</v>
      </c>
      <c r="AY4" s="6">
        <v>1</v>
      </c>
      <c r="AZ4" s="6">
        <v>0</v>
      </c>
      <c r="BA4" s="6">
        <v>0</v>
      </c>
      <c r="BB4" s="6">
        <v>0</v>
      </c>
      <c r="BC4" s="6">
        <v>2</v>
      </c>
      <c r="BD4" s="6">
        <v>2</v>
      </c>
      <c r="BE4" s="6">
        <v>3</v>
      </c>
      <c r="BF4" s="6">
        <v>0</v>
      </c>
      <c r="BG4" s="6">
        <v>1</v>
      </c>
      <c r="BH4" s="6">
        <v>3</v>
      </c>
      <c r="BI4" s="6">
        <v>2</v>
      </c>
      <c r="BJ4" s="6">
        <v>1</v>
      </c>
      <c r="BK4" s="6">
        <v>1</v>
      </c>
      <c r="BL4" s="6">
        <v>1</v>
      </c>
      <c r="BM4" s="6">
        <v>0</v>
      </c>
      <c r="BN4" s="6">
        <v>1</v>
      </c>
      <c r="BO4" s="6">
        <v>0</v>
      </c>
      <c r="BP4" s="6">
        <v>0</v>
      </c>
      <c r="BQ4" s="6">
        <v>0</v>
      </c>
      <c r="BR4" s="6">
        <v>1</v>
      </c>
      <c r="BS4" s="6">
        <v>1</v>
      </c>
      <c r="BT4" s="6">
        <v>1</v>
      </c>
      <c r="BU4" s="6">
        <v>1</v>
      </c>
      <c r="BV4" s="6">
        <v>0</v>
      </c>
      <c r="BW4" s="6">
        <v>0</v>
      </c>
      <c r="BX4" s="6">
        <v>1</v>
      </c>
      <c r="BY4" s="6">
        <v>1</v>
      </c>
      <c r="BZ4" s="6">
        <v>1</v>
      </c>
      <c r="CA4" s="6">
        <v>1</v>
      </c>
      <c r="CB4" s="6">
        <v>1</v>
      </c>
      <c r="CC4" s="6">
        <v>1</v>
      </c>
      <c r="CD4" s="6">
        <v>1</v>
      </c>
      <c r="CE4" s="6">
        <v>1</v>
      </c>
      <c r="CF4" s="6">
        <v>0</v>
      </c>
      <c r="CG4" s="6">
        <v>1</v>
      </c>
      <c r="CH4" s="6">
        <v>1</v>
      </c>
      <c r="CI4" s="6">
        <v>0</v>
      </c>
      <c r="CJ4" s="6">
        <v>1</v>
      </c>
      <c r="CK4" s="6">
        <v>1</v>
      </c>
      <c r="CL4" s="6">
        <v>0</v>
      </c>
      <c r="CM4" s="6">
        <v>1</v>
      </c>
      <c r="CN4" s="6">
        <v>1</v>
      </c>
      <c r="CO4" s="6">
        <v>0</v>
      </c>
      <c r="CP4" s="6">
        <v>2</v>
      </c>
      <c r="CQ4" s="6">
        <v>1</v>
      </c>
      <c r="CR4" s="6">
        <v>1</v>
      </c>
      <c r="CS4" s="6">
        <v>1</v>
      </c>
      <c r="CT4" s="6">
        <v>1</v>
      </c>
      <c r="CU4" s="6">
        <v>1</v>
      </c>
      <c r="CV4" s="6">
        <v>0</v>
      </c>
      <c r="CW4" s="6">
        <v>0</v>
      </c>
      <c r="CX4" s="6">
        <v>1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1</v>
      </c>
      <c r="DG4" s="6">
        <v>2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4</v>
      </c>
      <c r="DO4" s="3">
        <f>+SUM(BR4:CD4)</f>
        <v>11</v>
      </c>
      <c r="DP4" s="3">
        <f>+SUM(CE4:CP4)</f>
        <v>9</v>
      </c>
      <c r="DQ4" s="3">
        <f>+SUM(CQ4:CU4)</f>
        <v>5</v>
      </c>
      <c r="DR4" s="3" t="s">
        <v>69</v>
      </c>
      <c r="DS4" s="3">
        <f>+SUM(BJ4:BN4)</f>
        <v>4</v>
      </c>
      <c r="DT4" s="3">
        <f>+SUM(BO4:BQ4)</f>
        <v>0</v>
      </c>
      <c r="DU4" s="3">
        <f>+SUM(BG4:BI4)</f>
        <v>6</v>
      </c>
      <c r="DV4" s="3">
        <f>+SUM(AX4:BA4)</f>
        <v>3</v>
      </c>
      <c r="DW4" s="3">
        <f>+SUM(BC4:BE4)</f>
        <v>7</v>
      </c>
      <c r="DX4" s="3">
        <f>+SUM(V4:AG4)</f>
        <v>14</v>
      </c>
      <c r="DY4" s="3">
        <f>+SUM(DF4:DN4)</f>
        <v>7</v>
      </c>
      <c r="DZ4" s="3">
        <f>+SUM(AH4:AJ4)</f>
        <v>3</v>
      </c>
      <c r="EA4" s="3">
        <f>+SUM(AT4:AW4)</f>
        <v>6</v>
      </c>
      <c r="EB4" s="3" t="s">
        <v>70</v>
      </c>
      <c r="EC4" s="3">
        <f>+SUM(AK4:AO4)</f>
        <v>15</v>
      </c>
      <c r="ED4" s="3" t="s">
        <v>70</v>
      </c>
      <c r="EE4" s="3">
        <f>+SUM(AP4+AQ4+AR4+AS4+BB4+BF4)</f>
        <v>2</v>
      </c>
      <c r="EF4" s="3">
        <f>+SUM(DB4:DE4)</f>
        <v>0</v>
      </c>
      <c r="EG4" s="3">
        <f>+SUM(CV4:DA4)</f>
        <v>1</v>
      </c>
      <c r="EH4" s="3">
        <f>+SUM(DO4:DQ4)</f>
        <v>25</v>
      </c>
      <c r="EI4" s="3">
        <f>+SUM(DS4:DW4)</f>
        <v>20</v>
      </c>
      <c r="EJ4" s="3">
        <f>+SUM(DX4:EE4)</f>
        <v>47</v>
      </c>
      <c r="EK4" s="3">
        <f>+SUM(EF4:EG4)</f>
        <v>1</v>
      </c>
      <c r="EL4" s="24">
        <f>+SUM(EH4:EK4)</f>
        <v>93</v>
      </c>
      <c r="EM4" s="24"/>
      <c r="EN4" s="46">
        <f>+SUM(DO4/52)*100</f>
        <v>21.153846153846153</v>
      </c>
      <c r="EO4" s="46">
        <f>+SUM(DP4/48)*100</f>
        <v>18.75</v>
      </c>
      <c r="EP4" s="47">
        <f>+SUM(DQ4/20)*100</f>
        <v>25</v>
      </c>
      <c r="EQ4" s="3" t="s">
        <v>69</v>
      </c>
      <c r="ER4" s="3">
        <f>+SUM(DS4/20)*100</f>
        <v>20</v>
      </c>
      <c r="ES4" s="3">
        <f>+SUM(DT4/12)*100</f>
        <v>0</v>
      </c>
      <c r="ET4" s="46">
        <f>+SUM(DU4/12)*100</f>
        <v>50</v>
      </c>
      <c r="EU4" s="46">
        <f>+SUM(DV4/16)*100</f>
        <v>18.75</v>
      </c>
      <c r="EV4" s="46">
        <f>+SUM(DW4/12)*100</f>
        <v>58.333333333333336</v>
      </c>
      <c r="EW4" s="46">
        <f>+SUM(DX4/48)*100</f>
        <v>29.166666666666668</v>
      </c>
      <c r="EX4" s="46">
        <f>+SUM(DY4/36)*100</f>
        <v>19.444444444444446</v>
      </c>
      <c r="EY4" s="46">
        <f>+SUM(DZ4/12)*100</f>
        <v>25</v>
      </c>
      <c r="EZ4" s="3">
        <f>+SUM(EA4/16)*100</f>
        <v>37.5</v>
      </c>
      <c r="FA4" s="3" t="s">
        <v>70</v>
      </c>
      <c r="FB4" s="3">
        <f>+SUM(EC4/20)*100</f>
        <v>75</v>
      </c>
      <c r="FC4" s="3" t="s">
        <v>70</v>
      </c>
      <c r="FD4" s="46">
        <f>+SUM(EE4/24)*100</f>
        <v>8.3333333333333321</v>
      </c>
      <c r="FE4" s="46">
        <f>+SUM(EF4/16)*100</f>
        <v>0</v>
      </c>
      <c r="FF4" s="46">
        <f>+SUM(EG4/24)*100</f>
        <v>4.1666666666666661</v>
      </c>
      <c r="FG4" s="46">
        <f>+SUM(EH4/120)*100</f>
        <v>20.833333333333336</v>
      </c>
      <c r="FH4" s="46">
        <f>+SUM(EI4/72)*100</f>
        <v>27.777777777777779</v>
      </c>
      <c r="FI4" s="46">
        <f>+SUM(EJ4/156)*100</f>
        <v>30.128205128205128</v>
      </c>
      <c r="FJ4" s="3">
        <f>+SUM(EK4/40)*100</f>
        <v>2.5</v>
      </c>
      <c r="FK4" s="46">
        <f>+SUM(EL4/388)*100</f>
        <v>23.969072164948454</v>
      </c>
      <c r="FM4" s="74">
        <f>EL4+'EXTRALABORAL B '!BH4</f>
        <v>112</v>
      </c>
      <c r="FN4" s="74">
        <f>+(FM4/512)*100</f>
        <v>21.875</v>
      </c>
    </row>
    <row r="5" spans="1:170">
      <c r="A5" s="3">
        <v>2</v>
      </c>
      <c r="B5" s="3" t="s">
        <v>125</v>
      </c>
      <c r="C5" s="3">
        <v>1081156257</v>
      </c>
      <c r="D5" s="3" t="s">
        <v>105</v>
      </c>
      <c r="E5" s="3">
        <v>1989</v>
      </c>
      <c r="F5" s="3" t="s">
        <v>100</v>
      </c>
      <c r="G5" s="3" t="s">
        <v>127</v>
      </c>
      <c r="H5" s="3" t="s">
        <v>126</v>
      </c>
      <c r="I5" s="3" t="s">
        <v>103</v>
      </c>
      <c r="J5" s="3">
        <v>2</v>
      </c>
      <c r="K5" s="3" t="s">
        <v>115</v>
      </c>
      <c r="L5" s="3">
        <v>4</v>
      </c>
      <c r="M5" s="3" t="s">
        <v>103</v>
      </c>
      <c r="N5" s="3" t="s">
        <v>128</v>
      </c>
      <c r="O5" s="3" t="s">
        <v>129</v>
      </c>
      <c r="P5" s="3" t="s">
        <v>130</v>
      </c>
      <c r="Q5" s="3" t="s">
        <v>131</v>
      </c>
      <c r="R5" s="3" t="s">
        <v>124</v>
      </c>
      <c r="S5" s="3" t="s">
        <v>114</v>
      </c>
      <c r="T5" s="3">
        <v>9</v>
      </c>
      <c r="U5" s="3" t="s">
        <v>116</v>
      </c>
      <c r="V5" s="6">
        <v>1</v>
      </c>
      <c r="W5" s="6">
        <v>1</v>
      </c>
      <c r="X5" s="6">
        <v>1</v>
      </c>
      <c r="Y5" s="6">
        <v>0</v>
      </c>
      <c r="Z5" s="6">
        <v>0</v>
      </c>
      <c r="AA5" s="6">
        <v>0</v>
      </c>
      <c r="AB5" s="6">
        <v>1</v>
      </c>
      <c r="AC5" s="6">
        <v>1</v>
      </c>
      <c r="AD5" s="6">
        <v>0</v>
      </c>
      <c r="AE5" s="6">
        <v>1</v>
      </c>
      <c r="AF5" s="6">
        <v>0</v>
      </c>
      <c r="AG5" s="6">
        <v>0</v>
      </c>
      <c r="AH5" s="6">
        <v>2</v>
      </c>
      <c r="AI5" s="6">
        <v>0</v>
      </c>
      <c r="AJ5" s="6">
        <v>0</v>
      </c>
      <c r="AK5" s="6">
        <v>0</v>
      </c>
      <c r="AL5" s="6">
        <v>3</v>
      </c>
      <c r="AM5" s="6">
        <v>2</v>
      </c>
      <c r="AN5" s="6">
        <v>0</v>
      </c>
      <c r="AO5" s="6">
        <v>4</v>
      </c>
      <c r="AP5" s="6">
        <v>2</v>
      </c>
      <c r="AQ5" s="6">
        <v>4</v>
      </c>
      <c r="AR5" s="6">
        <v>0</v>
      </c>
      <c r="AS5" s="6">
        <v>4</v>
      </c>
      <c r="AT5" s="6">
        <v>0</v>
      </c>
      <c r="AU5" s="6">
        <v>0</v>
      </c>
      <c r="AV5" s="6">
        <v>2</v>
      </c>
      <c r="AW5" s="6">
        <v>2</v>
      </c>
      <c r="AX5" s="6">
        <v>2</v>
      </c>
      <c r="AY5" s="6">
        <v>1</v>
      </c>
      <c r="AZ5" s="6">
        <v>0</v>
      </c>
      <c r="BA5" s="6">
        <v>0</v>
      </c>
      <c r="BB5" s="6">
        <v>0</v>
      </c>
      <c r="BC5" s="6">
        <v>3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2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4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6">
        <v>2</v>
      </c>
      <c r="CR5" s="6">
        <v>0</v>
      </c>
      <c r="CS5" s="6">
        <v>0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2</v>
      </c>
      <c r="DG5" s="6">
        <v>2</v>
      </c>
      <c r="DH5" s="6">
        <v>0</v>
      </c>
      <c r="DI5" s="6">
        <v>2</v>
      </c>
      <c r="DJ5" s="6">
        <v>0</v>
      </c>
      <c r="DK5" s="6">
        <v>0</v>
      </c>
      <c r="DL5" s="6">
        <v>0</v>
      </c>
      <c r="DM5" s="6">
        <v>0</v>
      </c>
      <c r="DN5" s="6">
        <v>4</v>
      </c>
      <c r="DO5" s="3">
        <f t="shared" ref="DO5" si="0">+SUM(BR5:CD5)</f>
        <v>2</v>
      </c>
      <c r="DP5" s="3">
        <f t="shared" ref="DP5" si="1">+SUM(CE5:CP5)</f>
        <v>4</v>
      </c>
      <c r="DQ5" s="3">
        <f t="shared" ref="DQ5" si="2">+SUM(CQ5:CU5)</f>
        <v>2</v>
      </c>
      <c r="DR5" s="3" t="s">
        <v>69</v>
      </c>
      <c r="DS5" s="3">
        <f t="shared" ref="DS5" si="3">+SUM(BJ5:BN5)</f>
        <v>0</v>
      </c>
      <c r="DT5" s="3">
        <f t="shared" ref="DT5" si="4">+SUM(BO5:BQ5)</f>
        <v>0</v>
      </c>
      <c r="DU5" s="3">
        <f t="shared" ref="DU5" si="5">+SUM(BG5:BI5)</f>
        <v>0</v>
      </c>
      <c r="DV5" s="3">
        <f t="shared" ref="DV5" si="6">+SUM(AX5:BA5)</f>
        <v>3</v>
      </c>
      <c r="DW5" s="3">
        <f t="shared" ref="DW5" si="7">+SUM(BC5:BE5)</f>
        <v>3</v>
      </c>
      <c r="DX5" s="3">
        <f t="shared" ref="DX5" si="8">+SUM(V5:AG5)</f>
        <v>6</v>
      </c>
      <c r="DY5" s="3">
        <f t="shared" ref="DY5" si="9">+SUM(DF5:DN5)</f>
        <v>10</v>
      </c>
      <c r="DZ5" s="3">
        <f t="shared" ref="DZ5" si="10">+SUM(AH5:AJ5)</f>
        <v>2</v>
      </c>
      <c r="EA5" s="3">
        <f t="shared" ref="EA5" si="11">+SUM(AT5:AW5)</f>
        <v>4</v>
      </c>
      <c r="EB5" s="3" t="s">
        <v>70</v>
      </c>
      <c r="EC5" s="3">
        <f t="shared" ref="EC5:EC6" si="12">+SUM(AK5:AO5)</f>
        <v>9</v>
      </c>
      <c r="ED5" s="3" t="s">
        <v>70</v>
      </c>
      <c r="EE5" s="3">
        <f t="shared" ref="EE5" si="13">+SUM(AP5+AQ5+AR5+AS5+BB5+BF5)</f>
        <v>10</v>
      </c>
      <c r="EF5" s="3">
        <f t="shared" ref="EF5" si="14">+SUM(DB5:DE5)</f>
        <v>0</v>
      </c>
      <c r="EG5" s="3">
        <f t="shared" ref="EG5" si="15">+SUM(CV5:DA5)</f>
        <v>0</v>
      </c>
      <c r="EH5" s="3">
        <f t="shared" ref="EH5" si="16">+SUM(DO5:DQ5)</f>
        <v>8</v>
      </c>
      <c r="EI5" s="3">
        <f t="shared" ref="EI5" si="17">+SUM(DS5:DW5)</f>
        <v>6</v>
      </c>
      <c r="EJ5" s="3">
        <f t="shared" ref="EJ5" si="18">+SUM(DX5:EE5)</f>
        <v>41</v>
      </c>
      <c r="EK5" s="3">
        <f t="shared" ref="EK5" si="19">+SUM(EF5:EG5)</f>
        <v>0</v>
      </c>
      <c r="EL5" s="24">
        <f t="shared" ref="EL5" si="20">+SUM(EH5:EK5)</f>
        <v>55</v>
      </c>
      <c r="EM5" s="24"/>
      <c r="EN5" s="46">
        <f t="shared" ref="EN5:EN6" si="21">+SUM(DO5/52)*100</f>
        <v>3.8461538461538463</v>
      </c>
      <c r="EO5" s="46">
        <f t="shared" ref="EO5:EO6" si="22">+SUM(DP5/48)*100</f>
        <v>8.3333333333333321</v>
      </c>
      <c r="EP5" s="47">
        <f t="shared" ref="EP5:EP6" si="23">+SUM(DQ5/20)*100</f>
        <v>10</v>
      </c>
      <c r="EQ5" s="3" t="s">
        <v>69</v>
      </c>
      <c r="ER5" s="3">
        <f t="shared" ref="ER5:ER6" si="24">+SUM(DS5/20)*100</f>
        <v>0</v>
      </c>
      <c r="ES5" s="3">
        <f t="shared" ref="ES5:ES6" si="25">+SUM(DT5/12)*100</f>
        <v>0</v>
      </c>
      <c r="ET5" s="46">
        <f t="shared" ref="ET5:ET6" si="26">+SUM(DU5/12)*100</f>
        <v>0</v>
      </c>
      <c r="EU5" s="46">
        <f t="shared" ref="EU5:EU6" si="27">+SUM(DV5/16)*100</f>
        <v>18.75</v>
      </c>
      <c r="EV5" s="46">
        <f t="shared" ref="EV5:EV6" si="28">+SUM(DW5/12)*100</f>
        <v>25</v>
      </c>
      <c r="EW5" s="46">
        <f t="shared" ref="EW5:EW6" si="29">+SUM(DX5/48)*100</f>
        <v>12.5</v>
      </c>
      <c r="EX5" s="46">
        <f t="shared" ref="EX5:EX6" si="30">+SUM(DY5/36)*100</f>
        <v>27.777777777777779</v>
      </c>
      <c r="EY5" s="46">
        <f t="shared" ref="EY5:EY6" si="31">+SUM(DZ5/12)*100</f>
        <v>16.666666666666664</v>
      </c>
      <c r="EZ5" s="3">
        <f t="shared" ref="EZ5:EZ6" si="32">+SUM(EA5/16)*100</f>
        <v>25</v>
      </c>
      <c r="FA5" s="3" t="s">
        <v>70</v>
      </c>
      <c r="FB5" s="3">
        <f t="shared" ref="FB5:FB6" si="33">+SUM(EC5/20)*100</f>
        <v>45</v>
      </c>
      <c r="FC5" s="3" t="s">
        <v>70</v>
      </c>
      <c r="FD5" s="46">
        <f t="shared" ref="FD5:FD6" si="34">+SUM(EE5/24)*100</f>
        <v>41.666666666666671</v>
      </c>
      <c r="FE5" s="46">
        <f t="shared" ref="FE5:FE6" si="35">+SUM(EF5/16)*100</f>
        <v>0</v>
      </c>
      <c r="FF5" s="46">
        <f t="shared" ref="FF5:FF6" si="36">+SUM(EG5/24)*100</f>
        <v>0</v>
      </c>
      <c r="FG5" s="46">
        <f t="shared" ref="FG5:FG6" si="37">+SUM(EH5/120)*100</f>
        <v>6.666666666666667</v>
      </c>
      <c r="FH5" s="46">
        <f t="shared" ref="FH5:FH6" si="38">+SUM(EI5/72)*100</f>
        <v>8.3333333333333321</v>
      </c>
      <c r="FI5" s="46">
        <f t="shared" ref="FI5:FI6" si="39">+SUM(EJ5/156)*100</f>
        <v>26.282051282051285</v>
      </c>
      <c r="FJ5" s="3">
        <f t="shared" ref="FJ5:FJ6" si="40">+SUM(EK5/40)*100</f>
        <v>0</v>
      </c>
      <c r="FK5" s="46">
        <f t="shared" ref="FK5:FK6" si="41">+SUM(EL5/388)*100</f>
        <v>14.175257731958762</v>
      </c>
      <c r="FM5" s="74">
        <f>EL5+'EXTRALABORAL B '!BH5</f>
        <v>86</v>
      </c>
      <c r="FN5" s="74">
        <f t="shared" ref="FN5:FN6" si="42">+(FM5/512)*100</f>
        <v>16.796875</v>
      </c>
    </row>
    <row r="6" spans="1:170">
      <c r="A6" s="3">
        <v>3</v>
      </c>
      <c r="B6" s="3" t="s">
        <v>132</v>
      </c>
      <c r="C6" s="3">
        <v>1090381143</v>
      </c>
      <c r="D6" s="3" t="s">
        <v>101</v>
      </c>
      <c r="E6" s="3">
        <v>1972</v>
      </c>
      <c r="F6" s="3" t="s">
        <v>118</v>
      </c>
      <c r="G6" s="3" t="s">
        <v>127</v>
      </c>
      <c r="H6" s="3" t="s">
        <v>133</v>
      </c>
      <c r="I6" s="3" t="s">
        <v>103</v>
      </c>
      <c r="J6" s="3">
        <v>3</v>
      </c>
      <c r="K6" s="3" t="s">
        <v>95</v>
      </c>
      <c r="L6" s="3">
        <v>2</v>
      </c>
      <c r="M6" s="3" t="s">
        <v>103</v>
      </c>
      <c r="N6" s="3" t="s">
        <v>108</v>
      </c>
      <c r="O6" s="3" t="s">
        <v>134</v>
      </c>
      <c r="P6" s="3" t="s">
        <v>97</v>
      </c>
      <c r="Q6" s="3" t="s">
        <v>108</v>
      </c>
      <c r="R6" s="3" t="s">
        <v>135</v>
      </c>
      <c r="S6" s="3" t="s">
        <v>114</v>
      </c>
      <c r="T6" s="3">
        <v>8</v>
      </c>
      <c r="U6" s="3" t="s">
        <v>116</v>
      </c>
      <c r="V6" s="6">
        <v>0</v>
      </c>
      <c r="W6" s="6">
        <v>0</v>
      </c>
      <c r="X6" s="6">
        <v>0</v>
      </c>
      <c r="Y6" s="6">
        <v>1</v>
      </c>
      <c r="Z6" s="6">
        <v>0</v>
      </c>
      <c r="AA6" s="6">
        <v>2</v>
      </c>
      <c r="AB6" s="6">
        <v>0</v>
      </c>
      <c r="AC6" s="6">
        <v>1</v>
      </c>
      <c r="AD6" s="6">
        <v>0</v>
      </c>
      <c r="AE6" s="6">
        <v>1</v>
      </c>
      <c r="AF6" s="6">
        <v>0</v>
      </c>
      <c r="AG6" s="6">
        <v>3</v>
      </c>
      <c r="AH6" s="6">
        <v>1</v>
      </c>
      <c r="AI6" s="6">
        <v>1</v>
      </c>
      <c r="AJ6" s="6">
        <v>1</v>
      </c>
      <c r="AK6" s="6">
        <v>2</v>
      </c>
      <c r="AL6" s="6">
        <v>4</v>
      </c>
      <c r="AM6" s="6">
        <v>2</v>
      </c>
      <c r="AN6" s="6">
        <v>3</v>
      </c>
      <c r="AO6" s="6">
        <v>2</v>
      </c>
      <c r="AP6" s="6">
        <v>0</v>
      </c>
      <c r="AQ6" s="6">
        <v>1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3</v>
      </c>
      <c r="AY6" s="6">
        <v>2</v>
      </c>
      <c r="AZ6" s="6">
        <v>0</v>
      </c>
      <c r="BA6" s="6">
        <v>0</v>
      </c>
      <c r="BB6" s="6">
        <v>0</v>
      </c>
      <c r="BC6" s="6">
        <v>1</v>
      </c>
      <c r="BD6" s="6">
        <v>2</v>
      </c>
      <c r="BE6" s="6">
        <v>2</v>
      </c>
      <c r="BF6" s="6">
        <v>2</v>
      </c>
      <c r="BG6" s="6">
        <v>1</v>
      </c>
      <c r="BH6" s="6">
        <v>0</v>
      </c>
      <c r="BI6" s="6">
        <v>0</v>
      </c>
      <c r="BJ6" s="6">
        <v>2</v>
      </c>
      <c r="BK6" s="6">
        <v>1</v>
      </c>
      <c r="BL6" s="6">
        <v>0</v>
      </c>
      <c r="BM6" s="6">
        <v>0</v>
      </c>
      <c r="BN6" s="6">
        <v>1</v>
      </c>
      <c r="BO6" s="6">
        <v>0</v>
      </c>
      <c r="BP6" s="6">
        <v>1</v>
      </c>
      <c r="BQ6" s="6">
        <v>0</v>
      </c>
      <c r="BR6" s="6">
        <v>0</v>
      </c>
      <c r="BS6" s="6">
        <v>0</v>
      </c>
      <c r="BT6" s="6">
        <v>0</v>
      </c>
      <c r="BU6" s="6">
        <v>1</v>
      </c>
      <c r="BV6" s="6">
        <v>2</v>
      </c>
      <c r="BW6" s="6">
        <v>0</v>
      </c>
      <c r="BX6" s="6">
        <v>1</v>
      </c>
      <c r="BY6" s="6">
        <v>1</v>
      </c>
      <c r="BZ6" s="6">
        <v>1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1</v>
      </c>
      <c r="CH6" s="6">
        <v>1</v>
      </c>
      <c r="CI6" s="6">
        <v>0</v>
      </c>
      <c r="CJ6" s="6">
        <v>0</v>
      </c>
      <c r="CK6" s="6">
        <v>2</v>
      </c>
      <c r="CL6" s="6">
        <v>0</v>
      </c>
      <c r="CM6" s="6">
        <v>1</v>
      </c>
      <c r="CN6" s="6">
        <v>0</v>
      </c>
      <c r="CO6" s="6">
        <v>1</v>
      </c>
      <c r="CP6" s="6">
        <v>2</v>
      </c>
      <c r="CQ6" s="6">
        <v>2</v>
      </c>
      <c r="CR6" s="6">
        <v>2</v>
      </c>
      <c r="CS6" s="6">
        <v>1</v>
      </c>
      <c r="CT6" s="6">
        <v>1</v>
      </c>
      <c r="CU6" s="6">
        <v>1</v>
      </c>
      <c r="CV6" s="6">
        <v>0</v>
      </c>
      <c r="CW6" s="6">
        <v>0</v>
      </c>
      <c r="CX6" s="6">
        <v>4</v>
      </c>
      <c r="CY6" s="6">
        <v>1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1</v>
      </c>
      <c r="DH6" s="6">
        <v>0</v>
      </c>
      <c r="DI6" s="6">
        <v>0</v>
      </c>
      <c r="DJ6" s="6">
        <v>2</v>
      </c>
      <c r="DK6" s="6">
        <v>0</v>
      </c>
      <c r="DL6" s="6">
        <v>0</v>
      </c>
      <c r="DM6" s="6">
        <v>0</v>
      </c>
      <c r="DN6" s="6">
        <v>4</v>
      </c>
      <c r="DO6" s="3">
        <f t="shared" ref="DO6" si="43">+SUM(BR6:CD6)</f>
        <v>6</v>
      </c>
      <c r="DP6" s="3">
        <f t="shared" ref="DP6" si="44">+SUM(CE6:CP6)</f>
        <v>8</v>
      </c>
      <c r="DQ6" s="3">
        <f t="shared" ref="DQ6" si="45">+SUM(CQ6:CU6)</f>
        <v>7</v>
      </c>
      <c r="DR6" s="3" t="s">
        <v>69</v>
      </c>
      <c r="DS6" s="3">
        <f t="shared" ref="DS6" si="46">+SUM(BJ6:BN6)</f>
        <v>4</v>
      </c>
      <c r="DT6" s="3">
        <f t="shared" ref="DT6" si="47">+SUM(BO6:BQ6)</f>
        <v>1</v>
      </c>
      <c r="DU6" s="3">
        <f t="shared" ref="DU6" si="48">+SUM(BG6:BI6)</f>
        <v>1</v>
      </c>
      <c r="DV6" s="3">
        <f t="shared" ref="DV6" si="49">+SUM(AX6:BA6)</f>
        <v>5</v>
      </c>
      <c r="DW6" s="3">
        <f t="shared" ref="DW6" si="50">+SUM(BC6:BE6)</f>
        <v>5</v>
      </c>
      <c r="DX6" s="3">
        <f t="shared" ref="DX6" si="51">+SUM(V6:AG6)</f>
        <v>8</v>
      </c>
      <c r="DY6" s="3">
        <f t="shared" ref="DY6" si="52">+SUM(DF6:DN6)</f>
        <v>7</v>
      </c>
      <c r="DZ6" s="3">
        <f t="shared" ref="DZ6" si="53">+SUM(AH6:AJ6)</f>
        <v>3</v>
      </c>
      <c r="EA6" s="3">
        <f t="shared" ref="EA6" si="54">+SUM(AT6:AW6)</f>
        <v>0</v>
      </c>
      <c r="EB6" s="3" t="s">
        <v>70</v>
      </c>
      <c r="EC6" s="3">
        <f t="shared" si="12"/>
        <v>13</v>
      </c>
      <c r="ED6" s="3" t="s">
        <v>70</v>
      </c>
      <c r="EE6" s="3">
        <f t="shared" ref="EE6" si="55">+SUM(AP6+AQ6+AR6+AS6+BB6+BF6)</f>
        <v>3</v>
      </c>
      <c r="EF6" s="3">
        <f t="shared" ref="EF6" si="56">+SUM(DB6:DE6)</f>
        <v>0</v>
      </c>
      <c r="EG6" s="3">
        <f t="shared" ref="EG6" si="57">+SUM(CV6:DA6)</f>
        <v>5</v>
      </c>
      <c r="EH6" s="3">
        <f t="shared" ref="EH6" si="58">+SUM(DO6:DQ6)</f>
        <v>21</v>
      </c>
      <c r="EI6" s="3">
        <f t="shared" ref="EI6" si="59">+SUM(DS6:DW6)</f>
        <v>16</v>
      </c>
      <c r="EJ6" s="3">
        <f t="shared" ref="EJ6" si="60">+SUM(DX6:EE6)</f>
        <v>34</v>
      </c>
      <c r="EK6" s="3">
        <f t="shared" ref="EK6" si="61">+SUM(EF6:EG6)</f>
        <v>5</v>
      </c>
      <c r="EL6" s="24">
        <f t="shared" ref="EL6" si="62">+SUM(EH6:EK6)</f>
        <v>76</v>
      </c>
      <c r="EM6" s="24"/>
      <c r="EN6" s="46">
        <f t="shared" si="21"/>
        <v>11.538461538461538</v>
      </c>
      <c r="EO6" s="46">
        <f t="shared" si="22"/>
        <v>16.666666666666664</v>
      </c>
      <c r="EP6" s="47">
        <f t="shared" si="23"/>
        <v>35</v>
      </c>
      <c r="EQ6" s="3" t="s">
        <v>69</v>
      </c>
      <c r="ER6" s="3">
        <f t="shared" si="24"/>
        <v>20</v>
      </c>
      <c r="ES6" s="3">
        <f t="shared" si="25"/>
        <v>8.3333333333333321</v>
      </c>
      <c r="ET6" s="46">
        <f t="shared" si="26"/>
        <v>8.3333333333333321</v>
      </c>
      <c r="EU6" s="46">
        <f t="shared" si="27"/>
        <v>31.25</v>
      </c>
      <c r="EV6" s="46">
        <f t="shared" si="28"/>
        <v>41.666666666666671</v>
      </c>
      <c r="EW6" s="46">
        <f t="shared" si="29"/>
        <v>16.666666666666664</v>
      </c>
      <c r="EX6" s="46">
        <f t="shared" si="30"/>
        <v>19.444444444444446</v>
      </c>
      <c r="EY6" s="46">
        <f t="shared" si="31"/>
        <v>25</v>
      </c>
      <c r="EZ6" s="3">
        <f t="shared" si="32"/>
        <v>0</v>
      </c>
      <c r="FA6" s="3" t="s">
        <v>70</v>
      </c>
      <c r="FB6" s="3">
        <f t="shared" si="33"/>
        <v>65</v>
      </c>
      <c r="FC6" s="3" t="s">
        <v>70</v>
      </c>
      <c r="FD6" s="46">
        <f t="shared" si="34"/>
        <v>12.5</v>
      </c>
      <c r="FE6" s="46">
        <f t="shared" si="35"/>
        <v>0</v>
      </c>
      <c r="FF6" s="46">
        <f t="shared" si="36"/>
        <v>20.833333333333336</v>
      </c>
      <c r="FG6" s="46">
        <f t="shared" si="37"/>
        <v>17.5</v>
      </c>
      <c r="FH6" s="46">
        <f t="shared" si="38"/>
        <v>22.222222222222221</v>
      </c>
      <c r="FI6" s="46">
        <f t="shared" si="39"/>
        <v>21.794871794871796</v>
      </c>
      <c r="FJ6" s="3">
        <f t="shared" si="40"/>
        <v>12.5</v>
      </c>
      <c r="FK6" s="46">
        <f t="shared" si="41"/>
        <v>19.587628865979383</v>
      </c>
      <c r="FM6" s="74">
        <f>EL6+'EXTRALABORAL B '!BH6</f>
        <v>105</v>
      </c>
      <c r="FN6" s="74">
        <f t="shared" si="42"/>
        <v>20.5078125</v>
      </c>
    </row>
    <row r="7" spans="1:170">
      <c r="A7" s="3">
        <v>4</v>
      </c>
      <c r="B7" s="3" t="s">
        <v>136</v>
      </c>
      <c r="C7" s="3">
        <v>7703284</v>
      </c>
      <c r="D7" s="3" t="s">
        <v>105</v>
      </c>
      <c r="E7" s="3">
        <v>1976</v>
      </c>
      <c r="F7" s="3" t="s">
        <v>100</v>
      </c>
      <c r="G7" s="3" t="s">
        <v>137</v>
      </c>
      <c r="H7" s="3" t="s">
        <v>138</v>
      </c>
      <c r="I7" s="3" t="s">
        <v>103</v>
      </c>
      <c r="J7" s="3">
        <v>2</v>
      </c>
      <c r="K7" s="3" t="s">
        <v>115</v>
      </c>
      <c r="L7" s="3">
        <v>4</v>
      </c>
      <c r="M7" s="3" t="s">
        <v>103</v>
      </c>
      <c r="N7" s="3" t="s">
        <v>112</v>
      </c>
      <c r="O7" s="3" t="s">
        <v>139</v>
      </c>
      <c r="P7" s="3" t="s">
        <v>130</v>
      </c>
      <c r="Q7" s="3" t="s">
        <v>140</v>
      </c>
      <c r="R7" s="3" t="s">
        <v>135</v>
      </c>
      <c r="S7" s="3" t="s">
        <v>117</v>
      </c>
      <c r="T7" s="3">
        <v>8</v>
      </c>
      <c r="U7" s="3" t="s">
        <v>116</v>
      </c>
      <c r="V7" s="6">
        <v>1</v>
      </c>
      <c r="W7" s="6">
        <v>1</v>
      </c>
      <c r="X7" s="6">
        <v>2</v>
      </c>
      <c r="Y7" s="6">
        <v>0</v>
      </c>
      <c r="Z7" s="6">
        <v>0</v>
      </c>
      <c r="AA7" s="6">
        <v>1</v>
      </c>
      <c r="AB7" s="6">
        <v>0</v>
      </c>
      <c r="AC7" s="6">
        <v>1</v>
      </c>
      <c r="AD7" s="6">
        <v>0</v>
      </c>
      <c r="AE7" s="6">
        <v>0</v>
      </c>
      <c r="AF7" s="6">
        <v>1</v>
      </c>
      <c r="AG7" s="6">
        <v>0</v>
      </c>
      <c r="AH7" s="6">
        <v>2</v>
      </c>
      <c r="AI7" s="6">
        <v>0</v>
      </c>
      <c r="AJ7" s="6">
        <v>2</v>
      </c>
      <c r="AK7" s="6">
        <v>2</v>
      </c>
      <c r="AL7" s="6">
        <v>3</v>
      </c>
      <c r="AM7" s="6">
        <v>3</v>
      </c>
      <c r="AN7" s="6">
        <v>2</v>
      </c>
      <c r="AO7" s="6">
        <v>2</v>
      </c>
      <c r="AP7" s="6">
        <v>2</v>
      </c>
      <c r="AQ7" s="6">
        <v>2</v>
      </c>
      <c r="AR7" s="6">
        <v>1</v>
      </c>
      <c r="AS7" s="6">
        <v>4</v>
      </c>
      <c r="AT7" s="6">
        <v>2</v>
      </c>
      <c r="AU7" s="6">
        <v>0</v>
      </c>
      <c r="AV7" s="6">
        <v>0</v>
      </c>
      <c r="AW7" s="6">
        <v>0</v>
      </c>
      <c r="AX7" s="6">
        <v>2</v>
      </c>
      <c r="AY7" s="6">
        <v>1</v>
      </c>
      <c r="AZ7" s="6">
        <v>1</v>
      </c>
      <c r="BA7" s="6">
        <v>0</v>
      </c>
      <c r="BB7" s="6">
        <v>1</v>
      </c>
      <c r="BC7" s="6">
        <v>2</v>
      </c>
      <c r="BD7" s="6">
        <v>2</v>
      </c>
      <c r="BE7" s="6">
        <v>3</v>
      </c>
      <c r="BF7" s="6">
        <v>2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1</v>
      </c>
      <c r="CF7" s="6">
        <v>0</v>
      </c>
      <c r="CG7" s="6">
        <v>2</v>
      </c>
      <c r="CH7" s="6">
        <v>2</v>
      </c>
      <c r="CI7" s="6">
        <v>0</v>
      </c>
      <c r="CJ7" s="6">
        <v>1</v>
      </c>
      <c r="CK7" s="6">
        <v>2</v>
      </c>
      <c r="CL7" s="6">
        <v>1</v>
      </c>
      <c r="CM7" s="6">
        <v>1</v>
      </c>
      <c r="CN7" s="6">
        <v>1</v>
      </c>
      <c r="CO7" s="6">
        <v>1</v>
      </c>
      <c r="CP7" s="6">
        <v>3</v>
      </c>
      <c r="CQ7" s="6">
        <v>2</v>
      </c>
      <c r="CR7" s="6">
        <v>1</v>
      </c>
      <c r="CS7" s="6">
        <v>1</v>
      </c>
      <c r="CT7" s="6">
        <v>1</v>
      </c>
      <c r="CU7" s="6">
        <v>1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2</v>
      </c>
      <c r="DG7" s="6">
        <v>2</v>
      </c>
      <c r="DH7" s="6">
        <v>1</v>
      </c>
      <c r="DI7" s="6">
        <v>0</v>
      </c>
      <c r="DJ7" s="6">
        <v>1</v>
      </c>
      <c r="DK7" s="6">
        <v>0</v>
      </c>
      <c r="DL7" s="6">
        <v>0</v>
      </c>
      <c r="DM7" s="6">
        <v>1</v>
      </c>
      <c r="DN7" s="6">
        <v>3</v>
      </c>
      <c r="DO7" s="3">
        <f t="shared" ref="DO7:DO32" si="63">+SUM(BR7:CD7)</f>
        <v>0</v>
      </c>
      <c r="DP7" s="3">
        <f t="shared" ref="DP7:DP32" si="64">+SUM(CE7:CP7)</f>
        <v>15</v>
      </c>
      <c r="DQ7" s="3">
        <f t="shared" ref="DQ7:DQ32" si="65">+SUM(CQ7:CU7)</f>
        <v>6</v>
      </c>
      <c r="DR7" s="3" t="s">
        <v>69</v>
      </c>
      <c r="DS7" s="3">
        <f t="shared" ref="DS7:DS32" si="66">+SUM(BJ7:BN7)</f>
        <v>0</v>
      </c>
      <c r="DT7" s="3">
        <f t="shared" ref="DT7:DT32" si="67">+SUM(BO7:BQ7)</f>
        <v>0</v>
      </c>
      <c r="DU7" s="3">
        <f t="shared" ref="DU7:DU32" si="68">+SUM(BG7:BI7)</f>
        <v>0</v>
      </c>
      <c r="DV7" s="3">
        <f t="shared" ref="DV7:DV32" si="69">+SUM(AX7:BA7)</f>
        <v>4</v>
      </c>
      <c r="DW7" s="3">
        <f t="shared" ref="DW7:DW32" si="70">+SUM(BC7:BE7)</f>
        <v>7</v>
      </c>
      <c r="DX7" s="3">
        <f t="shared" ref="DX7:DX32" si="71">+SUM(V7:AG7)</f>
        <v>7</v>
      </c>
      <c r="DY7" s="3">
        <f t="shared" ref="DY7:DY32" si="72">+SUM(DF7:DN7)</f>
        <v>10</v>
      </c>
      <c r="DZ7" s="3">
        <f t="shared" ref="DZ7:DZ32" si="73">+SUM(AH7:AJ7)</f>
        <v>4</v>
      </c>
      <c r="EA7" s="3">
        <f t="shared" ref="EA7:EA32" si="74">+SUM(AT7:AW7)</f>
        <v>2</v>
      </c>
      <c r="EB7" s="3" t="s">
        <v>70</v>
      </c>
      <c r="EC7" s="3">
        <f t="shared" ref="EC7:EC32" si="75">+SUM(AK7:AO7)</f>
        <v>12</v>
      </c>
      <c r="ED7" s="3" t="s">
        <v>70</v>
      </c>
      <c r="EE7" s="3">
        <f t="shared" ref="EE7:EE32" si="76">+SUM(AP7+AQ7+AR7+AS7+BB7+BF7)</f>
        <v>12</v>
      </c>
      <c r="EF7" s="3">
        <f t="shared" ref="EF7:EF32" si="77">+SUM(DB7:DE7)</f>
        <v>0</v>
      </c>
      <c r="EG7" s="3">
        <f t="shared" ref="EG7:EG32" si="78">+SUM(CV7:DA7)</f>
        <v>0</v>
      </c>
      <c r="EH7" s="3">
        <f t="shared" ref="EH7:EH32" si="79">+SUM(DO7:DQ7)</f>
        <v>21</v>
      </c>
      <c r="EI7" s="3">
        <f t="shared" ref="EI7:EI32" si="80">+SUM(DS7:DW7)</f>
        <v>11</v>
      </c>
      <c r="EJ7" s="3">
        <f t="shared" ref="EJ7:EJ32" si="81">+SUM(DX7:EE7)</f>
        <v>47</v>
      </c>
      <c r="EK7" s="3">
        <f t="shared" ref="EK7:EK32" si="82">+SUM(EF7:EG7)</f>
        <v>0</v>
      </c>
      <c r="EL7" s="24">
        <f t="shared" ref="EL7:EL32" si="83">+SUM(EH7:EK7)</f>
        <v>79</v>
      </c>
      <c r="EM7" s="24"/>
      <c r="EN7" s="46">
        <f t="shared" ref="EN7:EN32" si="84">+SUM(DO7/52)*100</f>
        <v>0</v>
      </c>
      <c r="EO7" s="46">
        <f t="shared" ref="EO7:EO32" si="85">+SUM(DP7/48)*100</f>
        <v>31.25</v>
      </c>
      <c r="EP7" s="47">
        <f t="shared" ref="EP7:EP32" si="86">+SUM(DQ7/20)*100</f>
        <v>30</v>
      </c>
      <c r="EQ7" s="3" t="s">
        <v>69</v>
      </c>
      <c r="ER7" s="3">
        <f t="shared" ref="ER7:ER32" si="87">+SUM(DS7/20)*100</f>
        <v>0</v>
      </c>
      <c r="ES7" s="3">
        <f t="shared" ref="ES7:ES32" si="88">+SUM(DT7/12)*100</f>
        <v>0</v>
      </c>
      <c r="ET7" s="46">
        <f t="shared" ref="ET7:ET32" si="89">+SUM(DU7/12)*100</f>
        <v>0</v>
      </c>
      <c r="EU7" s="46">
        <f t="shared" ref="EU7:EU32" si="90">+SUM(DV7/16)*100</f>
        <v>25</v>
      </c>
      <c r="EV7" s="46">
        <f t="shared" ref="EV7:EV32" si="91">+SUM(DW7/12)*100</f>
        <v>58.333333333333336</v>
      </c>
      <c r="EW7" s="46">
        <f t="shared" ref="EW7:EW32" si="92">+SUM(DX7/48)*100</f>
        <v>14.583333333333334</v>
      </c>
      <c r="EX7" s="46">
        <f t="shared" ref="EX7:EX32" si="93">+SUM(DY7/36)*100</f>
        <v>27.777777777777779</v>
      </c>
      <c r="EY7" s="46">
        <f t="shared" ref="EY7:EY32" si="94">+SUM(DZ7/12)*100</f>
        <v>33.333333333333329</v>
      </c>
      <c r="EZ7" s="3">
        <f t="shared" ref="EZ7:EZ32" si="95">+SUM(EA7/16)*100</f>
        <v>12.5</v>
      </c>
      <c r="FA7" s="3" t="s">
        <v>70</v>
      </c>
      <c r="FB7" s="3">
        <f t="shared" ref="FB7:FB32" si="96">+SUM(EC7/20)*100</f>
        <v>60</v>
      </c>
      <c r="FC7" s="3" t="s">
        <v>70</v>
      </c>
      <c r="FD7" s="46">
        <f t="shared" ref="FD7:FD32" si="97">+SUM(EE7/24)*100</f>
        <v>50</v>
      </c>
      <c r="FE7" s="46">
        <f t="shared" ref="FE7:FE32" si="98">+SUM(EF7/16)*100</f>
        <v>0</v>
      </c>
      <c r="FF7" s="46">
        <f t="shared" ref="FF7:FF32" si="99">+SUM(EG7/24)*100</f>
        <v>0</v>
      </c>
      <c r="FG7" s="46">
        <f t="shared" ref="FG7:FG32" si="100">+SUM(EH7/120)*100</f>
        <v>17.5</v>
      </c>
      <c r="FH7" s="46">
        <f t="shared" ref="FH7:FH32" si="101">+SUM(EI7/72)*100</f>
        <v>15.277777777777779</v>
      </c>
      <c r="FI7" s="46">
        <f t="shared" ref="FI7:FI32" si="102">+SUM(EJ7/156)*100</f>
        <v>30.128205128205128</v>
      </c>
      <c r="FJ7" s="3">
        <f t="shared" ref="FJ7:FJ32" si="103">+SUM(EK7/40)*100</f>
        <v>0</v>
      </c>
      <c r="FK7" s="46">
        <f t="shared" ref="FK7:FK32" si="104">+SUM(EL7/388)*100</f>
        <v>20.36082474226804</v>
      </c>
      <c r="FM7" s="74">
        <f>EL7+'EXTRALABORAL B '!BH55</f>
        <v>102</v>
      </c>
      <c r="FN7" s="74">
        <f t="shared" ref="FN7:FN32" si="105">+(FM7/512)*100</f>
        <v>19.921875</v>
      </c>
    </row>
    <row r="8" spans="1:170">
      <c r="A8" s="3">
        <v>4</v>
      </c>
      <c r="B8" s="3" t="s">
        <v>141</v>
      </c>
      <c r="C8" s="3">
        <v>36310138</v>
      </c>
      <c r="D8" s="3" t="s">
        <v>101</v>
      </c>
      <c r="E8" s="3">
        <v>1983</v>
      </c>
      <c r="F8" s="3" t="s">
        <v>111</v>
      </c>
      <c r="G8" s="3" t="s">
        <v>127</v>
      </c>
      <c r="H8" s="3" t="s">
        <v>142</v>
      </c>
      <c r="I8" s="3" t="s">
        <v>103</v>
      </c>
      <c r="J8" s="3">
        <v>2</v>
      </c>
      <c r="K8" s="3" t="s">
        <v>107</v>
      </c>
      <c r="L8" s="3">
        <v>1</v>
      </c>
      <c r="M8" s="3" t="s">
        <v>103</v>
      </c>
      <c r="N8" s="3" t="s">
        <v>128</v>
      </c>
      <c r="O8" s="3" t="s">
        <v>143</v>
      </c>
      <c r="P8" s="3" t="s">
        <v>144</v>
      </c>
      <c r="Q8" s="3" t="s">
        <v>145</v>
      </c>
      <c r="R8" s="3" t="s">
        <v>146</v>
      </c>
      <c r="S8" s="3" t="s">
        <v>128</v>
      </c>
      <c r="T8" s="3">
        <v>8</v>
      </c>
      <c r="U8" s="3" t="s">
        <v>116</v>
      </c>
      <c r="V8" s="6">
        <v>1</v>
      </c>
      <c r="W8" s="6">
        <v>1</v>
      </c>
      <c r="X8" s="6">
        <v>1</v>
      </c>
      <c r="Y8" s="6">
        <v>1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1</v>
      </c>
      <c r="AG8" s="6">
        <v>0</v>
      </c>
      <c r="AH8" s="6">
        <v>0</v>
      </c>
      <c r="AI8" s="6">
        <v>1</v>
      </c>
      <c r="AJ8" s="6">
        <v>2</v>
      </c>
      <c r="AK8" s="6">
        <v>2</v>
      </c>
      <c r="AL8" s="6">
        <v>3</v>
      </c>
      <c r="AM8" s="6">
        <v>3</v>
      </c>
      <c r="AN8" s="6">
        <v>4</v>
      </c>
      <c r="AO8" s="6">
        <v>4</v>
      </c>
      <c r="AP8" s="6">
        <v>0</v>
      </c>
      <c r="AQ8" s="6">
        <v>2</v>
      </c>
      <c r="AR8" s="6">
        <v>0</v>
      </c>
      <c r="AS8" s="6">
        <v>0</v>
      </c>
      <c r="AT8" s="6">
        <v>2</v>
      </c>
      <c r="AU8" s="6">
        <v>0</v>
      </c>
      <c r="AV8" s="6">
        <v>0</v>
      </c>
      <c r="AW8" s="6">
        <v>0</v>
      </c>
      <c r="AX8" s="6">
        <v>3</v>
      </c>
      <c r="AY8" s="6">
        <v>1</v>
      </c>
      <c r="AZ8" s="6">
        <v>1</v>
      </c>
      <c r="BA8" s="6">
        <v>2</v>
      </c>
      <c r="BB8" s="6">
        <v>1</v>
      </c>
      <c r="BC8" s="6">
        <v>2</v>
      </c>
      <c r="BD8" s="6">
        <v>1</v>
      </c>
      <c r="BE8" s="6">
        <v>1</v>
      </c>
      <c r="BF8" s="6">
        <v>2</v>
      </c>
      <c r="BG8" s="6">
        <v>0</v>
      </c>
      <c r="BH8" s="6">
        <v>2</v>
      </c>
      <c r="BI8" s="6">
        <v>2</v>
      </c>
      <c r="BJ8" s="6">
        <v>0</v>
      </c>
      <c r="BK8" s="6">
        <v>1</v>
      </c>
      <c r="BL8" s="6">
        <v>0</v>
      </c>
      <c r="BM8" s="6">
        <v>0</v>
      </c>
      <c r="BN8" s="6">
        <v>0</v>
      </c>
      <c r="BO8" s="6">
        <v>0</v>
      </c>
      <c r="BP8" s="6">
        <v>1</v>
      </c>
      <c r="BQ8" s="6">
        <v>1</v>
      </c>
      <c r="BR8" s="6">
        <v>1</v>
      </c>
      <c r="BS8" s="6">
        <v>2</v>
      </c>
      <c r="BT8" s="6">
        <v>2</v>
      </c>
      <c r="BU8" s="6">
        <v>2</v>
      </c>
      <c r="BV8" s="6">
        <v>2</v>
      </c>
      <c r="BW8" s="6">
        <v>2</v>
      </c>
      <c r="BX8" s="6">
        <v>1</v>
      </c>
      <c r="BY8" s="6">
        <v>2</v>
      </c>
      <c r="BZ8" s="6">
        <v>1</v>
      </c>
      <c r="CA8" s="6">
        <v>0</v>
      </c>
      <c r="CB8" s="6">
        <v>2</v>
      </c>
      <c r="CC8" s="6">
        <v>2</v>
      </c>
      <c r="CD8" s="6">
        <v>2</v>
      </c>
      <c r="CE8" s="6">
        <v>1</v>
      </c>
      <c r="CF8" s="6">
        <v>1</v>
      </c>
      <c r="CG8" s="6">
        <v>2</v>
      </c>
      <c r="CH8" s="6">
        <v>1</v>
      </c>
      <c r="CI8" s="6">
        <v>0</v>
      </c>
      <c r="CJ8" s="6">
        <v>1</v>
      </c>
      <c r="CK8" s="6">
        <v>1</v>
      </c>
      <c r="CL8" s="6">
        <v>0</v>
      </c>
      <c r="CM8" s="6">
        <v>1</v>
      </c>
      <c r="CN8" s="6">
        <v>1</v>
      </c>
      <c r="CO8" s="6">
        <v>1</v>
      </c>
      <c r="CP8" s="6">
        <v>2</v>
      </c>
      <c r="CQ8" s="6">
        <v>1</v>
      </c>
      <c r="CR8" s="6">
        <v>2</v>
      </c>
      <c r="CS8" s="6">
        <v>2</v>
      </c>
      <c r="CT8" s="6">
        <v>1</v>
      </c>
      <c r="CU8" s="6">
        <v>2</v>
      </c>
      <c r="CV8" s="6">
        <v>0</v>
      </c>
      <c r="CW8" s="6">
        <v>0</v>
      </c>
      <c r="CX8" s="6">
        <v>1</v>
      </c>
      <c r="CY8" s="6">
        <v>0</v>
      </c>
      <c r="CZ8" s="6">
        <v>1</v>
      </c>
      <c r="DA8" s="6">
        <v>2</v>
      </c>
      <c r="DB8" s="6">
        <v>0</v>
      </c>
      <c r="DC8" s="6">
        <v>1</v>
      </c>
      <c r="DD8" s="6">
        <v>1</v>
      </c>
      <c r="DE8" s="6">
        <v>0</v>
      </c>
      <c r="DF8" s="6">
        <v>2</v>
      </c>
      <c r="DG8" s="6">
        <v>2</v>
      </c>
      <c r="DH8" s="6">
        <v>1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4</v>
      </c>
      <c r="DO8" s="3">
        <f t="shared" si="63"/>
        <v>21</v>
      </c>
      <c r="DP8" s="3">
        <f t="shared" si="64"/>
        <v>12</v>
      </c>
      <c r="DQ8" s="3">
        <f t="shared" si="65"/>
        <v>8</v>
      </c>
      <c r="DR8" s="3" t="s">
        <v>69</v>
      </c>
      <c r="DS8" s="3">
        <f t="shared" si="66"/>
        <v>1</v>
      </c>
      <c r="DT8" s="3">
        <f t="shared" si="67"/>
        <v>2</v>
      </c>
      <c r="DU8" s="3">
        <f t="shared" si="68"/>
        <v>4</v>
      </c>
      <c r="DV8" s="3">
        <f t="shared" si="69"/>
        <v>7</v>
      </c>
      <c r="DW8" s="3">
        <f t="shared" si="70"/>
        <v>4</v>
      </c>
      <c r="DX8" s="3">
        <f t="shared" si="71"/>
        <v>5</v>
      </c>
      <c r="DY8" s="3">
        <f t="shared" si="72"/>
        <v>9</v>
      </c>
      <c r="DZ8" s="3">
        <f t="shared" si="73"/>
        <v>3</v>
      </c>
      <c r="EA8" s="3">
        <f t="shared" si="74"/>
        <v>2</v>
      </c>
      <c r="EB8" s="3" t="s">
        <v>70</v>
      </c>
      <c r="EC8" s="3">
        <f t="shared" si="75"/>
        <v>16</v>
      </c>
      <c r="ED8" s="3" t="s">
        <v>70</v>
      </c>
      <c r="EE8" s="3">
        <f t="shared" si="76"/>
        <v>5</v>
      </c>
      <c r="EF8" s="3">
        <f t="shared" si="77"/>
        <v>2</v>
      </c>
      <c r="EG8" s="3">
        <f t="shared" si="78"/>
        <v>4</v>
      </c>
      <c r="EH8" s="3">
        <f t="shared" si="79"/>
        <v>41</v>
      </c>
      <c r="EI8" s="3">
        <f t="shared" si="80"/>
        <v>18</v>
      </c>
      <c r="EJ8" s="3">
        <f t="shared" si="81"/>
        <v>40</v>
      </c>
      <c r="EK8" s="3">
        <f t="shared" si="82"/>
        <v>6</v>
      </c>
      <c r="EL8" s="24">
        <f t="shared" si="83"/>
        <v>105</v>
      </c>
      <c r="EM8" s="24"/>
      <c r="EN8" s="46">
        <f t="shared" si="84"/>
        <v>40.384615384615387</v>
      </c>
      <c r="EO8" s="46">
        <f t="shared" si="85"/>
        <v>25</v>
      </c>
      <c r="EP8" s="47">
        <f t="shared" si="86"/>
        <v>40</v>
      </c>
      <c r="EQ8" s="3" t="s">
        <v>69</v>
      </c>
      <c r="ER8" s="3">
        <f t="shared" si="87"/>
        <v>5</v>
      </c>
      <c r="ES8" s="3">
        <f t="shared" si="88"/>
        <v>16.666666666666664</v>
      </c>
      <c r="ET8" s="46">
        <f t="shared" si="89"/>
        <v>33.333333333333329</v>
      </c>
      <c r="EU8" s="46">
        <f t="shared" si="90"/>
        <v>43.75</v>
      </c>
      <c r="EV8" s="46">
        <f t="shared" si="91"/>
        <v>33.333333333333329</v>
      </c>
      <c r="EW8" s="46">
        <f t="shared" si="92"/>
        <v>10.416666666666668</v>
      </c>
      <c r="EX8" s="46">
        <f t="shared" si="93"/>
        <v>25</v>
      </c>
      <c r="EY8" s="46">
        <f t="shared" si="94"/>
        <v>25</v>
      </c>
      <c r="EZ8" s="3">
        <f t="shared" si="95"/>
        <v>12.5</v>
      </c>
      <c r="FA8" s="3" t="s">
        <v>70</v>
      </c>
      <c r="FB8" s="3">
        <f t="shared" si="96"/>
        <v>80</v>
      </c>
      <c r="FC8" s="3" t="s">
        <v>70</v>
      </c>
      <c r="FD8" s="46">
        <f t="shared" si="97"/>
        <v>20.833333333333336</v>
      </c>
      <c r="FE8" s="46">
        <f t="shared" si="98"/>
        <v>12.5</v>
      </c>
      <c r="FF8" s="46">
        <f t="shared" si="99"/>
        <v>16.666666666666664</v>
      </c>
      <c r="FG8" s="46">
        <f t="shared" si="100"/>
        <v>34.166666666666664</v>
      </c>
      <c r="FH8" s="46">
        <f t="shared" si="101"/>
        <v>25</v>
      </c>
      <c r="FI8" s="46">
        <f t="shared" si="102"/>
        <v>25.641025641025639</v>
      </c>
      <c r="FJ8" s="3">
        <f t="shared" si="103"/>
        <v>15</v>
      </c>
      <c r="FK8" s="46">
        <f t="shared" si="104"/>
        <v>27.061855670103093</v>
      </c>
      <c r="FM8" s="74">
        <f>EL8+'EXTRALABORAL B '!BH56</f>
        <v>121</v>
      </c>
      <c r="FN8" s="74">
        <f t="shared" si="105"/>
        <v>23.6328125</v>
      </c>
    </row>
    <row r="9" spans="1:170">
      <c r="A9" s="3">
        <v>6</v>
      </c>
      <c r="B9" s="3" t="s">
        <v>147</v>
      </c>
      <c r="C9" s="3">
        <v>7713088</v>
      </c>
      <c r="D9" s="3" t="s">
        <v>105</v>
      </c>
      <c r="E9" s="3">
        <v>1980</v>
      </c>
      <c r="F9" s="3" t="s">
        <v>111</v>
      </c>
      <c r="G9" s="3" t="s">
        <v>127</v>
      </c>
      <c r="H9" s="3" t="s">
        <v>142</v>
      </c>
      <c r="I9" s="3" t="s">
        <v>103</v>
      </c>
      <c r="J9" s="3">
        <v>2</v>
      </c>
      <c r="K9" s="3" t="s">
        <v>95</v>
      </c>
      <c r="L9" s="3">
        <v>2</v>
      </c>
      <c r="M9" s="3" t="s">
        <v>103</v>
      </c>
      <c r="N9" s="3" t="s">
        <v>148</v>
      </c>
      <c r="O9" s="3" t="s">
        <v>149</v>
      </c>
      <c r="P9" s="3" t="s">
        <v>130</v>
      </c>
      <c r="Q9" s="3" t="s">
        <v>148</v>
      </c>
      <c r="R9" s="3" t="s">
        <v>135</v>
      </c>
      <c r="S9" s="3" t="s">
        <v>128</v>
      </c>
      <c r="T9" s="3">
        <v>8</v>
      </c>
      <c r="U9" s="3" t="s">
        <v>116</v>
      </c>
      <c r="V9" s="6">
        <v>0</v>
      </c>
      <c r="W9" s="6">
        <v>1</v>
      </c>
      <c r="X9" s="6">
        <v>1</v>
      </c>
      <c r="Y9" s="6">
        <v>1</v>
      </c>
      <c r="Z9" s="6">
        <v>0</v>
      </c>
      <c r="AA9" s="6">
        <v>1</v>
      </c>
      <c r="AB9" s="6">
        <v>0</v>
      </c>
      <c r="AC9" s="6">
        <v>1</v>
      </c>
      <c r="AD9" s="6">
        <v>0</v>
      </c>
      <c r="AE9" s="6">
        <v>1</v>
      </c>
      <c r="AF9" s="6">
        <v>2</v>
      </c>
      <c r="AG9" s="6">
        <v>0</v>
      </c>
      <c r="AH9" s="6">
        <v>2</v>
      </c>
      <c r="AI9" s="6">
        <v>2</v>
      </c>
      <c r="AJ9" s="6">
        <v>2</v>
      </c>
      <c r="AK9" s="6">
        <v>1</v>
      </c>
      <c r="AL9" s="6">
        <v>2</v>
      </c>
      <c r="AM9" s="6">
        <v>1</v>
      </c>
      <c r="AN9" s="6">
        <v>1</v>
      </c>
      <c r="AO9" s="6">
        <v>2</v>
      </c>
      <c r="AP9" s="6">
        <v>1</v>
      </c>
      <c r="AQ9" s="6">
        <v>0</v>
      </c>
      <c r="AR9" s="6">
        <v>0</v>
      </c>
      <c r="AS9" s="6">
        <v>0</v>
      </c>
      <c r="AT9" s="6">
        <v>1</v>
      </c>
      <c r="AU9" s="6">
        <v>0</v>
      </c>
      <c r="AV9" s="6">
        <v>0</v>
      </c>
      <c r="AW9" s="6">
        <v>0</v>
      </c>
      <c r="AX9" s="6">
        <v>3</v>
      </c>
      <c r="AY9" s="6">
        <v>1</v>
      </c>
      <c r="AZ9" s="6">
        <v>1</v>
      </c>
      <c r="BA9" s="6">
        <v>1</v>
      </c>
      <c r="BB9" s="6">
        <v>1</v>
      </c>
      <c r="BC9" s="6">
        <v>3</v>
      </c>
      <c r="BD9" s="6">
        <v>1</v>
      </c>
      <c r="BE9" s="6">
        <v>3</v>
      </c>
      <c r="BF9" s="6">
        <v>2</v>
      </c>
      <c r="BG9" s="6">
        <v>1</v>
      </c>
      <c r="BH9" s="6">
        <v>1</v>
      </c>
      <c r="BI9" s="6">
        <v>2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1</v>
      </c>
      <c r="BS9" s="6">
        <v>1</v>
      </c>
      <c r="BT9" s="6">
        <v>0</v>
      </c>
      <c r="BU9" s="6">
        <v>1</v>
      </c>
      <c r="BV9" s="6">
        <v>1</v>
      </c>
      <c r="BW9" s="6">
        <v>1</v>
      </c>
      <c r="BX9" s="6">
        <v>1</v>
      </c>
      <c r="BY9" s="6">
        <v>1</v>
      </c>
      <c r="BZ9" s="6">
        <v>1</v>
      </c>
      <c r="CA9" s="6">
        <v>0</v>
      </c>
      <c r="CB9" s="6">
        <v>0</v>
      </c>
      <c r="CC9" s="6">
        <v>0</v>
      </c>
      <c r="CD9" s="6">
        <v>0</v>
      </c>
      <c r="CE9" s="6">
        <v>1</v>
      </c>
      <c r="CF9" s="6">
        <v>0</v>
      </c>
      <c r="CG9" s="6">
        <v>1</v>
      </c>
      <c r="CH9" s="6">
        <v>3</v>
      </c>
      <c r="CI9" s="6">
        <v>0</v>
      </c>
      <c r="CJ9" s="6">
        <v>0</v>
      </c>
      <c r="CK9" s="6">
        <v>0</v>
      </c>
      <c r="CL9" s="6">
        <v>1</v>
      </c>
      <c r="CM9" s="6">
        <v>0</v>
      </c>
      <c r="CN9" s="6">
        <v>1</v>
      </c>
      <c r="CO9" s="6">
        <v>1</v>
      </c>
      <c r="CP9" s="6">
        <v>1</v>
      </c>
      <c r="CQ9" s="6">
        <v>1</v>
      </c>
      <c r="CR9" s="6">
        <v>0</v>
      </c>
      <c r="CS9" s="6">
        <v>0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3</v>
      </c>
      <c r="DG9" s="6">
        <v>2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4</v>
      </c>
      <c r="DO9" s="3">
        <f t="shared" si="63"/>
        <v>8</v>
      </c>
      <c r="DP9" s="3">
        <f t="shared" si="64"/>
        <v>9</v>
      </c>
      <c r="DQ9" s="3">
        <f t="shared" si="65"/>
        <v>1</v>
      </c>
      <c r="DR9" s="3" t="s">
        <v>69</v>
      </c>
      <c r="DS9" s="3">
        <f t="shared" si="66"/>
        <v>0</v>
      </c>
      <c r="DT9" s="3">
        <f t="shared" si="67"/>
        <v>0</v>
      </c>
      <c r="DU9" s="3">
        <f t="shared" si="68"/>
        <v>4</v>
      </c>
      <c r="DV9" s="3">
        <f t="shared" si="69"/>
        <v>6</v>
      </c>
      <c r="DW9" s="3">
        <f t="shared" si="70"/>
        <v>7</v>
      </c>
      <c r="DX9" s="3">
        <f t="shared" si="71"/>
        <v>8</v>
      </c>
      <c r="DY9" s="3">
        <f t="shared" si="72"/>
        <v>9</v>
      </c>
      <c r="DZ9" s="3">
        <f t="shared" si="73"/>
        <v>6</v>
      </c>
      <c r="EA9" s="3">
        <f t="shared" si="74"/>
        <v>1</v>
      </c>
      <c r="EB9" s="3" t="s">
        <v>70</v>
      </c>
      <c r="EC9" s="3">
        <f t="shared" si="75"/>
        <v>7</v>
      </c>
      <c r="ED9" s="3" t="s">
        <v>70</v>
      </c>
      <c r="EE9" s="3">
        <f t="shared" si="76"/>
        <v>4</v>
      </c>
      <c r="EF9" s="3">
        <f t="shared" si="77"/>
        <v>0</v>
      </c>
      <c r="EG9" s="3">
        <f t="shared" si="78"/>
        <v>0</v>
      </c>
      <c r="EH9" s="3">
        <f t="shared" si="79"/>
        <v>18</v>
      </c>
      <c r="EI9" s="3">
        <f t="shared" si="80"/>
        <v>17</v>
      </c>
      <c r="EJ9" s="3">
        <f t="shared" si="81"/>
        <v>35</v>
      </c>
      <c r="EK9" s="3">
        <f t="shared" si="82"/>
        <v>0</v>
      </c>
      <c r="EL9" s="24">
        <f t="shared" si="83"/>
        <v>70</v>
      </c>
      <c r="EM9" s="24"/>
      <c r="EN9" s="46">
        <f t="shared" si="84"/>
        <v>15.384615384615385</v>
      </c>
      <c r="EO9" s="46">
        <f t="shared" si="85"/>
        <v>18.75</v>
      </c>
      <c r="EP9" s="47">
        <f t="shared" si="86"/>
        <v>5</v>
      </c>
      <c r="EQ9" s="3" t="s">
        <v>69</v>
      </c>
      <c r="ER9" s="3">
        <f t="shared" si="87"/>
        <v>0</v>
      </c>
      <c r="ES9" s="3">
        <f t="shared" si="88"/>
        <v>0</v>
      </c>
      <c r="ET9" s="46">
        <f t="shared" si="89"/>
        <v>33.333333333333329</v>
      </c>
      <c r="EU9" s="46">
        <f t="shared" si="90"/>
        <v>37.5</v>
      </c>
      <c r="EV9" s="46">
        <f t="shared" si="91"/>
        <v>58.333333333333336</v>
      </c>
      <c r="EW9" s="46">
        <f t="shared" si="92"/>
        <v>16.666666666666664</v>
      </c>
      <c r="EX9" s="46">
        <f t="shared" si="93"/>
        <v>25</v>
      </c>
      <c r="EY9" s="46">
        <f t="shared" si="94"/>
        <v>50</v>
      </c>
      <c r="EZ9" s="3">
        <f t="shared" si="95"/>
        <v>6.25</v>
      </c>
      <c r="FA9" s="3" t="s">
        <v>70</v>
      </c>
      <c r="FB9" s="3">
        <f t="shared" si="96"/>
        <v>35</v>
      </c>
      <c r="FC9" s="3" t="s">
        <v>70</v>
      </c>
      <c r="FD9" s="46">
        <f t="shared" si="97"/>
        <v>16.666666666666664</v>
      </c>
      <c r="FE9" s="46">
        <f t="shared" si="98"/>
        <v>0</v>
      </c>
      <c r="FF9" s="46">
        <f t="shared" si="99"/>
        <v>0</v>
      </c>
      <c r="FG9" s="46">
        <f t="shared" si="100"/>
        <v>15</v>
      </c>
      <c r="FH9" s="46">
        <f t="shared" si="101"/>
        <v>23.611111111111111</v>
      </c>
      <c r="FI9" s="46">
        <f t="shared" si="102"/>
        <v>22.435897435897438</v>
      </c>
      <c r="FJ9" s="3">
        <f t="shared" si="103"/>
        <v>0</v>
      </c>
      <c r="FK9" s="46">
        <f t="shared" si="104"/>
        <v>18.041237113402062</v>
      </c>
      <c r="FM9" s="74">
        <f>EL9+'EXTRALABORAL B '!BH57</f>
        <v>86</v>
      </c>
      <c r="FN9" s="74">
        <f t="shared" si="105"/>
        <v>16.796875</v>
      </c>
    </row>
    <row r="10" spans="1:170">
      <c r="A10" s="3">
        <v>7</v>
      </c>
      <c r="B10" s="3" t="s">
        <v>150</v>
      </c>
      <c r="C10" s="3">
        <v>7690408</v>
      </c>
      <c r="D10" s="3" t="s">
        <v>105</v>
      </c>
      <c r="E10" s="3">
        <v>1971</v>
      </c>
      <c r="F10" s="3" t="s">
        <v>111</v>
      </c>
      <c r="G10" s="3" t="s">
        <v>127</v>
      </c>
      <c r="H10" s="3" t="s">
        <v>151</v>
      </c>
      <c r="I10" s="3" t="s">
        <v>103</v>
      </c>
      <c r="J10" s="3">
        <v>2</v>
      </c>
      <c r="K10" s="3" t="s">
        <v>115</v>
      </c>
      <c r="L10" s="3">
        <v>2</v>
      </c>
      <c r="M10" s="3" t="s">
        <v>103</v>
      </c>
      <c r="N10" s="3" t="s">
        <v>131</v>
      </c>
      <c r="O10" s="3" t="s">
        <v>152</v>
      </c>
      <c r="P10" s="3" t="s">
        <v>144</v>
      </c>
      <c r="Q10" s="3" t="s">
        <v>131</v>
      </c>
      <c r="R10" s="3" t="s">
        <v>135</v>
      </c>
      <c r="S10" s="3" t="s">
        <v>98</v>
      </c>
      <c r="T10" s="3">
        <v>8</v>
      </c>
      <c r="U10" s="3" t="s">
        <v>116</v>
      </c>
      <c r="V10" s="6">
        <v>1</v>
      </c>
      <c r="W10" s="6">
        <v>1</v>
      </c>
      <c r="X10" s="6">
        <v>2</v>
      </c>
      <c r="Y10" s="6">
        <v>1</v>
      </c>
      <c r="Z10" s="6">
        <v>0</v>
      </c>
      <c r="AA10" s="6">
        <v>1</v>
      </c>
      <c r="AB10" s="6">
        <v>1</v>
      </c>
      <c r="AC10" s="6">
        <v>1</v>
      </c>
      <c r="AD10" s="6">
        <v>0</v>
      </c>
      <c r="AE10" s="6">
        <v>0</v>
      </c>
      <c r="AF10" s="6">
        <v>0</v>
      </c>
      <c r="AG10" s="6">
        <v>1</v>
      </c>
      <c r="AH10" s="6">
        <v>0</v>
      </c>
      <c r="AI10" s="6">
        <v>0</v>
      </c>
      <c r="AJ10" s="6">
        <v>0</v>
      </c>
      <c r="AK10" s="6">
        <v>2</v>
      </c>
      <c r="AL10" s="6">
        <v>4</v>
      </c>
      <c r="AM10" s="6">
        <v>3</v>
      </c>
      <c r="AN10" s="6">
        <v>1</v>
      </c>
      <c r="AO10" s="6">
        <v>2</v>
      </c>
      <c r="AP10" s="6">
        <v>0</v>
      </c>
      <c r="AQ10" s="6">
        <v>0</v>
      </c>
      <c r="AR10" s="6">
        <v>0</v>
      </c>
      <c r="AS10" s="6">
        <v>0</v>
      </c>
      <c r="AT10" s="6">
        <v>1</v>
      </c>
      <c r="AU10" s="6">
        <v>0</v>
      </c>
      <c r="AV10" s="6">
        <v>0</v>
      </c>
      <c r="AW10" s="6">
        <v>0</v>
      </c>
      <c r="AX10" s="6">
        <v>2</v>
      </c>
      <c r="AY10" s="6">
        <v>2</v>
      </c>
      <c r="AZ10" s="6">
        <v>1</v>
      </c>
      <c r="BA10" s="6">
        <v>2</v>
      </c>
      <c r="BB10" s="6">
        <v>0</v>
      </c>
      <c r="BC10" s="6">
        <v>2</v>
      </c>
      <c r="BD10" s="6">
        <v>2</v>
      </c>
      <c r="BE10" s="6">
        <v>2</v>
      </c>
      <c r="BF10" s="6">
        <v>0</v>
      </c>
      <c r="BG10" s="6">
        <v>2</v>
      </c>
      <c r="BH10" s="6">
        <v>2</v>
      </c>
      <c r="BI10" s="6">
        <v>2</v>
      </c>
      <c r="BJ10" s="6">
        <v>3</v>
      </c>
      <c r="BK10" s="6">
        <v>3</v>
      </c>
      <c r="BL10" s="6">
        <v>3</v>
      </c>
      <c r="BM10" s="6">
        <v>2</v>
      </c>
      <c r="BN10" s="6">
        <v>2</v>
      </c>
      <c r="BO10" s="6">
        <v>0</v>
      </c>
      <c r="BP10" s="6">
        <v>1</v>
      </c>
      <c r="BQ10" s="6">
        <v>0</v>
      </c>
      <c r="BR10" s="6">
        <v>3</v>
      </c>
      <c r="BS10" s="6">
        <v>2</v>
      </c>
      <c r="BT10" s="6">
        <v>4</v>
      </c>
      <c r="BU10" s="6">
        <v>4</v>
      </c>
      <c r="BV10" s="6">
        <v>4</v>
      </c>
      <c r="BW10" s="6">
        <v>4</v>
      </c>
      <c r="BX10" s="6">
        <v>4</v>
      </c>
      <c r="BY10" s="6">
        <v>4</v>
      </c>
      <c r="BZ10" s="6">
        <v>1</v>
      </c>
      <c r="CA10" s="6">
        <v>1</v>
      </c>
      <c r="CB10" s="6">
        <v>2</v>
      </c>
      <c r="CC10" s="6">
        <v>1</v>
      </c>
      <c r="CD10" s="6">
        <v>2</v>
      </c>
      <c r="CE10" s="6">
        <v>2</v>
      </c>
      <c r="CF10" s="6">
        <v>1</v>
      </c>
      <c r="CG10" s="6">
        <v>3</v>
      </c>
      <c r="CH10" s="6">
        <v>2</v>
      </c>
      <c r="CI10" s="6">
        <v>2</v>
      </c>
      <c r="CJ10" s="6">
        <v>2</v>
      </c>
      <c r="CK10" s="6">
        <v>4</v>
      </c>
      <c r="CL10" s="6">
        <v>2</v>
      </c>
      <c r="CM10" s="6">
        <v>2</v>
      </c>
      <c r="CN10" s="6">
        <v>2</v>
      </c>
      <c r="CO10" s="6">
        <v>3</v>
      </c>
      <c r="CP10" s="6">
        <v>3</v>
      </c>
      <c r="CQ10" s="6">
        <v>4</v>
      </c>
      <c r="CR10" s="6">
        <v>4</v>
      </c>
      <c r="CS10" s="6">
        <v>4</v>
      </c>
      <c r="CT10" s="6">
        <v>4</v>
      </c>
      <c r="CU10" s="6">
        <v>4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3">
        <f t="shared" si="63"/>
        <v>36</v>
      </c>
      <c r="DP10" s="3">
        <f t="shared" si="64"/>
        <v>28</v>
      </c>
      <c r="DQ10" s="3">
        <f t="shared" si="65"/>
        <v>20</v>
      </c>
      <c r="DR10" s="3" t="s">
        <v>69</v>
      </c>
      <c r="DS10" s="3">
        <f t="shared" si="66"/>
        <v>13</v>
      </c>
      <c r="DT10" s="3">
        <f t="shared" si="67"/>
        <v>1</v>
      </c>
      <c r="DU10" s="3">
        <f t="shared" si="68"/>
        <v>6</v>
      </c>
      <c r="DV10" s="3">
        <f t="shared" si="69"/>
        <v>7</v>
      </c>
      <c r="DW10" s="3">
        <f t="shared" si="70"/>
        <v>6</v>
      </c>
      <c r="DX10" s="3">
        <f t="shared" si="71"/>
        <v>9</v>
      </c>
      <c r="DY10" s="3">
        <f t="shared" si="72"/>
        <v>0</v>
      </c>
      <c r="DZ10" s="3">
        <f t="shared" si="73"/>
        <v>0</v>
      </c>
      <c r="EA10" s="3">
        <f t="shared" si="74"/>
        <v>1</v>
      </c>
      <c r="EB10" s="3" t="s">
        <v>70</v>
      </c>
      <c r="EC10" s="3">
        <f t="shared" si="75"/>
        <v>12</v>
      </c>
      <c r="ED10" s="3" t="s">
        <v>70</v>
      </c>
      <c r="EE10" s="3">
        <f t="shared" si="76"/>
        <v>0</v>
      </c>
      <c r="EF10" s="3">
        <f t="shared" si="77"/>
        <v>0</v>
      </c>
      <c r="EG10" s="3">
        <f t="shared" si="78"/>
        <v>0</v>
      </c>
      <c r="EH10" s="3">
        <f t="shared" si="79"/>
        <v>84</v>
      </c>
      <c r="EI10" s="3">
        <f t="shared" si="80"/>
        <v>33</v>
      </c>
      <c r="EJ10" s="3">
        <f t="shared" si="81"/>
        <v>22</v>
      </c>
      <c r="EK10" s="3">
        <f t="shared" si="82"/>
        <v>0</v>
      </c>
      <c r="EL10" s="24">
        <f t="shared" si="83"/>
        <v>139</v>
      </c>
      <c r="EM10" s="24"/>
      <c r="EN10" s="46">
        <f t="shared" si="84"/>
        <v>69.230769230769226</v>
      </c>
      <c r="EO10" s="46">
        <f t="shared" si="85"/>
        <v>58.333333333333336</v>
      </c>
      <c r="EP10" s="47">
        <f t="shared" si="86"/>
        <v>100</v>
      </c>
      <c r="EQ10" s="3" t="s">
        <v>69</v>
      </c>
      <c r="ER10" s="3">
        <f t="shared" si="87"/>
        <v>65</v>
      </c>
      <c r="ES10" s="3">
        <f t="shared" si="88"/>
        <v>8.3333333333333321</v>
      </c>
      <c r="ET10" s="46">
        <f t="shared" si="89"/>
        <v>50</v>
      </c>
      <c r="EU10" s="46">
        <f t="shared" si="90"/>
        <v>43.75</v>
      </c>
      <c r="EV10" s="46">
        <f t="shared" si="91"/>
        <v>50</v>
      </c>
      <c r="EW10" s="46">
        <f t="shared" si="92"/>
        <v>18.75</v>
      </c>
      <c r="EX10" s="46">
        <f t="shared" si="93"/>
        <v>0</v>
      </c>
      <c r="EY10" s="46">
        <f t="shared" si="94"/>
        <v>0</v>
      </c>
      <c r="EZ10" s="3">
        <f t="shared" si="95"/>
        <v>6.25</v>
      </c>
      <c r="FA10" s="3" t="s">
        <v>70</v>
      </c>
      <c r="FB10" s="3">
        <f t="shared" si="96"/>
        <v>60</v>
      </c>
      <c r="FC10" s="3" t="s">
        <v>70</v>
      </c>
      <c r="FD10" s="46">
        <f t="shared" si="97"/>
        <v>0</v>
      </c>
      <c r="FE10" s="46">
        <f t="shared" si="98"/>
        <v>0</v>
      </c>
      <c r="FF10" s="46">
        <f t="shared" si="99"/>
        <v>0</v>
      </c>
      <c r="FG10" s="46">
        <f t="shared" si="100"/>
        <v>70</v>
      </c>
      <c r="FH10" s="46">
        <f t="shared" si="101"/>
        <v>45.833333333333329</v>
      </c>
      <c r="FI10" s="46">
        <f t="shared" si="102"/>
        <v>14.102564102564102</v>
      </c>
      <c r="FJ10" s="3">
        <f t="shared" si="103"/>
        <v>0</v>
      </c>
      <c r="FK10" s="46">
        <f t="shared" si="104"/>
        <v>35.824742268041234</v>
      </c>
      <c r="FM10" s="74">
        <f>EL10+'EXTRALABORAL B '!BH58</f>
        <v>210</v>
      </c>
      <c r="FN10" s="74">
        <f t="shared" si="105"/>
        <v>41.015625</v>
      </c>
    </row>
    <row r="11" spans="1:170">
      <c r="A11" s="3">
        <v>8</v>
      </c>
      <c r="B11" s="3" t="s">
        <v>153</v>
      </c>
      <c r="C11" s="3">
        <v>1075233572</v>
      </c>
      <c r="D11" s="3" t="s">
        <v>101</v>
      </c>
      <c r="E11" s="3">
        <v>1989</v>
      </c>
      <c r="F11" s="3" t="s">
        <v>110</v>
      </c>
      <c r="G11" s="94" t="s">
        <v>154</v>
      </c>
      <c r="H11" s="94" t="s">
        <v>155</v>
      </c>
      <c r="I11" s="3" t="s">
        <v>103</v>
      </c>
      <c r="J11" s="3">
        <v>2</v>
      </c>
      <c r="K11" s="3" t="s">
        <v>95</v>
      </c>
      <c r="L11" s="3">
        <v>1</v>
      </c>
      <c r="M11" s="3" t="s">
        <v>103</v>
      </c>
      <c r="N11" s="3" t="s">
        <v>128</v>
      </c>
      <c r="O11" s="3" t="s">
        <v>156</v>
      </c>
      <c r="P11" s="3" t="s">
        <v>144</v>
      </c>
      <c r="Q11" s="3" t="s">
        <v>112</v>
      </c>
      <c r="R11" s="3" t="s">
        <v>135</v>
      </c>
      <c r="S11" s="3" t="s">
        <v>128</v>
      </c>
      <c r="T11" s="3">
        <v>8</v>
      </c>
      <c r="U11" s="3" t="s">
        <v>116</v>
      </c>
      <c r="V11" s="6">
        <v>2</v>
      </c>
      <c r="W11" s="6">
        <v>2</v>
      </c>
      <c r="X11" s="6">
        <v>0</v>
      </c>
      <c r="Y11" s="6">
        <v>0</v>
      </c>
      <c r="Z11" s="6">
        <v>0</v>
      </c>
      <c r="AA11" s="6">
        <v>2</v>
      </c>
      <c r="AB11" s="6">
        <v>2</v>
      </c>
      <c r="AC11" s="6">
        <v>1</v>
      </c>
      <c r="AD11" s="6">
        <v>1</v>
      </c>
      <c r="AE11" s="6">
        <v>0</v>
      </c>
      <c r="AF11" s="6">
        <v>2</v>
      </c>
      <c r="AG11" s="6">
        <v>0</v>
      </c>
      <c r="AH11" s="6">
        <v>2</v>
      </c>
      <c r="AI11" s="6">
        <v>2</v>
      </c>
      <c r="AJ11" s="6">
        <v>2</v>
      </c>
      <c r="AK11" s="6">
        <v>3</v>
      </c>
      <c r="AL11" s="6">
        <v>4</v>
      </c>
      <c r="AM11" s="6">
        <v>4</v>
      </c>
      <c r="AN11" s="6">
        <v>3</v>
      </c>
      <c r="AO11" s="6">
        <v>4</v>
      </c>
      <c r="AP11" s="6">
        <v>2</v>
      </c>
      <c r="AQ11" s="6">
        <v>2</v>
      </c>
      <c r="AR11" s="6">
        <v>1</v>
      </c>
      <c r="AS11" s="6">
        <v>3</v>
      </c>
      <c r="AT11" s="6">
        <v>2</v>
      </c>
      <c r="AU11" s="6">
        <v>0</v>
      </c>
      <c r="AV11" s="6">
        <v>2</v>
      </c>
      <c r="AW11" s="6">
        <v>2</v>
      </c>
      <c r="AX11" s="6">
        <v>2</v>
      </c>
      <c r="AY11" s="6">
        <v>2</v>
      </c>
      <c r="AZ11" s="6">
        <v>2</v>
      </c>
      <c r="BA11" s="6">
        <v>0</v>
      </c>
      <c r="BB11" s="6">
        <v>2</v>
      </c>
      <c r="BC11" s="6">
        <v>4</v>
      </c>
      <c r="BD11" s="6">
        <v>2</v>
      </c>
      <c r="BE11" s="6">
        <v>2</v>
      </c>
      <c r="BF11" s="6">
        <v>2</v>
      </c>
      <c r="BG11" s="6">
        <v>1</v>
      </c>
      <c r="BH11" s="6">
        <v>1</v>
      </c>
      <c r="BI11" s="6">
        <v>2</v>
      </c>
      <c r="BJ11" s="6">
        <v>1</v>
      </c>
      <c r="BK11" s="6">
        <v>2</v>
      </c>
      <c r="BL11" s="6">
        <v>2</v>
      </c>
      <c r="BM11" s="6">
        <v>1</v>
      </c>
      <c r="BN11" s="6">
        <v>0</v>
      </c>
      <c r="BO11" s="6">
        <v>0</v>
      </c>
      <c r="BP11" s="6">
        <v>0</v>
      </c>
      <c r="BQ11" s="6">
        <v>0</v>
      </c>
      <c r="BR11" s="6">
        <v>1</v>
      </c>
      <c r="BS11" s="6">
        <v>2</v>
      </c>
      <c r="BT11" s="6">
        <v>2</v>
      </c>
      <c r="BU11" s="6">
        <v>2</v>
      </c>
      <c r="BV11" s="6">
        <v>2</v>
      </c>
      <c r="BW11" s="6">
        <v>1</v>
      </c>
      <c r="BX11" s="6">
        <v>2</v>
      </c>
      <c r="BY11" s="6">
        <v>2</v>
      </c>
      <c r="BZ11" s="6">
        <v>1</v>
      </c>
      <c r="CA11" s="6">
        <v>0</v>
      </c>
      <c r="CB11" s="6">
        <v>1</v>
      </c>
      <c r="CC11" s="6">
        <v>1</v>
      </c>
      <c r="CD11" s="6">
        <v>0</v>
      </c>
      <c r="CE11" s="6">
        <v>2</v>
      </c>
      <c r="CF11" s="6">
        <v>1</v>
      </c>
      <c r="CG11" s="6">
        <v>0</v>
      </c>
      <c r="CH11" s="6">
        <v>0</v>
      </c>
      <c r="CI11" s="6">
        <v>0</v>
      </c>
      <c r="CJ11" s="6">
        <v>0</v>
      </c>
      <c r="CK11" s="6">
        <v>2</v>
      </c>
      <c r="CL11" s="6">
        <v>0</v>
      </c>
      <c r="CM11" s="6">
        <v>2</v>
      </c>
      <c r="CN11" s="6">
        <v>2</v>
      </c>
      <c r="CO11" s="6">
        <v>2</v>
      </c>
      <c r="CP11" s="6">
        <v>2</v>
      </c>
      <c r="CQ11" s="6">
        <v>3</v>
      </c>
      <c r="CR11" s="6">
        <v>2</v>
      </c>
      <c r="CS11" s="6">
        <v>2</v>
      </c>
      <c r="CT11" s="6">
        <v>0</v>
      </c>
      <c r="CU11" s="6">
        <v>2</v>
      </c>
      <c r="CV11" s="6">
        <v>0</v>
      </c>
      <c r="CW11" s="6">
        <v>0</v>
      </c>
      <c r="CX11" s="6">
        <v>1</v>
      </c>
      <c r="CY11" s="6">
        <v>2</v>
      </c>
      <c r="CZ11" s="6">
        <v>1</v>
      </c>
      <c r="DA11" s="6">
        <v>2</v>
      </c>
      <c r="DB11" s="6">
        <v>0</v>
      </c>
      <c r="DC11" s="6">
        <v>0</v>
      </c>
      <c r="DD11" s="6">
        <v>0</v>
      </c>
      <c r="DE11" s="6">
        <v>2</v>
      </c>
      <c r="DF11" s="6">
        <v>2</v>
      </c>
      <c r="DG11" s="6">
        <v>0</v>
      </c>
      <c r="DH11" s="6">
        <v>0</v>
      </c>
      <c r="DI11" s="6">
        <v>2</v>
      </c>
      <c r="DJ11" s="6">
        <v>0</v>
      </c>
      <c r="DK11" s="6">
        <v>0</v>
      </c>
      <c r="DL11" s="6">
        <v>0</v>
      </c>
      <c r="DM11" s="6">
        <v>0</v>
      </c>
      <c r="DN11" s="6">
        <v>4</v>
      </c>
      <c r="DO11" s="3">
        <f t="shared" si="63"/>
        <v>17</v>
      </c>
      <c r="DP11" s="3">
        <f t="shared" si="64"/>
        <v>13</v>
      </c>
      <c r="DQ11" s="3">
        <f t="shared" si="65"/>
        <v>9</v>
      </c>
      <c r="DR11" s="3" t="s">
        <v>69</v>
      </c>
      <c r="DS11" s="3">
        <f t="shared" si="66"/>
        <v>6</v>
      </c>
      <c r="DT11" s="3">
        <f t="shared" si="67"/>
        <v>0</v>
      </c>
      <c r="DU11" s="3">
        <f t="shared" si="68"/>
        <v>4</v>
      </c>
      <c r="DV11" s="3">
        <f t="shared" si="69"/>
        <v>6</v>
      </c>
      <c r="DW11" s="3">
        <f t="shared" si="70"/>
        <v>8</v>
      </c>
      <c r="DX11" s="3">
        <f t="shared" si="71"/>
        <v>12</v>
      </c>
      <c r="DY11" s="3">
        <f t="shared" si="72"/>
        <v>8</v>
      </c>
      <c r="DZ11" s="3">
        <f t="shared" si="73"/>
        <v>6</v>
      </c>
      <c r="EA11" s="3">
        <f t="shared" si="74"/>
        <v>6</v>
      </c>
      <c r="EB11" s="3" t="s">
        <v>70</v>
      </c>
      <c r="EC11" s="3">
        <f t="shared" si="75"/>
        <v>18</v>
      </c>
      <c r="ED11" s="3" t="s">
        <v>70</v>
      </c>
      <c r="EE11" s="3">
        <f t="shared" si="76"/>
        <v>12</v>
      </c>
      <c r="EF11" s="3">
        <f t="shared" si="77"/>
        <v>2</v>
      </c>
      <c r="EG11" s="3">
        <f t="shared" si="78"/>
        <v>6</v>
      </c>
      <c r="EH11" s="3">
        <f t="shared" si="79"/>
        <v>39</v>
      </c>
      <c r="EI11" s="3">
        <f t="shared" si="80"/>
        <v>24</v>
      </c>
      <c r="EJ11" s="3">
        <f t="shared" si="81"/>
        <v>62</v>
      </c>
      <c r="EK11" s="3">
        <f t="shared" si="82"/>
        <v>8</v>
      </c>
      <c r="EL11" s="24">
        <f t="shared" si="83"/>
        <v>133</v>
      </c>
      <c r="EM11" s="24"/>
      <c r="EN11" s="46">
        <f t="shared" si="84"/>
        <v>32.692307692307693</v>
      </c>
      <c r="EO11" s="46">
        <f t="shared" si="85"/>
        <v>27.083333333333332</v>
      </c>
      <c r="EP11" s="47">
        <f t="shared" si="86"/>
        <v>45</v>
      </c>
      <c r="EQ11" s="3" t="s">
        <v>69</v>
      </c>
      <c r="ER11" s="3">
        <f t="shared" si="87"/>
        <v>30</v>
      </c>
      <c r="ES11" s="3">
        <f t="shared" si="88"/>
        <v>0</v>
      </c>
      <c r="ET11" s="46">
        <f t="shared" si="89"/>
        <v>33.333333333333329</v>
      </c>
      <c r="EU11" s="46">
        <f t="shared" si="90"/>
        <v>37.5</v>
      </c>
      <c r="EV11" s="46">
        <f t="shared" si="91"/>
        <v>66.666666666666657</v>
      </c>
      <c r="EW11" s="46">
        <f t="shared" si="92"/>
        <v>25</v>
      </c>
      <c r="EX11" s="46">
        <f t="shared" si="93"/>
        <v>22.222222222222221</v>
      </c>
      <c r="EY11" s="46">
        <f t="shared" si="94"/>
        <v>50</v>
      </c>
      <c r="EZ11" s="3">
        <f t="shared" si="95"/>
        <v>37.5</v>
      </c>
      <c r="FA11" s="3" t="s">
        <v>70</v>
      </c>
      <c r="FB11" s="3">
        <f t="shared" si="96"/>
        <v>90</v>
      </c>
      <c r="FC11" s="3" t="s">
        <v>70</v>
      </c>
      <c r="FD11" s="46">
        <f t="shared" si="97"/>
        <v>50</v>
      </c>
      <c r="FE11" s="46">
        <f t="shared" si="98"/>
        <v>12.5</v>
      </c>
      <c r="FF11" s="46">
        <f t="shared" si="99"/>
        <v>25</v>
      </c>
      <c r="FG11" s="46">
        <f t="shared" si="100"/>
        <v>32.5</v>
      </c>
      <c r="FH11" s="46">
        <f t="shared" si="101"/>
        <v>33.333333333333329</v>
      </c>
      <c r="FI11" s="46">
        <f t="shared" si="102"/>
        <v>39.743589743589745</v>
      </c>
      <c r="FJ11" s="3">
        <f t="shared" si="103"/>
        <v>20</v>
      </c>
      <c r="FK11" s="46">
        <f t="shared" si="104"/>
        <v>34.27835051546392</v>
      </c>
      <c r="FM11" s="74">
        <f>EL11+'EXTRALABORAL B '!BH59</f>
        <v>155</v>
      </c>
      <c r="FN11" s="74">
        <f t="shared" si="105"/>
        <v>30.2734375</v>
      </c>
    </row>
    <row r="12" spans="1:170">
      <c r="A12" s="3">
        <v>9</v>
      </c>
      <c r="B12" s="3" t="s">
        <v>157</v>
      </c>
      <c r="C12" s="3">
        <v>1003827815</v>
      </c>
      <c r="D12" s="3" t="s">
        <v>101</v>
      </c>
      <c r="E12" s="3">
        <v>1988</v>
      </c>
      <c r="F12" s="3" t="s">
        <v>110</v>
      </c>
      <c r="G12" s="3" t="s">
        <v>137</v>
      </c>
      <c r="H12" s="3" t="s">
        <v>142</v>
      </c>
      <c r="I12" s="3" t="s">
        <v>103</v>
      </c>
      <c r="J12" s="3">
        <v>2</v>
      </c>
      <c r="K12" s="3" t="s">
        <v>115</v>
      </c>
      <c r="L12" s="3">
        <v>3</v>
      </c>
      <c r="M12" s="3" t="s">
        <v>103</v>
      </c>
      <c r="N12" s="3" t="s">
        <v>131</v>
      </c>
      <c r="O12" s="3" t="s">
        <v>158</v>
      </c>
      <c r="P12" s="3" t="s">
        <v>130</v>
      </c>
      <c r="Q12" s="3" t="s">
        <v>131</v>
      </c>
      <c r="R12" s="3" t="s">
        <v>159</v>
      </c>
      <c r="S12" s="3" t="s">
        <v>128</v>
      </c>
      <c r="T12" s="3">
        <v>8</v>
      </c>
      <c r="U12" s="3" t="s">
        <v>116</v>
      </c>
      <c r="V12" s="6">
        <v>0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6">
        <v>2</v>
      </c>
      <c r="AC12" s="6">
        <v>1</v>
      </c>
      <c r="AD12" s="6">
        <v>0</v>
      </c>
      <c r="AE12" s="6">
        <v>0</v>
      </c>
      <c r="AF12" s="6">
        <v>2</v>
      </c>
      <c r="AG12" s="6">
        <v>0</v>
      </c>
      <c r="AH12" s="6">
        <v>1</v>
      </c>
      <c r="AI12" s="6">
        <v>0</v>
      </c>
      <c r="AJ12" s="6">
        <v>1</v>
      </c>
      <c r="AK12" s="6">
        <v>0</v>
      </c>
      <c r="AL12" s="6">
        <v>1</v>
      </c>
      <c r="AM12" s="6">
        <v>0</v>
      </c>
      <c r="AN12" s="6">
        <v>0</v>
      </c>
      <c r="AO12" s="6">
        <v>2</v>
      </c>
      <c r="AP12" s="6">
        <v>0</v>
      </c>
      <c r="AQ12" s="6">
        <v>1</v>
      </c>
      <c r="AR12" s="6">
        <v>0</v>
      </c>
      <c r="AS12" s="6">
        <v>3</v>
      </c>
      <c r="AT12" s="6">
        <v>3</v>
      </c>
      <c r="AU12" s="6">
        <v>0</v>
      </c>
      <c r="AV12" s="6">
        <v>0</v>
      </c>
      <c r="AW12" s="6">
        <v>0</v>
      </c>
      <c r="AX12" s="6">
        <v>0</v>
      </c>
      <c r="AY12" s="6">
        <v>2</v>
      </c>
      <c r="AZ12" s="6">
        <v>3</v>
      </c>
      <c r="BA12" s="6">
        <v>1</v>
      </c>
      <c r="BB12" s="6">
        <v>1</v>
      </c>
      <c r="BC12" s="6">
        <v>0</v>
      </c>
      <c r="BD12" s="6">
        <v>0</v>
      </c>
      <c r="BE12" s="6">
        <v>0</v>
      </c>
      <c r="BF12" s="6">
        <v>1</v>
      </c>
      <c r="BG12" s="6">
        <v>1</v>
      </c>
      <c r="BH12" s="6">
        <v>1</v>
      </c>
      <c r="BI12" s="6">
        <v>2</v>
      </c>
      <c r="BJ12" s="6">
        <v>0</v>
      </c>
      <c r="BK12" s="6">
        <v>0</v>
      </c>
      <c r="BL12" s="6">
        <v>1</v>
      </c>
      <c r="BM12" s="6">
        <v>1</v>
      </c>
      <c r="BN12" s="6">
        <v>0</v>
      </c>
      <c r="BO12" s="6">
        <v>0</v>
      </c>
      <c r="BP12" s="6">
        <v>1</v>
      </c>
      <c r="BQ12" s="6">
        <v>1</v>
      </c>
      <c r="BR12" s="6">
        <v>1</v>
      </c>
      <c r="BS12" s="6">
        <v>1</v>
      </c>
      <c r="BT12" s="6">
        <v>2</v>
      </c>
      <c r="BU12" s="6">
        <v>2</v>
      </c>
      <c r="BV12" s="6">
        <v>1</v>
      </c>
      <c r="BW12" s="6">
        <v>2</v>
      </c>
      <c r="BX12" s="6">
        <v>2</v>
      </c>
      <c r="BY12" s="6">
        <v>1</v>
      </c>
      <c r="BZ12" s="6">
        <v>1</v>
      </c>
      <c r="CA12" s="6">
        <v>0</v>
      </c>
      <c r="CB12" s="6">
        <v>0</v>
      </c>
      <c r="CC12" s="6">
        <v>0</v>
      </c>
      <c r="CD12" s="6">
        <v>1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1</v>
      </c>
      <c r="CK12" s="6">
        <v>1</v>
      </c>
      <c r="CL12" s="6">
        <v>0</v>
      </c>
      <c r="CM12" s="6">
        <v>1</v>
      </c>
      <c r="CN12" s="6">
        <v>1</v>
      </c>
      <c r="CO12" s="6">
        <v>1</v>
      </c>
      <c r="CP12" s="6">
        <v>0</v>
      </c>
      <c r="CQ12" s="6">
        <v>1</v>
      </c>
      <c r="CR12" s="6">
        <v>1</v>
      </c>
      <c r="CS12" s="6">
        <v>1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1</v>
      </c>
      <c r="DC12" s="6">
        <v>1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3">
        <f t="shared" si="63"/>
        <v>14</v>
      </c>
      <c r="DP12" s="3">
        <f t="shared" si="64"/>
        <v>5</v>
      </c>
      <c r="DQ12" s="3">
        <f t="shared" si="65"/>
        <v>3</v>
      </c>
      <c r="DR12" s="3" t="s">
        <v>69</v>
      </c>
      <c r="DS12" s="3">
        <f t="shared" si="66"/>
        <v>2</v>
      </c>
      <c r="DT12" s="3">
        <f t="shared" si="67"/>
        <v>2</v>
      </c>
      <c r="DU12" s="3">
        <f t="shared" si="68"/>
        <v>4</v>
      </c>
      <c r="DV12" s="3">
        <f t="shared" si="69"/>
        <v>6</v>
      </c>
      <c r="DW12" s="3">
        <f t="shared" si="70"/>
        <v>0</v>
      </c>
      <c r="DX12" s="3">
        <f t="shared" si="71"/>
        <v>6</v>
      </c>
      <c r="DY12" s="3">
        <f t="shared" si="72"/>
        <v>0</v>
      </c>
      <c r="DZ12" s="3">
        <f t="shared" si="73"/>
        <v>2</v>
      </c>
      <c r="EA12" s="3">
        <f t="shared" si="74"/>
        <v>3</v>
      </c>
      <c r="EB12" s="3" t="s">
        <v>70</v>
      </c>
      <c r="EC12" s="3">
        <f t="shared" si="75"/>
        <v>3</v>
      </c>
      <c r="ED12" s="3" t="s">
        <v>70</v>
      </c>
      <c r="EE12" s="3">
        <f t="shared" si="76"/>
        <v>6</v>
      </c>
      <c r="EF12" s="3">
        <f t="shared" si="77"/>
        <v>2</v>
      </c>
      <c r="EG12" s="3">
        <f t="shared" si="78"/>
        <v>0</v>
      </c>
      <c r="EH12" s="3">
        <f t="shared" si="79"/>
        <v>22</v>
      </c>
      <c r="EI12" s="3">
        <f t="shared" si="80"/>
        <v>14</v>
      </c>
      <c r="EJ12" s="3">
        <f t="shared" si="81"/>
        <v>20</v>
      </c>
      <c r="EK12" s="3">
        <f t="shared" si="82"/>
        <v>2</v>
      </c>
      <c r="EL12" s="24">
        <f t="shared" si="83"/>
        <v>58</v>
      </c>
      <c r="EM12" s="24"/>
      <c r="EN12" s="46">
        <f t="shared" si="84"/>
        <v>26.923076923076923</v>
      </c>
      <c r="EO12" s="46">
        <f t="shared" si="85"/>
        <v>10.416666666666668</v>
      </c>
      <c r="EP12" s="47">
        <f t="shared" si="86"/>
        <v>15</v>
      </c>
      <c r="EQ12" s="3" t="s">
        <v>69</v>
      </c>
      <c r="ER12" s="3">
        <f t="shared" si="87"/>
        <v>10</v>
      </c>
      <c r="ES12" s="3">
        <f t="shared" si="88"/>
        <v>16.666666666666664</v>
      </c>
      <c r="ET12" s="46">
        <f t="shared" si="89"/>
        <v>33.333333333333329</v>
      </c>
      <c r="EU12" s="46">
        <f t="shared" si="90"/>
        <v>37.5</v>
      </c>
      <c r="EV12" s="46">
        <f t="shared" si="91"/>
        <v>0</v>
      </c>
      <c r="EW12" s="46">
        <f t="shared" si="92"/>
        <v>12.5</v>
      </c>
      <c r="EX12" s="46">
        <f t="shared" si="93"/>
        <v>0</v>
      </c>
      <c r="EY12" s="46">
        <f t="shared" si="94"/>
        <v>16.666666666666664</v>
      </c>
      <c r="EZ12" s="3">
        <f t="shared" si="95"/>
        <v>18.75</v>
      </c>
      <c r="FA12" s="3" t="s">
        <v>70</v>
      </c>
      <c r="FB12" s="3">
        <f t="shared" si="96"/>
        <v>15</v>
      </c>
      <c r="FC12" s="3" t="s">
        <v>70</v>
      </c>
      <c r="FD12" s="46">
        <f t="shared" si="97"/>
        <v>25</v>
      </c>
      <c r="FE12" s="46">
        <f t="shared" si="98"/>
        <v>12.5</v>
      </c>
      <c r="FF12" s="46">
        <f t="shared" si="99"/>
        <v>0</v>
      </c>
      <c r="FG12" s="46">
        <f t="shared" si="100"/>
        <v>18.333333333333332</v>
      </c>
      <c r="FH12" s="46">
        <f t="shared" si="101"/>
        <v>19.444444444444446</v>
      </c>
      <c r="FI12" s="46">
        <f t="shared" si="102"/>
        <v>12.820512820512819</v>
      </c>
      <c r="FJ12" s="3">
        <f t="shared" si="103"/>
        <v>5</v>
      </c>
      <c r="FK12" s="46">
        <f t="shared" si="104"/>
        <v>14.948453608247423</v>
      </c>
      <c r="FM12" s="74">
        <f>EL12+'EXTRALABORAL B '!BH60</f>
        <v>90</v>
      </c>
      <c r="FN12" s="74">
        <f t="shared" si="105"/>
        <v>17.578125</v>
      </c>
    </row>
    <row r="13" spans="1:170">
      <c r="A13" s="3">
        <v>10</v>
      </c>
      <c r="B13" s="3" t="s">
        <v>160</v>
      </c>
      <c r="C13" s="3">
        <v>12125388</v>
      </c>
      <c r="D13" s="3" t="s">
        <v>105</v>
      </c>
      <c r="E13" s="3">
        <v>1964</v>
      </c>
      <c r="F13" s="3" t="s">
        <v>100</v>
      </c>
      <c r="G13" s="3" t="s">
        <v>162</v>
      </c>
      <c r="H13" s="3" t="s">
        <v>161</v>
      </c>
      <c r="I13" s="3" t="s">
        <v>103</v>
      </c>
      <c r="J13" s="3">
        <v>2</v>
      </c>
      <c r="K13" s="3" t="s">
        <v>115</v>
      </c>
      <c r="L13" s="3">
        <v>1</v>
      </c>
      <c r="M13" s="3" t="s">
        <v>103</v>
      </c>
      <c r="N13" s="3" t="s">
        <v>128</v>
      </c>
      <c r="O13" s="3" t="s">
        <v>163</v>
      </c>
      <c r="P13" s="3" t="s">
        <v>97</v>
      </c>
      <c r="Q13" s="3" t="s">
        <v>148</v>
      </c>
      <c r="R13" s="3" t="s">
        <v>164</v>
      </c>
      <c r="S13" s="3" t="s">
        <v>114</v>
      </c>
      <c r="T13" s="3">
        <v>8</v>
      </c>
      <c r="U13" s="3" t="s">
        <v>116</v>
      </c>
      <c r="V13" s="6">
        <v>1</v>
      </c>
      <c r="W13" s="6">
        <v>0</v>
      </c>
      <c r="X13" s="6">
        <v>1</v>
      </c>
      <c r="Y13" s="6">
        <v>2</v>
      </c>
      <c r="Z13" s="6">
        <v>0</v>
      </c>
      <c r="AA13" s="6">
        <v>0</v>
      </c>
      <c r="AB13" s="6">
        <v>4</v>
      </c>
      <c r="AC13" s="6">
        <v>0</v>
      </c>
      <c r="AD13" s="6">
        <v>0</v>
      </c>
      <c r="AE13" s="6">
        <v>4</v>
      </c>
      <c r="AF13" s="6">
        <v>4</v>
      </c>
      <c r="AG13" s="6">
        <v>0</v>
      </c>
      <c r="AH13" s="6">
        <v>1</v>
      </c>
      <c r="AI13" s="6">
        <v>1</v>
      </c>
      <c r="AJ13" s="6">
        <v>0</v>
      </c>
      <c r="AK13" s="6">
        <v>3</v>
      </c>
      <c r="AL13" s="6">
        <v>4</v>
      </c>
      <c r="AM13" s="6">
        <v>4</v>
      </c>
      <c r="AN13" s="6">
        <v>4</v>
      </c>
      <c r="AO13" s="6">
        <v>4</v>
      </c>
      <c r="AP13" s="6">
        <v>2</v>
      </c>
      <c r="AQ13" s="6">
        <v>0</v>
      </c>
      <c r="AR13" s="6">
        <v>2</v>
      </c>
      <c r="AS13" s="6">
        <v>0</v>
      </c>
      <c r="AT13" s="6">
        <v>2</v>
      </c>
      <c r="AU13" s="6">
        <v>0</v>
      </c>
      <c r="AV13" s="6">
        <v>2</v>
      </c>
      <c r="AW13" s="6">
        <v>1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1</v>
      </c>
      <c r="BH13" s="6">
        <v>0</v>
      </c>
      <c r="BI13" s="6">
        <v>2</v>
      </c>
      <c r="BJ13" s="6">
        <v>0</v>
      </c>
      <c r="BK13" s="6">
        <v>0</v>
      </c>
      <c r="BL13" s="6">
        <v>0</v>
      </c>
      <c r="BM13" s="6">
        <v>0</v>
      </c>
      <c r="BN13" s="6">
        <v>1</v>
      </c>
      <c r="BO13" s="6">
        <v>0</v>
      </c>
      <c r="BP13" s="6">
        <v>1</v>
      </c>
      <c r="BQ13" s="6">
        <v>2</v>
      </c>
      <c r="BR13" s="6">
        <v>1</v>
      </c>
      <c r="BS13" s="6">
        <v>0</v>
      </c>
      <c r="BT13" s="6">
        <v>0</v>
      </c>
      <c r="BU13" s="6">
        <v>2</v>
      </c>
      <c r="BV13" s="6">
        <v>1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1</v>
      </c>
      <c r="CE13" s="6">
        <v>0</v>
      </c>
      <c r="CF13" s="6">
        <v>2</v>
      </c>
      <c r="CG13" s="6">
        <v>2</v>
      </c>
      <c r="CH13" s="6">
        <v>0</v>
      </c>
      <c r="CI13" s="6">
        <v>1</v>
      </c>
      <c r="CJ13" s="6">
        <v>3</v>
      </c>
      <c r="CK13" s="6">
        <v>2</v>
      </c>
      <c r="CL13" s="6">
        <v>2</v>
      </c>
      <c r="CM13" s="6">
        <v>2</v>
      </c>
      <c r="CN13" s="6">
        <v>2</v>
      </c>
      <c r="CO13" s="6">
        <v>1</v>
      </c>
      <c r="CP13" s="6">
        <v>0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2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2</v>
      </c>
      <c r="DG13" s="6">
        <v>4</v>
      </c>
      <c r="DH13" s="6">
        <v>2</v>
      </c>
      <c r="DI13" s="6">
        <v>4</v>
      </c>
      <c r="DJ13" s="6">
        <v>4</v>
      </c>
      <c r="DK13" s="6">
        <v>2</v>
      </c>
      <c r="DL13" s="6">
        <v>0</v>
      </c>
      <c r="DM13" s="6">
        <v>0</v>
      </c>
      <c r="DN13" s="6">
        <v>4</v>
      </c>
      <c r="DO13" s="3">
        <f t="shared" si="63"/>
        <v>5</v>
      </c>
      <c r="DP13" s="3">
        <f t="shared" si="64"/>
        <v>17</v>
      </c>
      <c r="DQ13" s="3">
        <f t="shared" si="65"/>
        <v>0</v>
      </c>
      <c r="DR13" s="3" t="s">
        <v>69</v>
      </c>
      <c r="DS13" s="3">
        <f t="shared" si="66"/>
        <v>1</v>
      </c>
      <c r="DT13" s="3">
        <f t="shared" si="67"/>
        <v>3</v>
      </c>
      <c r="DU13" s="3">
        <f t="shared" si="68"/>
        <v>3</v>
      </c>
      <c r="DV13" s="3">
        <f t="shared" si="69"/>
        <v>0</v>
      </c>
      <c r="DW13" s="3">
        <f t="shared" si="70"/>
        <v>0</v>
      </c>
      <c r="DX13" s="3">
        <f t="shared" si="71"/>
        <v>16</v>
      </c>
      <c r="DY13" s="3">
        <f t="shared" si="72"/>
        <v>22</v>
      </c>
      <c r="DZ13" s="3">
        <f t="shared" si="73"/>
        <v>2</v>
      </c>
      <c r="EA13" s="3">
        <f t="shared" si="74"/>
        <v>5</v>
      </c>
      <c r="EB13" s="3" t="s">
        <v>70</v>
      </c>
      <c r="EC13" s="3">
        <f t="shared" si="75"/>
        <v>19</v>
      </c>
      <c r="ED13" s="3" t="s">
        <v>70</v>
      </c>
      <c r="EE13" s="3">
        <f t="shared" si="76"/>
        <v>4</v>
      </c>
      <c r="EF13" s="3">
        <f t="shared" si="77"/>
        <v>0</v>
      </c>
      <c r="EG13" s="3">
        <f t="shared" si="78"/>
        <v>2</v>
      </c>
      <c r="EH13" s="3">
        <f t="shared" si="79"/>
        <v>22</v>
      </c>
      <c r="EI13" s="3">
        <f t="shared" si="80"/>
        <v>7</v>
      </c>
      <c r="EJ13" s="3">
        <f t="shared" si="81"/>
        <v>68</v>
      </c>
      <c r="EK13" s="3">
        <f t="shared" si="82"/>
        <v>2</v>
      </c>
      <c r="EL13" s="24">
        <f t="shared" si="83"/>
        <v>99</v>
      </c>
      <c r="EM13" s="24"/>
      <c r="EN13" s="46">
        <f t="shared" si="84"/>
        <v>9.6153846153846168</v>
      </c>
      <c r="EO13" s="46">
        <f t="shared" si="85"/>
        <v>35.416666666666671</v>
      </c>
      <c r="EP13" s="47">
        <f t="shared" si="86"/>
        <v>0</v>
      </c>
      <c r="EQ13" s="3" t="s">
        <v>69</v>
      </c>
      <c r="ER13" s="3">
        <f t="shared" si="87"/>
        <v>5</v>
      </c>
      <c r="ES13" s="3">
        <f t="shared" si="88"/>
        <v>25</v>
      </c>
      <c r="ET13" s="46">
        <f t="shared" si="89"/>
        <v>25</v>
      </c>
      <c r="EU13" s="46">
        <f t="shared" si="90"/>
        <v>0</v>
      </c>
      <c r="EV13" s="46">
        <f t="shared" si="91"/>
        <v>0</v>
      </c>
      <c r="EW13" s="46">
        <f t="shared" si="92"/>
        <v>33.333333333333329</v>
      </c>
      <c r="EX13" s="46">
        <f t="shared" si="93"/>
        <v>61.111111111111114</v>
      </c>
      <c r="EY13" s="46">
        <f t="shared" si="94"/>
        <v>16.666666666666664</v>
      </c>
      <c r="EZ13" s="3">
        <f t="shared" si="95"/>
        <v>31.25</v>
      </c>
      <c r="FA13" s="3" t="s">
        <v>70</v>
      </c>
      <c r="FB13" s="3">
        <f t="shared" si="96"/>
        <v>95</v>
      </c>
      <c r="FC13" s="3" t="s">
        <v>70</v>
      </c>
      <c r="FD13" s="46">
        <f t="shared" si="97"/>
        <v>16.666666666666664</v>
      </c>
      <c r="FE13" s="46">
        <f t="shared" si="98"/>
        <v>0</v>
      </c>
      <c r="FF13" s="46">
        <f t="shared" si="99"/>
        <v>8.3333333333333321</v>
      </c>
      <c r="FG13" s="46">
        <f t="shared" si="100"/>
        <v>18.333333333333332</v>
      </c>
      <c r="FH13" s="46">
        <f t="shared" si="101"/>
        <v>9.7222222222222232</v>
      </c>
      <c r="FI13" s="46">
        <f t="shared" si="102"/>
        <v>43.589743589743591</v>
      </c>
      <c r="FJ13" s="3">
        <f t="shared" si="103"/>
        <v>5</v>
      </c>
      <c r="FK13" s="46">
        <f t="shared" si="104"/>
        <v>25.515463917525771</v>
      </c>
      <c r="FM13" s="74">
        <f>EL13+'EXTRALABORAL B '!BH61</f>
        <v>113</v>
      </c>
      <c r="FN13" s="74">
        <f t="shared" si="105"/>
        <v>22.0703125</v>
      </c>
    </row>
    <row r="14" spans="1:170">
      <c r="A14" s="3">
        <v>11</v>
      </c>
      <c r="B14" s="3" t="s">
        <v>165</v>
      </c>
      <c r="C14" s="3">
        <v>1075310963</v>
      </c>
      <c r="D14" s="3" t="s">
        <v>105</v>
      </c>
      <c r="E14" s="3">
        <v>1998</v>
      </c>
      <c r="F14" s="3" t="s">
        <v>110</v>
      </c>
      <c r="G14" s="3" t="s">
        <v>127</v>
      </c>
      <c r="H14" s="3" t="s">
        <v>166</v>
      </c>
      <c r="I14" s="3" t="s">
        <v>103</v>
      </c>
      <c r="J14" s="3">
        <v>2</v>
      </c>
      <c r="K14" s="3" t="s">
        <v>107</v>
      </c>
      <c r="L14" s="3">
        <v>1</v>
      </c>
      <c r="M14" s="3" t="s">
        <v>103</v>
      </c>
      <c r="N14" s="3" t="s">
        <v>128</v>
      </c>
      <c r="O14" s="3" t="s">
        <v>152</v>
      </c>
      <c r="P14" s="3" t="s">
        <v>144</v>
      </c>
      <c r="Q14" s="3" t="s">
        <v>108</v>
      </c>
      <c r="R14" s="3" t="s">
        <v>135</v>
      </c>
      <c r="S14" s="3" t="s">
        <v>128</v>
      </c>
      <c r="T14" s="3">
        <v>8</v>
      </c>
      <c r="U14" s="3" t="s">
        <v>116</v>
      </c>
      <c r="V14" s="6">
        <v>0</v>
      </c>
      <c r="W14" s="6">
        <v>0</v>
      </c>
      <c r="X14" s="6">
        <v>2</v>
      </c>
      <c r="Y14" s="6">
        <v>0</v>
      </c>
      <c r="Z14" s="6">
        <v>0</v>
      </c>
      <c r="AA14" s="6">
        <v>0</v>
      </c>
      <c r="AB14" s="6">
        <v>3</v>
      </c>
      <c r="AC14" s="6">
        <v>4</v>
      </c>
      <c r="AD14" s="6">
        <v>0</v>
      </c>
      <c r="AE14" s="6">
        <v>2</v>
      </c>
      <c r="AF14" s="6">
        <v>4</v>
      </c>
      <c r="AG14" s="6">
        <v>0</v>
      </c>
      <c r="AH14" s="6">
        <v>1</v>
      </c>
      <c r="AI14" s="6">
        <v>2</v>
      </c>
      <c r="AJ14" s="6">
        <v>1</v>
      </c>
      <c r="AK14" s="6">
        <v>3</v>
      </c>
      <c r="AL14" s="6">
        <v>4</v>
      </c>
      <c r="AM14" s="6">
        <v>4</v>
      </c>
      <c r="AN14" s="6">
        <v>1</v>
      </c>
      <c r="AO14" s="6">
        <v>4</v>
      </c>
      <c r="AP14" s="6">
        <v>0</v>
      </c>
      <c r="AQ14" s="6">
        <v>3</v>
      </c>
      <c r="AR14" s="6">
        <v>0</v>
      </c>
      <c r="AS14" s="6">
        <v>0</v>
      </c>
      <c r="AT14" s="6">
        <v>3</v>
      </c>
      <c r="AU14" s="6">
        <v>1</v>
      </c>
      <c r="AV14" s="6">
        <v>1</v>
      </c>
      <c r="AW14" s="6">
        <v>3</v>
      </c>
      <c r="AX14" s="6">
        <v>2</v>
      </c>
      <c r="AY14" s="6">
        <v>1</v>
      </c>
      <c r="AZ14" s="6">
        <v>1</v>
      </c>
      <c r="BA14" s="6">
        <v>1</v>
      </c>
      <c r="BB14" s="6">
        <v>1</v>
      </c>
      <c r="BC14" s="6">
        <v>2</v>
      </c>
      <c r="BD14" s="6">
        <v>2</v>
      </c>
      <c r="BE14" s="6">
        <v>1</v>
      </c>
      <c r="BF14" s="6">
        <v>2</v>
      </c>
      <c r="BG14" s="6">
        <v>0</v>
      </c>
      <c r="BH14" s="6">
        <v>0</v>
      </c>
      <c r="BI14" s="6">
        <v>3</v>
      </c>
      <c r="BJ14" s="6">
        <v>1</v>
      </c>
      <c r="BK14" s="6">
        <v>1</v>
      </c>
      <c r="BL14" s="6">
        <v>0</v>
      </c>
      <c r="BM14" s="6">
        <v>0</v>
      </c>
      <c r="BN14" s="6">
        <v>1</v>
      </c>
      <c r="BO14" s="6">
        <v>0</v>
      </c>
      <c r="BP14" s="6">
        <v>1</v>
      </c>
      <c r="BQ14" s="6">
        <v>1</v>
      </c>
      <c r="BR14" s="6">
        <v>2</v>
      </c>
      <c r="BS14" s="6">
        <v>2</v>
      </c>
      <c r="BT14" s="6">
        <v>3</v>
      </c>
      <c r="BU14" s="6">
        <v>3</v>
      </c>
      <c r="BV14" s="6">
        <v>2</v>
      </c>
      <c r="BW14" s="6">
        <v>2</v>
      </c>
      <c r="BX14" s="6">
        <v>2</v>
      </c>
      <c r="BY14" s="6">
        <v>2</v>
      </c>
      <c r="BZ14" s="6">
        <v>2</v>
      </c>
      <c r="CA14" s="6">
        <v>1</v>
      </c>
      <c r="CB14" s="6">
        <v>3</v>
      </c>
      <c r="CC14" s="6">
        <v>3</v>
      </c>
      <c r="CD14" s="6">
        <v>3</v>
      </c>
      <c r="CE14" s="6">
        <v>1</v>
      </c>
      <c r="CF14" s="6">
        <v>2</v>
      </c>
      <c r="CG14" s="6">
        <v>4</v>
      </c>
      <c r="CH14" s="6">
        <v>2</v>
      </c>
      <c r="CI14" s="6">
        <v>0</v>
      </c>
      <c r="CJ14" s="6">
        <v>2</v>
      </c>
      <c r="CK14" s="6">
        <v>0</v>
      </c>
      <c r="CL14" s="6">
        <v>0</v>
      </c>
      <c r="CM14" s="6">
        <v>1</v>
      </c>
      <c r="CN14" s="6">
        <v>2</v>
      </c>
      <c r="CO14" s="6">
        <v>1</v>
      </c>
      <c r="CP14" s="6">
        <v>3</v>
      </c>
      <c r="CQ14" s="6">
        <v>3</v>
      </c>
      <c r="CR14" s="6">
        <v>2</v>
      </c>
      <c r="CS14" s="6">
        <v>3</v>
      </c>
      <c r="CT14" s="6">
        <v>4</v>
      </c>
      <c r="CU14" s="6">
        <v>4</v>
      </c>
      <c r="CV14" s="6">
        <v>0</v>
      </c>
      <c r="CW14" s="6">
        <v>0</v>
      </c>
      <c r="CX14" s="6">
        <v>1</v>
      </c>
      <c r="CY14" s="6">
        <v>1</v>
      </c>
      <c r="CZ14" s="6">
        <v>2</v>
      </c>
      <c r="DA14" s="6">
        <v>1</v>
      </c>
      <c r="DB14" s="6">
        <v>0</v>
      </c>
      <c r="DC14" s="6">
        <v>1</v>
      </c>
      <c r="DD14" s="6">
        <v>0</v>
      </c>
      <c r="DE14" s="6">
        <v>0</v>
      </c>
      <c r="DF14" s="6">
        <v>2</v>
      </c>
      <c r="DG14" s="6">
        <v>2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4</v>
      </c>
      <c r="DO14" s="3">
        <f t="shared" si="63"/>
        <v>30</v>
      </c>
      <c r="DP14" s="3">
        <f t="shared" si="64"/>
        <v>18</v>
      </c>
      <c r="DQ14" s="3">
        <f t="shared" si="65"/>
        <v>16</v>
      </c>
      <c r="DR14" s="3" t="s">
        <v>69</v>
      </c>
      <c r="DS14" s="3">
        <f t="shared" si="66"/>
        <v>3</v>
      </c>
      <c r="DT14" s="3">
        <f t="shared" si="67"/>
        <v>2</v>
      </c>
      <c r="DU14" s="3">
        <f t="shared" si="68"/>
        <v>3</v>
      </c>
      <c r="DV14" s="3">
        <f t="shared" si="69"/>
        <v>5</v>
      </c>
      <c r="DW14" s="3">
        <f t="shared" si="70"/>
        <v>5</v>
      </c>
      <c r="DX14" s="3">
        <f t="shared" si="71"/>
        <v>15</v>
      </c>
      <c r="DY14" s="3">
        <f t="shared" si="72"/>
        <v>8</v>
      </c>
      <c r="DZ14" s="3">
        <f t="shared" si="73"/>
        <v>4</v>
      </c>
      <c r="EA14" s="3">
        <f t="shared" si="74"/>
        <v>8</v>
      </c>
      <c r="EB14" s="3" t="s">
        <v>70</v>
      </c>
      <c r="EC14" s="3">
        <f t="shared" si="75"/>
        <v>16</v>
      </c>
      <c r="ED14" s="3" t="s">
        <v>70</v>
      </c>
      <c r="EE14" s="3">
        <f t="shared" si="76"/>
        <v>6</v>
      </c>
      <c r="EF14" s="3">
        <f t="shared" si="77"/>
        <v>1</v>
      </c>
      <c r="EG14" s="3">
        <f t="shared" si="78"/>
        <v>5</v>
      </c>
      <c r="EH14" s="3">
        <f t="shared" si="79"/>
        <v>64</v>
      </c>
      <c r="EI14" s="3">
        <f t="shared" si="80"/>
        <v>18</v>
      </c>
      <c r="EJ14" s="3">
        <f t="shared" si="81"/>
        <v>57</v>
      </c>
      <c r="EK14" s="3">
        <f t="shared" si="82"/>
        <v>6</v>
      </c>
      <c r="EL14" s="24">
        <f t="shared" si="83"/>
        <v>145</v>
      </c>
      <c r="EM14" s="24"/>
      <c r="EN14" s="46">
        <f t="shared" si="84"/>
        <v>57.692307692307686</v>
      </c>
      <c r="EO14" s="46">
        <f t="shared" si="85"/>
        <v>37.5</v>
      </c>
      <c r="EP14" s="47">
        <f t="shared" si="86"/>
        <v>80</v>
      </c>
      <c r="EQ14" s="3" t="s">
        <v>69</v>
      </c>
      <c r="ER14" s="3">
        <f t="shared" si="87"/>
        <v>15</v>
      </c>
      <c r="ES14" s="3">
        <f t="shared" si="88"/>
        <v>16.666666666666664</v>
      </c>
      <c r="ET14" s="46">
        <f t="shared" si="89"/>
        <v>25</v>
      </c>
      <c r="EU14" s="46">
        <f t="shared" si="90"/>
        <v>31.25</v>
      </c>
      <c r="EV14" s="46">
        <f t="shared" si="91"/>
        <v>41.666666666666671</v>
      </c>
      <c r="EW14" s="46">
        <f t="shared" si="92"/>
        <v>31.25</v>
      </c>
      <c r="EX14" s="46">
        <f t="shared" si="93"/>
        <v>22.222222222222221</v>
      </c>
      <c r="EY14" s="46">
        <f t="shared" si="94"/>
        <v>33.333333333333329</v>
      </c>
      <c r="EZ14" s="3">
        <f t="shared" si="95"/>
        <v>50</v>
      </c>
      <c r="FA14" s="3" t="s">
        <v>70</v>
      </c>
      <c r="FB14" s="3">
        <f t="shared" si="96"/>
        <v>80</v>
      </c>
      <c r="FC14" s="3" t="s">
        <v>70</v>
      </c>
      <c r="FD14" s="46">
        <f t="shared" si="97"/>
        <v>25</v>
      </c>
      <c r="FE14" s="46">
        <f t="shared" si="98"/>
        <v>6.25</v>
      </c>
      <c r="FF14" s="46">
        <f t="shared" si="99"/>
        <v>20.833333333333336</v>
      </c>
      <c r="FG14" s="46">
        <f t="shared" si="100"/>
        <v>53.333333333333336</v>
      </c>
      <c r="FH14" s="46">
        <f t="shared" si="101"/>
        <v>25</v>
      </c>
      <c r="FI14" s="46">
        <f t="shared" si="102"/>
        <v>36.538461538461533</v>
      </c>
      <c r="FJ14" s="3">
        <f t="shared" si="103"/>
        <v>15</v>
      </c>
      <c r="FK14" s="46">
        <f t="shared" si="104"/>
        <v>37.371134020618555</v>
      </c>
      <c r="FM14" s="74">
        <f>EL14+'EXTRALABORAL B '!BH62</f>
        <v>151</v>
      </c>
      <c r="FN14" s="74">
        <f t="shared" si="105"/>
        <v>29.4921875</v>
      </c>
    </row>
    <row r="15" spans="1:170">
      <c r="A15" s="3">
        <v>12</v>
      </c>
      <c r="B15" s="3" t="s">
        <v>167</v>
      </c>
      <c r="C15" s="3">
        <v>1007717112</v>
      </c>
      <c r="D15" s="3" t="s">
        <v>101</v>
      </c>
      <c r="E15" s="3">
        <v>2000</v>
      </c>
      <c r="F15" s="3" t="s">
        <v>100</v>
      </c>
      <c r="G15" s="3" t="s">
        <v>162</v>
      </c>
      <c r="H15" s="3" t="s">
        <v>168</v>
      </c>
      <c r="I15" s="3" t="s">
        <v>103</v>
      </c>
      <c r="J15" s="3">
        <v>3</v>
      </c>
      <c r="K15" s="3" t="s">
        <v>115</v>
      </c>
      <c r="L15" s="3">
        <v>0</v>
      </c>
      <c r="M15" s="3" t="s">
        <v>103</v>
      </c>
      <c r="N15" s="3" t="s">
        <v>128</v>
      </c>
      <c r="O15" s="3" t="s">
        <v>143</v>
      </c>
      <c r="P15" s="3" t="s">
        <v>144</v>
      </c>
      <c r="Q15" s="3" t="s">
        <v>169</v>
      </c>
      <c r="R15" s="3" t="s">
        <v>164</v>
      </c>
      <c r="S15" s="3" t="s">
        <v>128</v>
      </c>
      <c r="T15" s="3">
        <v>8</v>
      </c>
      <c r="U15" s="3" t="s">
        <v>116</v>
      </c>
      <c r="V15" s="6">
        <v>0</v>
      </c>
      <c r="W15" s="6">
        <v>0</v>
      </c>
      <c r="X15" s="6">
        <v>1</v>
      </c>
      <c r="Y15" s="6">
        <v>0</v>
      </c>
      <c r="Z15" s="6">
        <v>0</v>
      </c>
      <c r="AA15" s="6">
        <v>0</v>
      </c>
      <c r="AB15" s="6">
        <v>2</v>
      </c>
      <c r="AC15" s="6">
        <v>0</v>
      </c>
      <c r="AD15" s="6">
        <v>0</v>
      </c>
      <c r="AE15" s="6">
        <v>2</v>
      </c>
      <c r="AF15" s="6">
        <v>1</v>
      </c>
      <c r="AG15" s="6">
        <v>0</v>
      </c>
      <c r="AH15" s="6">
        <v>1</v>
      </c>
      <c r="AI15" s="6">
        <v>3</v>
      </c>
      <c r="AJ15" s="6">
        <v>0</v>
      </c>
      <c r="AK15" s="6">
        <v>3</v>
      </c>
      <c r="AL15" s="6">
        <v>4</v>
      </c>
      <c r="AM15" s="6">
        <v>3</v>
      </c>
      <c r="AN15" s="6">
        <v>4</v>
      </c>
      <c r="AO15" s="6">
        <v>4</v>
      </c>
      <c r="AP15" s="6">
        <v>0</v>
      </c>
      <c r="AQ15" s="6">
        <v>4</v>
      </c>
      <c r="AR15" s="6">
        <v>0</v>
      </c>
      <c r="AS15" s="6">
        <v>3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1</v>
      </c>
      <c r="BD15" s="6">
        <v>1</v>
      </c>
      <c r="BE15" s="6">
        <v>0</v>
      </c>
      <c r="BF15" s="6">
        <v>2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1</v>
      </c>
      <c r="CK15" s="6">
        <v>1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2</v>
      </c>
      <c r="DG15" s="6">
        <v>1</v>
      </c>
      <c r="DH15" s="6">
        <v>1</v>
      </c>
      <c r="DI15" s="6">
        <v>0</v>
      </c>
      <c r="DJ15" s="6">
        <v>0</v>
      </c>
      <c r="DK15" s="6">
        <v>1</v>
      </c>
      <c r="DL15" s="6">
        <v>0</v>
      </c>
      <c r="DM15" s="6">
        <v>0</v>
      </c>
      <c r="DN15" s="6">
        <v>4</v>
      </c>
      <c r="DO15" s="3">
        <f t="shared" si="63"/>
        <v>0</v>
      </c>
      <c r="DP15" s="3">
        <f t="shared" si="64"/>
        <v>2</v>
      </c>
      <c r="DQ15" s="3">
        <f t="shared" si="65"/>
        <v>0</v>
      </c>
      <c r="DR15" s="3" t="s">
        <v>69</v>
      </c>
      <c r="DS15" s="3">
        <f t="shared" si="66"/>
        <v>0</v>
      </c>
      <c r="DT15" s="3">
        <f t="shared" si="67"/>
        <v>0</v>
      </c>
      <c r="DU15" s="3">
        <f t="shared" si="68"/>
        <v>0</v>
      </c>
      <c r="DV15" s="3">
        <f t="shared" si="69"/>
        <v>0</v>
      </c>
      <c r="DW15" s="3">
        <f t="shared" si="70"/>
        <v>2</v>
      </c>
      <c r="DX15" s="3">
        <f t="shared" si="71"/>
        <v>6</v>
      </c>
      <c r="DY15" s="3">
        <f t="shared" si="72"/>
        <v>9</v>
      </c>
      <c r="DZ15" s="3">
        <f t="shared" si="73"/>
        <v>4</v>
      </c>
      <c r="EA15" s="3">
        <f t="shared" si="74"/>
        <v>0</v>
      </c>
      <c r="EB15" s="3" t="s">
        <v>70</v>
      </c>
      <c r="EC15" s="3">
        <f t="shared" si="75"/>
        <v>18</v>
      </c>
      <c r="ED15" s="3" t="s">
        <v>70</v>
      </c>
      <c r="EE15" s="3">
        <f t="shared" si="76"/>
        <v>9</v>
      </c>
      <c r="EF15" s="3">
        <f t="shared" si="77"/>
        <v>0</v>
      </c>
      <c r="EG15" s="3">
        <f t="shared" si="78"/>
        <v>0</v>
      </c>
      <c r="EH15" s="3">
        <f t="shared" si="79"/>
        <v>2</v>
      </c>
      <c r="EI15" s="3">
        <f t="shared" si="80"/>
        <v>2</v>
      </c>
      <c r="EJ15" s="3">
        <f t="shared" si="81"/>
        <v>46</v>
      </c>
      <c r="EK15" s="3">
        <f t="shared" si="82"/>
        <v>0</v>
      </c>
      <c r="EL15" s="24">
        <f t="shared" si="83"/>
        <v>50</v>
      </c>
      <c r="EM15" s="24"/>
      <c r="EN15" s="46">
        <f t="shared" si="84"/>
        <v>0</v>
      </c>
      <c r="EO15" s="46">
        <f t="shared" si="85"/>
        <v>4.1666666666666661</v>
      </c>
      <c r="EP15" s="47">
        <f t="shared" si="86"/>
        <v>0</v>
      </c>
      <c r="EQ15" s="3" t="s">
        <v>69</v>
      </c>
      <c r="ER15" s="3">
        <f t="shared" si="87"/>
        <v>0</v>
      </c>
      <c r="ES15" s="3">
        <f t="shared" si="88"/>
        <v>0</v>
      </c>
      <c r="ET15" s="46">
        <f t="shared" si="89"/>
        <v>0</v>
      </c>
      <c r="EU15" s="46">
        <f t="shared" si="90"/>
        <v>0</v>
      </c>
      <c r="EV15" s="46">
        <f t="shared" si="91"/>
        <v>16.666666666666664</v>
      </c>
      <c r="EW15" s="46">
        <f t="shared" si="92"/>
        <v>12.5</v>
      </c>
      <c r="EX15" s="46">
        <f t="shared" si="93"/>
        <v>25</v>
      </c>
      <c r="EY15" s="46">
        <f t="shared" si="94"/>
        <v>33.333333333333329</v>
      </c>
      <c r="EZ15" s="3">
        <f t="shared" si="95"/>
        <v>0</v>
      </c>
      <c r="FA15" s="3" t="s">
        <v>70</v>
      </c>
      <c r="FB15" s="3">
        <f t="shared" si="96"/>
        <v>90</v>
      </c>
      <c r="FC15" s="3" t="s">
        <v>70</v>
      </c>
      <c r="FD15" s="46">
        <f t="shared" si="97"/>
        <v>37.5</v>
      </c>
      <c r="FE15" s="46">
        <f t="shared" si="98"/>
        <v>0</v>
      </c>
      <c r="FF15" s="46">
        <f t="shared" si="99"/>
        <v>0</v>
      </c>
      <c r="FG15" s="46">
        <f t="shared" si="100"/>
        <v>1.6666666666666667</v>
      </c>
      <c r="FH15" s="46">
        <f t="shared" si="101"/>
        <v>2.7777777777777777</v>
      </c>
      <c r="FI15" s="46">
        <f t="shared" si="102"/>
        <v>29.487179487179489</v>
      </c>
      <c r="FJ15" s="3">
        <f t="shared" si="103"/>
        <v>0</v>
      </c>
      <c r="FK15" s="46">
        <f t="shared" si="104"/>
        <v>12.886597938144329</v>
      </c>
      <c r="FM15" s="74">
        <f>EL15+'EXTRALABORAL B '!BH63</f>
        <v>89</v>
      </c>
      <c r="FN15" s="74">
        <f t="shared" si="105"/>
        <v>17.3828125</v>
      </c>
    </row>
    <row r="16" spans="1:170">
      <c r="A16" s="3">
        <v>13</v>
      </c>
      <c r="B16" s="3" t="s">
        <v>170</v>
      </c>
      <c r="C16" s="3">
        <v>1075222642</v>
      </c>
      <c r="D16" s="3" t="s">
        <v>101</v>
      </c>
      <c r="E16" s="3">
        <v>1987</v>
      </c>
      <c r="F16" s="3" t="s">
        <v>109</v>
      </c>
      <c r="G16" s="3" t="s">
        <v>127</v>
      </c>
      <c r="H16" s="3" t="s">
        <v>168</v>
      </c>
      <c r="I16" s="3" t="s">
        <v>103</v>
      </c>
      <c r="J16" s="3">
        <v>2</v>
      </c>
      <c r="K16" s="3" t="s">
        <v>95</v>
      </c>
      <c r="L16" s="3">
        <v>2</v>
      </c>
      <c r="M16" s="3" t="s">
        <v>103</v>
      </c>
      <c r="N16" s="3" t="s">
        <v>128</v>
      </c>
      <c r="O16" s="3" t="s">
        <v>171</v>
      </c>
      <c r="P16" s="3" t="s">
        <v>144</v>
      </c>
      <c r="Q16" s="3" t="s">
        <v>169</v>
      </c>
      <c r="R16" s="3" t="s">
        <v>164</v>
      </c>
      <c r="S16" s="3" t="s">
        <v>128</v>
      </c>
      <c r="T16" s="3">
        <v>8</v>
      </c>
      <c r="U16" s="3" t="s">
        <v>116</v>
      </c>
      <c r="V16" s="6">
        <v>1</v>
      </c>
      <c r="W16" s="6">
        <v>2</v>
      </c>
      <c r="X16" s="6">
        <v>1</v>
      </c>
      <c r="Y16" s="6">
        <v>1</v>
      </c>
      <c r="Z16" s="6">
        <v>0</v>
      </c>
      <c r="AA16" s="6">
        <v>0</v>
      </c>
      <c r="AB16" s="6">
        <v>0</v>
      </c>
      <c r="AC16" s="6">
        <v>1</v>
      </c>
      <c r="AD16" s="6">
        <v>0</v>
      </c>
      <c r="AE16" s="6">
        <v>0</v>
      </c>
      <c r="AF16" s="6">
        <v>1</v>
      </c>
      <c r="AG16" s="6">
        <v>0</v>
      </c>
      <c r="AH16" s="6">
        <v>2</v>
      </c>
      <c r="AI16" s="6">
        <v>1</v>
      </c>
      <c r="AJ16" s="6">
        <v>2</v>
      </c>
      <c r="AK16" s="6">
        <v>2</v>
      </c>
      <c r="AL16" s="6">
        <v>4</v>
      </c>
      <c r="AM16" s="6">
        <v>3</v>
      </c>
      <c r="AN16" s="6">
        <v>4</v>
      </c>
      <c r="AO16" s="6">
        <v>4</v>
      </c>
      <c r="AP16" s="6">
        <v>2</v>
      </c>
      <c r="AQ16" s="6">
        <v>3</v>
      </c>
      <c r="AR16" s="6">
        <v>0</v>
      </c>
      <c r="AS16" s="6">
        <v>0</v>
      </c>
      <c r="AT16" s="6">
        <v>2</v>
      </c>
      <c r="AU16" s="6">
        <v>1</v>
      </c>
      <c r="AV16" s="6">
        <v>3</v>
      </c>
      <c r="AW16" s="6">
        <v>4</v>
      </c>
      <c r="AX16" s="6">
        <v>2</v>
      </c>
      <c r="AY16" s="6">
        <v>2</v>
      </c>
      <c r="AZ16" s="6">
        <v>0</v>
      </c>
      <c r="BA16" s="6">
        <v>2</v>
      </c>
      <c r="BB16" s="6">
        <v>1</v>
      </c>
      <c r="BC16" s="6">
        <v>3</v>
      </c>
      <c r="BD16" s="6">
        <v>2</v>
      </c>
      <c r="BE16" s="6">
        <v>2</v>
      </c>
      <c r="BF16" s="6">
        <v>0</v>
      </c>
      <c r="BG16" s="6">
        <v>1</v>
      </c>
      <c r="BH16" s="6">
        <v>2</v>
      </c>
      <c r="BI16" s="6">
        <v>2</v>
      </c>
      <c r="BJ16" s="6">
        <v>1</v>
      </c>
      <c r="BK16" s="6">
        <v>0</v>
      </c>
      <c r="BL16" s="6">
        <v>1</v>
      </c>
      <c r="BM16" s="6">
        <v>1</v>
      </c>
      <c r="BN16" s="6">
        <v>0</v>
      </c>
      <c r="BO16" s="6">
        <v>0</v>
      </c>
      <c r="BP16" s="6">
        <v>1</v>
      </c>
      <c r="BQ16" s="6">
        <v>1</v>
      </c>
      <c r="BR16" s="6">
        <v>2</v>
      </c>
      <c r="BS16" s="6">
        <v>3</v>
      </c>
      <c r="BT16" s="6">
        <v>2</v>
      </c>
      <c r="BU16" s="6">
        <v>2</v>
      </c>
      <c r="BV16" s="6">
        <v>1</v>
      </c>
      <c r="BW16" s="6">
        <v>1</v>
      </c>
      <c r="BX16" s="6">
        <v>0</v>
      </c>
      <c r="BY16" s="6">
        <v>1</v>
      </c>
      <c r="BZ16" s="6">
        <v>1</v>
      </c>
      <c r="CA16" s="6">
        <v>1</v>
      </c>
      <c r="CB16" s="6">
        <v>1</v>
      </c>
      <c r="CC16" s="6">
        <v>1</v>
      </c>
      <c r="CD16" s="6">
        <v>1</v>
      </c>
      <c r="CE16" s="6">
        <v>1</v>
      </c>
      <c r="CF16" s="6">
        <v>1</v>
      </c>
      <c r="CG16" s="6">
        <v>1</v>
      </c>
      <c r="CH16" s="6">
        <v>2</v>
      </c>
      <c r="CI16" s="6">
        <v>1</v>
      </c>
      <c r="CJ16" s="6">
        <v>1</v>
      </c>
      <c r="CK16" s="6">
        <v>1</v>
      </c>
      <c r="CL16" s="6">
        <v>0</v>
      </c>
      <c r="CM16" s="6">
        <v>1</v>
      </c>
      <c r="CN16" s="6">
        <v>1</v>
      </c>
      <c r="CO16" s="6">
        <v>1</v>
      </c>
      <c r="CP16" s="6">
        <v>1</v>
      </c>
      <c r="CQ16" s="6">
        <v>2</v>
      </c>
      <c r="CR16" s="6">
        <v>3</v>
      </c>
      <c r="CS16" s="6">
        <v>2</v>
      </c>
      <c r="CT16" s="6">
        <v>2</v>
      </c>
      <c r="CU16" s="6">
        <v>2</v>
      </c>
      <c r="CV16" s="6">
        <v>0</v>
      </c>
      <c r="CW16" s="6">
        <v>0</v>
      </c>
      <c r="CX16" s="6">
        <v>1</v>
      </c>
      <c r="CY16" s="6">
        <v>2</v>
      </c>
      <c r="CZ16" s="6">
        <v>2</v>
      </c>
      <c r="DA16" s="6">
        <v>1</v>
      </c>
      <c r="DB16" s="6">
        <v>0</v>
      </c>
      <c r="DC16" s="6">
        <v>0</v>
      </c>
      <c r="DD16" s="6">
        <v>0</v>
      </c>
      <c r="DE16" s="6">
        <v>0</v>
      </c>
      <c r="DF16" s="6">
        <v>2</v>
      </c>
      <c r="DG16" s="6">
        <v>2</v>
      </c>
      <c r="DH16" s="6">
        <v>0</v>
      </c>
      <c r="DI16" s="6">
        <v>1</v>
      </c>
      <c r="DJ16" s="6">
        <v>0</v>
      </c>
      <c r="DK16" s="6">
        <v>1</v>
      </c>
      <c r="DL16" s="6">
        <v>1</v>
      </c>
      <c r="DM16" s="6">
        <v>1</v>
      </c>
      <c r="DN16" s="6">
        <v>4</v>
      </c>
      <c r="DO16" s="3">
        <f t="shared" si="63"/>
        <v>17</v>
      </c>
      <c r="DP16" s="3">
        <f t="shared" si="64"/>
        <v>12</v>
      </c>
      <c r="DQ16" s="3">
        <f t="shared" si="65"/>
        <v>11</v>
      </c>
      <c r="DR16" s="3" t="s">
        <v>69</v>
      </c>
      <c r="DS16" s="3">
        <f t="shared" si="66"/>
        <v>3</v>
      </c>
      <c r="DT16" s="3">
        <f t="shared" si="67"/>
        <v>2</v>
      </c>
      <c r="DU16" s="3">
        <f t="shared" si="68"/>
        <v>5</v>
      </c>
      <c r="DV16" s="3">
        <f t="shared" si="69"/>
        <v>6</v>
      </c>
      <c r="DW16" s="3">
        <f t="shared" si="70"/>
        <v>7</v>
      </c>
      <c r="DX16" s="3">
        <f t="shared" si="71"/>
        <v>7</v>
      </c>
      <c r="DY16" s="3">
        <f t="shared" si="72"/>
        <v>12</v>
      </c>
      <c r="DZ16" s="3">
        <f t="shared" si="73"/>
        <v>5</v>
      </c>
      <c r="EA16" s="3">
        <f t="shared" si="74"/>
        <v>10</v>
      </c>
      <c r="EB16" s="3" t="s">
        <v>70</v>
      </c>
      <c r="EC16" s="3">
        <f t="shared" si="75"/>
        <v>17</v>
      </c>
      <c r="ED16" s="3" t="s">
        <v>70</v>
      </c>
      <c r="EE16" s="3">
        <f t="shared" si="76"/>
        <v>6</v>
      </c>
      <c r="EF16" s="3">
        <f t="shared" si="77"/>
        <v>0</v>
      </c>
      <c r="EG16" s="3">
        <f t="shared" si="78"/>
        <v>6</v>
      </c>
      <c r="EH16" s="3">
        <f t="shared" si="79"/>
        <v>40</v>
      </c>
      <c r="EI16" s="3">
        <f t="shared" si="80"/>
        <v>23</v>
      </c>
      <c r="EJ16" s="3">
        <f t="shared" si="81"/>
        <v>57</v>
      </c>
      <c r="EK16" s="3">
        <f t="shared" si="82"/>
        <v>6</v>
      </c>
      <c r="EL16" s="24">
        <f t="shared" si="83"/>
        <v>126</v>
      </c>
      <c r="EM16" s="24"/>
      <c r="EN16" s="46">
        <f t="shared" si="84"/>
        <v>32.692307692307693</v>
      </c>
      <c r="EO16" s="46">
        <f t="shared" si="85"/>
        <v>25</v>
      </c>
      <c r="EP16" s="47">
        <f t="shared" si="86"/>
        <v>55.000000000000007</v>
      </c>
      <c r="EQ16" s="3" t="s">
        <v>69</v>
      </c>
      <c r="ER16" s="3">
        <f t="shared" si="87"/>
        <v>15</v>
      </c>
      <c r="ES16" s="3">
        <f t="shared" si="88"/>
        <v>16.666666666666664</v>
      </c>
      <c r="ET16" s="46">
        <f t="shared" si="89"/>
        <v>41.666666666666671</v>
      </c>
      <c r="EU16" s="46">
        <f t="shared" si="90"/>
        <v>37.5</v>
      </c>
      <c r="EV16" s="46">
        <f t="shared" si="91"/>
        <v>58.333333333333336</v>
      </c>
      <c r="EW16" s="46">
        <f t="shared" si="92"/>
        <v>14.583333333333334</v>
      </c>
      <c r="EX16" s="46">
        <f t="shared" si="93"/>
        <v>33.333333333333329</v>
      </c>
      <c r="EY16" s="46">
        <f t="shared" si="94"/>
        <v>41.666666666666671</v>
      </c>
      <c r="EZ16" s="3">
        <f t="shared" si="95"/>
        <v>62.5</v>
      </c>
      <c r="FA16" s="3" t="s">
        <v>70</v>
      </c>
      <c r="FB16" s="3">
        <f t="shared" si="96"/>
        <v>85</v>
      </c>
      <c r="FC16" s="3" t="s">
        <v>70</v>
      </c>
      <c r="FD16" s="46">
        <f t="shared" si="97"/>
        <v>25</v>
      </c>
      <c r="FE16" s="46">
        <f t="shared" si="98"/>
        <v>0</v>
      </c>
      <c r="FF16" s="46">
        <f t="shared" si="99"/>
        <v>25</v>
      </c>
      <c r="FG16" s="46">
        <f t="shared" si="100"/>
        <v>33.333333333333329</v>
      </c>
      <c r="FH16" s="46">
        <f t="shared" si="101"/>
        <v>31.944444444444443</v>
      </c>
      <c r="FI16" s="46">
        <f t="shared" si="102"/>
        <v>36.538461538461533</v>
      </c>
      <c r="FJ16" s="3">
        <f t="shared" si="103"/>
        <v>15</v>
      </c>
      <c r="FK16" s="46">
        <f t="shared" si="104"/>
        <v>32.47422680412371</v>
      </c>
      <c r="FM16" s="74">
        <f>EL16+'EXTRALABORAL B '!BH64</f>
        <v>133</v>
      </c>
      <c r="FN16" s="74">
        <f t="shared" si="105"/>
        <v>25.9765625</v>
      </c>
    </row>
    <row r="17" spans="1:170">
      <c r="A17" s="3">
        <v>14</v>
      </c>
      <c r="B17" s="3" t="s">
        <v>172</v>
      </c>
      <c r="C17" s="3">
        <v>88031940</v>
      </c>
      <c r="D17" s="3" t="s">
        <v>105</v>
      </c>
      <c r="E17" s="3">
        <v>1982</v>
      </c>
      <c r="F17" s="3" t="s">
        <v>111</v>
      </c>
      <c r="G17" s="3" t="s">
        <v>173</v>
      </c>
      <c r="H17" s="3" t="s">
        <v>174</v>
      </c>
      <c r="I17" s="3" t="s">
        <v>103</v>
      </c>
      <c r="J17" s="3">
        <v>3</v>
      </c>
      <c r="K17" s="3" t="s">
        <v>107</v>
      </c>
      <c r="L17" s="3">
        <v>1</v>
      </c>
      <c r="M17" s="3" t="s">
        <v>103</v>
      </c>
      <c r="N17" s="3" t="s">
        <v>175</v>
      </c>
      <c r="O17" s="3" t="s">
        <v>176</v>
      </c>
      <c r="P17" s="3" t="s">
        <v>113</v>
      </c>
      <c r="Q17" s="3" t="s">
        <v>119</v>
      </c>
      <c r="R17" s="3" t="s">
        <v>164</v>
      </c>
      <c r="S17" s="3" t="s">
        <v>98</v>
      </c>
      <c r="T17" s="3">
        <v>8</v>
      </c>
      <c r="U17" s="3" t="s">
        <v>116</v>
      </c>
      <c r="V17" s="6">
        <v>0</v>
      </c>
      <c r="W17" s="6">
        <v>0</v>
      </c>
      <c r="X17" s="6">
        <v>2</v>
      </c>
      <c r="Y17" s="6">
        <v>1</v>
      </c>
      <c r="Z17" s="6">
        <v>0</v>
      </c>
      <c r="AA17" s="6">
        <v>0</v>
      </c>
      <c r="AB17" s="6">
        <v>2</v>
      </c>
      <c r="AC17" s="6">
        <v>1</v>
      </c>
      <c r="AD17" s="6">
        <v>1</v>
      </c>
      <c r="AE17" s="6">
        <v>2</v>
      </c>
      <c r="AF17" s="6">
        <v>2</v>
      </c>
      <c r="AG17" s="6">
        <v>1</v>
      </c>
      <c r="AH17" s="6">
        <v>2</v>
      </c>
      <c r="AI17" s="6">
        <v>1</v>
      </c>
      <c r="AJ17" s="6">
        <v>1</v>
      </c>
      <c r="AK17" s="6">
        <v>2</v>
      </c>
      <c r="AL17" s="6">
        <v>3</v>
      </c>
      <c r="AM17" s="6">
        <v>3</v>
      </c>
      <c r="AN17" s="6">
        <v>2</v>
      </c>
      <c r="AO17" s="6">
        <v>4</v>
      </c>
      <c r="AP17" s="6">
        <v>2</v>
      </c>
      <c r="AQ17" s="6">
        <v>1</v>
      </c>
      <c r="AR17" s="6">
        <v>2</v>
      </c>
      <c r="AS17" s="6">
        <v>1</v>
      </c>
      <c r="AT17" s="6">
        <v>2</v>
      </c>
      <c r="AU17" s="6">
        <v>0</v>
      </c>
      <c r="AV17" s="6">
        <v>2</v>
      </c>
      <c r="AW17" s="6">
        <v>1</v>
      </c>
      <c r="AX17" s="6">
        <v>1</v>
      </c>
      <c r="AY17" s="6">
        <v>0</v>
      </c>
      <c r="AZ17" s="6">
        <v>0</v>
      </c>
      <c r="BA17" s="6">
        <v>0</v>
      </c>
      <c r="BB17" s="6">
        <v>0</v>
      </c>
      <c r="BC17" s="6">
        <v>1</v>
      </c>
      <c r="BD17" s="6">
        <v>1</v>
      </c>
      <c r="BE17" s="6">
        <v>2</v>
      </c>
      <c r="BF17" s="6">
        <v>2</v>
      </c>
      <c r="BG17" s="6">
        <v>1</v>
      </c>
      <c r="BH17" s="6">
        <v>0</v>
      </c>
      <c r="BI17" s="6">
        <v>1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1</v>
      </c>
      <c r="BT17" s="6">
        <v>1</v>
      </c>
      <c r="BU17" s="6">
        <v>1</v>
      </c>
      <c r="BV17" s="6">
        <v>0</v>
      </c>
      <c r="BW17" s="6">
        <v>0</v>
      </c>
      <c r="BX17" s="6">
        <v>0</v>
      </c>
      <c r="BY17" s="6">
        <v>0</v>
      </c>
      <c r="BZ17" s="6">
        <v>1</v>
      </c>
      <c r="CA17" s="6">
        <v>0</v>
      </c>
      <c r="CB17" s="6">
        <v>0</v>
      </c>
      <c r="CC17" s="6">
        <v>0</v>
      </c>
      <c r="CD17" s="6">
        <v>0</v>
      </c>
      <c r="CE17" s="6">
        <v>1</v>
      </c>
      <c r="CF17" s="6">
        <v>0</v>
      </c>
      <c r="CG17" s="6">
        <v>1</v>
      </c>
      <c r="CH17" s="6">
        <v>1</v>
      </c>
      <c r="CI17" s="6">
        <v>0</v>
      </c>
      <c r="CJ17" s="6">
        <v>1</v>
      </c>
      <c r="CK17" s="6">
        <v>2</v>
      </c>
      <c r="CL17" s="6">
        <v>0</v>
      </c>
      <c r="CM17" s="6">
        <v>1</v>
      </c>
      <c r="CN17" s="6">
        <v>0</v>
      </c>
      <c r="CO17" s="6">
        <v>1</v>
      </c>
      <c r="CP17" s="6">
        <v>1</v>
      </c>
      <c r="CQ17" s="6">
        <v>1</v>
      </c>
      <c r="CR17" s="6">
        <v>2</v>
      </c>
      <c r="CS17" s="6">
        <v>1</v>
      </c>
      <c r="CT17" s="6">
        <v>1</v>
      </c>
      <c r="CU17" s="6">
        <v>2</v>
      </c>
      <c r="CV17" s="6">
        <v>0</v>
      </c>
      <c r="CW17" s="6">
        <v>0</v>
      </c>
      <c r="CX17" s="6">
        <v>0</v>
      </c>
      <c r="CY17" s="6">
        <v>0</v>
      </c>
      <c r="CZ17" s="6">
        <v>1</v>
      </c>
      <c r="DA17" s="6">
        <v>1</v>
      </c>
      <c r="DB17" s="6">
        <v>0</v>
      </c>
      <c r="DC17" s="6">
        <v>0</v>
      </c>
      <c r="DD17" s="6">
        <v>0</v>
      </c>
      <c r="DE17" s="6">
        <v>0</v>
      </c>
      <c r="DF17" s="6">
        <v>2</v>
      </c>
      <c r="DG17" s="6">
        <v>3</v>
      </c>
      <c r="DH17" s="6">
        <v>1</v>
      </c>
      <c r="DI17" s="6">
        <v>1</v>
      </c>
      <c r="DJ17" s="6">
        <v>3</v>
      </c>
      <c r="DK17" s="6">
        <v>1</v>
      </c>
      <c r="DL17" s="6">
        <v>0</v>
      </c>
      <c r="DM17" s="6">
        <v>0</v>
      </c>
      <c r="DN17" s="6">
        <v>3</v>
      </c>
      <c r="DO17" s="3">
        <f t="shared" si="63"/>
        <v>4</v>
      </c>
      <c r="DP17" s="3">
        <f t="shared" si="64"/>
        <v>9</v>
      </c>
      <c r="DQ17" s="3">
        <f t="shared" si="65"/>
        <v>7</v>
      </c>
      <c r="DR17" s="3" t="s">
        <v>69</v>
      </c>
      <c r="DS17" s="3">
        <f t="shared" si="66"/>
        <v>0</v>
      </c>
      <c r="DT17" s="3">
        <f t="shared" si="67"/>
        <v>0</v>
      </c>
      <c r="DU17" s="3">
        <f t="shared" si="68"/>
        <v>2</v>
      </c>
      <c r="DV17" s="3">
        <f t="shared" si="69"/>
        <v>1</v>
      </c>
      <c r="DW17" s="3">
        <f t="shared" si="70"/>
        <v>4</v>
      </c>
      <c r="DX17" s="3">
        <f t="shared" si="71"/>
        <v>12</v>
      </c>
      <c r="DY17" s="3">
        <f t="shared" si="72"/>
        <v>14</v>
      </c>
      <c r="DZ17" s="3">
        <f t="shared" si="73"/>
        <v>4</v>
      </c>
      <c r="EA17" s="3">
        <f t="shared" si="74"/>
        <v>5</v>
      </c>
      <c r="EB17" s="3" t="s">
        <v>70</v>
      </c>
      <c r="EC17" s="3">
        <f t="shared" si="75"/>
        <v>14</v>
      </c>
      <c r="ED17" s="3" t="s">
        <v>70</v>
      </c>
      <c r="EE17" s="3">
        <f t="shared" si="76"/>
        <v>8</v>
      </c>
      <c r="EF17" s="3">
        <f t="shared" si="77"/>
        <v>0</v>
      </c>
      <c r="EG17" s="3">
        <f t="shared" si="78"/>
        <v>2</v>
      </c>
      <c r="EH17" s="3">
        <f t="shared" si="79"/>
        <v>20</v>
      </c>
      <c r="EI17" s="3">
        <f t="shared" si="80"/>
        <v>7</v>
      </c>
      <c r="EJ17" s="3">
        <f t="shared" si="81"/>
        <v>57</v>
      </c>
      <c r="EK17" s="3">
        <f t="shared" si="82"/>
        <v>2</v>
      </c>
      <c r="EL17" s="24">
        <f t="shared" si="83"/>
        <v>86</v>
      </c>
      <c r="EM17" s="24"/>
      <c r="EN17" s="46">
        <f t="shared" si="84"/>
        <v>7.6923076923076925</v>
      </c>
      <c r="EO17" s="46">
        <f t="shared" si="85"/>
        <v>18.75</v>
      </c>
      <c r="EP17" s="47">
        <f t="shared" si="86"/>
        <v>35</v>
      </c>
      <c r="EQ17" s="3" t="s">
        <v>69</v>
      </c>
      <c r="ER17" s="3">
        <f t="shared" si="87"/>
        <v>0</v>
      </c>
      <c r="ES17" s="3">
        <f t="shared" si="88"/>
        <v>0</v>
      </c>
      <c r="ET17" s="46">
        <f t="shared" si="89"/>
        <v>16.666666666666664</v>
      </c>
      <c r="EU17" s="46">
        <f t="shared" si="90"/>
        <v>6.25</v>
      </c>
      <c r="EV17" s="46">
        <f t="shared" si="91"/>
        <v>33.333333333333329</v>
      </c>
      <c r="EW17" s="46">
        <f t="shared" si="92"/>
        <v>25</v>
      </c>
      <c r="EX17" s="46">
        <f t="shared" si="93"/>
        <v>38.888888888888893</v>
      </c>
      <c r="EY17" s="46">
        <f t="shared" si="94"/>
        <v>33.333333333333329</v>
      </c>
      <c r="EZ17" s="3">
        <f t="shared" si="95"/>
        <v>31.25</v>
      </c>
      <c r="FA17" s="3" t="s">
        <v>70</v>
      </c>
      <c r="FB17" s="3">
        <f t="shared" si="96"/>
        <v>70</v>
      </c>
      <c r="FC17" s="3" t="s">
        <v>70</v>
      </c>
      <c r="FD17" s="46">
        <f t="shared" si="97"/>
        <v>33.333333333333329</v>
      </c>
      <c r="FE17" s="46">
        <f t="shared" si="98"/>
        <v>0</v>
      </c>
      <c r="FF17" s="46">
        <f t="shared" si="99"/>
        <v>8.3333333333333321</v>
      </c>
      <c r="FG17" s="46">
        <f t="shared" si="100"/>
        <v>16.666666666666664</v>
      </c>
      <c r="FH17" s="46">
        <f t="shared" si="101"/>
        <v>9.7222222222222232</v>
      </c>
      <c r="FI17" s="46">
        <f t="shared" si="102"/>
        <v>36.538461538461533</v>
      </c>
      <c r="FJ17" s="3">
        <f t="shared" si="103"/>
        <v>5</v>
      </c>
      <c r="FK17" s="46">
        <f t="shared" si="104"/>
        <v>22.164948453608247</v>
      </c>
      <c r="FM17" s="74">
        <f>EL17+'EXTRALABORAL B '!BH65</f>
        <v>101</v>
      </c>
      <c r="FN17" s="74">
        <f t="shared" si="105"/>
        <v>19.7265625</v>
      </c>
    </row>
    <row r="18" spans="1:170">
      <c r="A18" s="3">
        <v>15</v>
      </c>
      <c r="B18" s="3" t="s">
        <v>177</v>
      </c>
      <c r="C18" s="3">
        <v>1075233459</v>
      </c>
      <c r="D18" s="3" t="s">
        <v>105</v>
      </c>
      <c r="E18" s="3">
        <v>1988</v>
      </c>
      <c r="F18" s="3" t="s">
        <v>100</v>
      </c>
      <c r="G18" s="3" t="s">
        <v>178</v>
      </c>
      <c r="H18" s="3" t="s">
        <v>122</v>
      </c>
      <c r="I18" s="3" t="s">
        <v>103</v>
      </c>
      <c r="J18" s="3">
        <v>2</v>
      </c>
      <c r="K18" s="3" t="s">
        <v>107</v>
      </c>
      <c r="L18" s="3">
        <v>3</v>
      </c>
      <c r="M18" s="3" t="s">
        <v>103</v>
      </c>
      <c r="N18" s="3" t="s">
        <v>131</v>
      </c>
      <c r="O18" s="3" t="s">
        <v>123</v>
      </c>
      <c r="P18" s="3" t="s">
        <v>113</v>
      </c>
      <c r="Q18" s="3" t="s">
        <v>131</v>
      </c>
      <c r="R18" s="3" t="s">
        <v>124</v>
      </c>
      <c r="S18" s="3" t="s">
        <v>128</v>
      </c>
      <c r="T18" s="3">
        <v>8</v>
      </c>
      <c r="U18" s="3" t="s">
        <v>116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2</v>
      </c>
      <c r="AC18" s="6">
        <v>2</v>
      </c>
      <c r="AD18" s="6">
        <v>1</v>
      </c>
      <c r="AE18" s="6">
        <v>3</v>
      </c>
      <c r="AF18" s="6">
        <v>1</v>
      </c>
      <c r="AG18" s="6">
        <v>0</v>
      </c>
      <c r="AH18" s="6">
        <v>3</v>
      </c>
      <c r="AI18" s="6">
        <v>2</v>
      </c>
      <c r="AJ18" s="6">
        <v>1</v>
      </c>
      <c r="AK18" s="6">
        <v>2</v>
      </c>
      <c r="AL18" s="6">
        <v>3</v>
      </c>
      <c r="AM18" s="6">
        <v>3</v>
      </c>
      <c r="AN18" s="6">
        <v>2</v>
      </c>
      <c r="AO18" s="6">
        <v>3</v>
      </c>
      <c r="AP18" s="6">
        <v>3</v>
      </c>
      <c r="AQ18" s="6">
        <v>2</v>
      </c>
      <c r="AR18" s="6">
        <v>0</v>
      </c>
      <c r="AS18" s="6">
        <v>3</v>
      </c>
      <c r="AT18" s="6">
        <v>1</v>
      </c>
      <c r="AU18" s="6">
        <v>4</v>
      </c>
      <c r="AV18" s="6">
        <v>1</v>
      </c>
      <c r="AW18" s="6">
        <v>2</v>
      </c>
      <c r="AX18" s="6">
        <v>4</v>
      </c>
      <c r="AY18" s="6">
        <v>3</v>
      </c>
      <c r="AZ18" s="6">
        <v>1</v>
      </c>
      <c r="BA18" s="6">
        <v>0</v>
      </c>
      <c r="BB18" s="6">
        <v>0</v>
      </c>
      <c r="BC18" s="6">
        <v>0</v>
      </c>
      <c r="BD18" s="6">
        <v>3</v>
      </c>
      <c r="BE18" s="6">
        <v>2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1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1</v>
      </c>
      <c r="CU18" s="6">
        <v>0</v>
      </c>
      <c r="CV18" s="6">
        <v>0</v>
      </c>
      <c r="CW18" s="6">
        <v>0</v>
      </c>
      <c r="CX18" s="6">
        <v>1</v>
      </c>
      <c r="CY18" s="6">
        <v>2</v>
      </c>
      <c r="CZ18" s="6">
        <v>2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2</v>
      </c>
      <c r="DG18" s="6">
        <v>2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4</v>
      </c>
      <c r="DO18" s="3">
        <f t="shared" si="63"/>
        <v>1</v>
      </c>
      <c r="DP18" s="3">
        <f t="shared" si="64"/>
        <v>0</v>
      </c>
      <c r="DQ18" s="3">
        <f t="shared" si="65"/>
        <v>1</v>
      </c>
      <c r="DR18" s="3" t="s">
        <v>69</v>
      </c>
      <c r="DS18" s="3">
        <f t="shared" si="66"/>
        <v>0</v>
      </c>
      <c r="DT18" s="3">
        <f t="shared" si="67"/>
        <v>0</v>
      </c>
      <c r="DU18" s="3">
        <f t="shared" si="68"/>
        <v>0</v>
      </c>
      <c r="DV18" s="3">
        <f t="shared" si="69"/>
        <v>8</v>
      </c>
      <c r="DW18" s="3">
        <f t="shared" si="70"/>
        <v>5</v>
      </c>
      <c r="DX18" s="3">
        <f t="shared" si="71"/>
        <v>9</v>
      </c>
      <c r="DY18" s="3">
        <f t="shared" si="72"/>
        <v>8</v>
      </c>
      <c r="DZ18" s="3">
        <f t="shared" si="73"/>
        <v>6</v>
      </c>
      <c r="EA18" s="3">
        <f t="shared" si="74"/>
        <v>8</v>
      </c>
      <c r="EB18" s="3" t="s">
        <v>70</v>
      </c>
      <c r="EC18" s="3">
        <f t="shared" si="75"/>
        <v>13</v>
      </c>
      <c r="ED18" s="3" t="s">
        <v>70</v>
      </c>
      <c r="EE18" s="3">
        <f t="shared" si="76"/>
        <v>8</v>
      </c>
      <c r="EF18" s="3">
        <f t="shared" si="77"/>
        <v>0</v>
      </c>
      <c r="EG18" s="3">
        <f t="shared" si="78"/>
        <v>5</v>
      </c>
      <c r="EH18" s="3">
        <f t="shared" si="79"/>
        <v>2</v>
      </c>
      <c r="EI18" s="3">
        <f t="shared" si="80"/>
        <v>13</v>
      </c>
      <c r="EJ18" s="3">
        <f t="shared" si="81"/>
        <v>52</v>
      </c>
      <c r="EK18" s="3">
        <f t="shared" si="82"/>
        <v>5</v>
      </c>
      <c r="EL18" s="24">
        <f t="shared" si="83"/>
        <v>72</v>
      </c>
      <c r="EM18" s="24"/>
      <c r="EN18" s="46">
        <f t="shared" si="84"/>
        <v>1.9230769230769231</v>
      </c>
      <c r="EO18" s="46">
        <f t="shared" si="85"/>
        <v>0</v>
      </c>
      <c r="EP18" s="47">
        <f t="shared" si="86"/>
        <v>5</v>
      </c>
      <c r="EQ18" s="3" t="s">
        <v>69</v>
      </c>
      <c r="ER18" s="3">
        <f t="shared" si="87"/>
        <v>0</v>
      </c>
      <c r="ES18" s="3">
        <f t="shared" si="88"/>
        <v>0</v>
      </c>
      <c r="ET18" s="46">
        <f t="shared" si="89"/>
        <v>0</v>
      </c>
      <c r="EU18" s="46">
        <f t="shared" si="90"/>
        <v>50</v>
      </c>
      <c r="EV18" s="46">
        <f t="shared" si="91"/>
        <v>41.666666666666671</v>
      </c>
      <c r="EW18" s="46">
        <f t="shared" si="92"/>
        <v>18.75</v>
      </c>
      <c r="EX18" s="46">
        <f t="shared" si="93"/>
        <v>22.222222222222221</v>
      </c>
      <c r="EY18" s="46">
        <f t="shared" si="94"/>
        <v>50</v>
      </c>
      <c r="EZ18" s="3">
        <f t="shared" si="95"/>
        <v>50</v>
      </c>
      <c r="FA18" s="3" t="s">
        <v>70</v>
      </c>
      <c r="FB18" s="3">
        <f t="shared" si="96"/>
        <v>65</v>
      </c>
      <c r="FC18" s="3" t="s">
        <v>70</v>
      </c>
      <c r="FD18" s="46">
        <f t="shared" si="97"/>
        <v>33.333333333333329</v>
      </c>
      <c r="FE18" s="46">
        <f t="shared" si="98"/>
        <v>0</v>
      </c>
      <c r="FF18" s="46">
        <f t="shared" si="99"/>
        <v>20.833333333333336</v>
      </c>
      <c r="FG18" s="46">
        <f t="shared" si="100"/>
        <v>1.6666666666666667</v>
      </c>
      <c r="FH18" s="46">
        <f t="shared" si="101"/>
        <v>18.055555555555554</v>
      </c>
      <c r="FI18" s="46">
        <f t="shared" si="102"/>
        <v>33.333333333333329</v>
      </c>
      <c r="FJ18" s="3">
        <f t="shared" si="103"/>
        <v>12.5</v>
      </c>
      <c r="FK18" s="46">
        <f t="shared" si="104"/>
        <v>18.556701030927837</v>
      </c>
      <c r="FM18" s="74">
        <f>EL18+'EXTRALABORAL B '!BH66</f>
        <v>106</v>
      </c>
      <c r="FN18" s="74">
        <f t="shared" si="105"/>
        <v>20.703125</v>
      </c>
    </row>
    <row r="19" spans="1:170">
      <c r="A19" s="3">
        <v>16</v>
      </c>
      <c r="B19" s="3"/>
      <c r="C19" s="3"/>
      <c r="D19" s="3" t="s">
        <v>105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3">
        <f t="shared" si="63"/>
        <v>0</v>
      </c>
      <c r="DP19" s="3">
        <f t="shared" si="64"/>
        <v>0</v>
      </c>
      <c r="DQ19" s="3">
        <f t="shared" si="65"/>
        <v>0</v>
      </c>
      <c r="DR19" s="3" t="s">
        <v>69</v>
      </c>
      <c r="DS19" s="3">
        <f t="shared" si="66"/>
        <v>0</v>
      </c>
      <c r="DT19" s="3">
        <f t="shared" si="67"/>
        <v>0</v>
      </c>
      <c r="DU19" s="3">
        <f t="shared" si="68"/>
        <v>0</v>
      </c>
      <c r="DV19" s="3">
        <f t="shared" si="69"/>
        <v>0</v>
      </c>
      <c r="DW19" s="3">
        <f t="shared" si="70"/>
        <v>0</v>
      </c>
      <c r="DX19" s="3">
        <f t="shared" si="71"/>
        <v>0</v>
      </c>
      <c r="DY19" s="3">
        <f t="shared" si="72"/>
        <v>0</v>
      </c>
      <c r="DZ19" s="3">
        <f t="shared" si="73"/>
        <v>0</v>
      </c>
      <c r="EA19" s="3">
        <f t="shared" si="74"/>
        <v>0</v>
      </c>
      <c r="EB19" s="3" t="s">
        <v>70</v>
      </c>
      <c r="EC19" s="3">
        <f t="shared" si="75"/>
        <v>0</v>
      </c>
      <c r="ED19" s="3" t="s">
        <v>70</v>
      </c>
      <c r="EE19" s="3">
        <f t="shared" si="76"/>
        <v>0</v>
      </c>
      <c r="EF19" s="3">
        <f t="shared" si="77"/>
        <v>0</v>
      </c>
      <c r="EG19" s="3">
        <f t="shared" si="78"/>
        <v>0</v>
      </c>
      <c r="EH19" s="3">
        <f t="shared" si="79"/>
        <v>0</v>
      </c>
      <c r="EI19" s="3">
        <f t="shared" si="80"/>
        <v>0</v>
      </c>
      <c r="EJ19" s="3">
        <f t="shared" si="81"/>
        <v>0</v>
      </c>
      <c r="EK19" s="3">
        <f t="shared" si="82"/>
        <v>0</v>
      </c>
      <c r="EL19" s="24">
        <f t="shared" si="83"/>
        <v>0</v>
      </c>
      <c r="EM19" s="24"/>
      <c r="EN19" s="46">
        <f t="shared" si="84"/>
        <v>0</v>
      </c>
      <c r="EO19" s="46">
        <f t="shared" si="85"/>
        <v>0</v>
      </c>
      <c r="EP19" s="47">
        <f t="shared" si="86"/>
        <v>0</v>
      </c>
      <c r="EQ19" s="3" t="s">
        <v>69</v>
      </c>
      <c r="ER19" s="3">
        <f t="shared" si="87"/>
        <v>0</v>
      </c>
      <c r="ES19" s="3">
        <f t="shared" si="88"/>
        <v>0</v>
      </c>
      <c r="ET19" s="46">
        <f t="shared" si="89"/>
        <v>0</v>
      </c>
      <c r="EU19" s="46">
        <f t="shared" si="90"/>
        <v>0</v>
      </c>
      <c r="EV19" s="46">
        <f t="shared" si="91"/>
        <v>0</v>
      </c>
      <c r="EW19" s="46">
        <f t="shared" si="92"/>
        <v>0</v>
      </c>
      <c r="EX19" s="46">
        <f t="shared" si="93"/>
        <v>0</v>
      </c>
      <c r="EY19" s="46">
        <f t="shared" si="94"/>
        <v>0</v>
      </c>
      <c r="EZ19" s="3">
        <f t="shared" si="95"/>
        <v>0</v>
      </c>
      <c r="FA19" s="3" t="s">
        <v>70</v>
      </c>
      <c r="FB19" s="3">
        <f t="shared" si="96"/>
        <v>0</v>
      </c>
      <c r="FC19" s="3" t="s">
        <v>70</v>
      </c>
      <c r="FD19" s="46">
        <f t="shared" si="97"/>
        <v>0</v>
      </c>
      <c r="FE19" s="46">
        <f t="shared" si="98"/>
        <v>0</v>
      </c>
      <c r="FF19" s="46">
        <f t="shared" si="99"/>
        <v>0</v>
      </c>
      <c r="FG19" s="46">
        <f t="shared" si="100"/>
        <v>0</v>
      </c>
      <c r="FH19" s="46">
        <f t="shared" si="101"/>
        <v>0</v>
      </c>
      <c r="FI19" s="46">
        <f t="shared" si="102"/>
        <v>0</v>
      </c>
      <c r="FJ19" s="3">
        <f t="shared" si="103"/>
        <v>0</v>
      </c>
      <c r="FK19" s="46">
        <f t="shared" si="104"/>
        <v>0</v>
      </c>
      <c r="FM19" s="74">
        <f>EL19+'EXTRALABORAL B '!BH67</f>
        <v>29</v>
      </c>
      <c r="FN19" s="74">
        <f t="shared" si="105"/>
        <v>5.6640625</v>
      </c>
    </row>
    <row r="20" spans="1:170">
      <c r="A20" s="3">
        <v>17</v>
      </c>
      <c r="B20" s="3"/>
      <c r="C20" s="3"/>
      <c r="D20" s="3" t="s">
        <v>101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3">
        <f t="shared" si="63"/>
        <v>0</v>
      </c>
      <c r="DP20" s="3">
        <f t="shared" si="64"/>
        <v>0</v>
      </c>
      <c r="DQ20" s="3">
        <f t="shared" si="65"/>
        <v>0</v>
      </c>
      <c r="DR20" s="3" t="s">
        <v>69</v>
      </c>
      <c r="DS20" s="3">
        <f t="shared" si="66"/>
        <v>0</v>
      </c>
      <c r="DT20" s="3">
        <f t="shared" si="67"/>
        <v>0</v>
      </c>
      <c r="DU20" s="3">
        <f t="shared" si="68"/>
        <v>0</v>
      </c>
      <c r="DV20" s="3">
        <f t="shared" si="69"/>
        <v>0</v>
      </c>
      <c r="DW20" s="3">
        <f t="shared" si="70"/>
        <v>0</v>
      </c>
      <c r="DX20" s="3">
        <f t="shared" si="71"/>
        <v>0</v>
      </c>
      <c r="DY20" s="3">
        <f t="shared" si="72"/>
        <v>0</v>
      </c>
      <c r="DZ20" s="3">
        <f t="shared" si="73"/>
        <v>0</v>
      </c>
      <c r="EA20" s="3">
        <f t="shared" si="74"/>
        <v>0</v>
      </c>
      <c r="EB20" s="3" t="s">
        <v>70</v>
      </c>
      <c r="EC20" s="3">
        <f t="shared" si="75"/>
        <v>0</v>
      </c>
      <c r="ED20" s="3" t="s">
        <v>70</v>
      </c>
      <c r="EE20" s="3">
        <f t="shared" si="76"/>
        <v>0</v>
      </c>
      <c r="EF20" s="3">
        <f t="shared" si="77"/>
        <v>0</v>
      </c>
      <c r="EG20" s="3">
        <f t="shared" si="78"/>
        <v>0</v>
      </c>
      <c r="EH20" s="3">
        <f t="shared" si="79"/>
        <v>0</v>
      </c>
      <c r="EI20" s="3">
        <f t="shared" si="80"/>
        <v>0</v>
      </c>
      <c r="EJ20" s="3">
        <f t="shared" si="81"/>
        <v>0</v>
      </c>
      <c r="EK20" s="3">
        <f t="shared" si="82"/>
        <v>0</v>
      </c>
      <c r="EL20" s="24">
        <f t="shared" si="83"/>
        <v>0</v>
      </c>
      <c r="EM20" s="24"/>
      <c r="EN20" s="46">
        <f t="shared" si="84"/>
        <v>0</v>
      </c>
      <c r="EO20" s="46">
        <f t="shared" si="85"/>
        <v>0</v>
      </c>
      <c r="EP20" s="47">
        <f t="shared" si="86"/>
        <v>0</v>
      </c>
      <c r="EQ20" s="3" t="s">
        <v>69</v>
      </c>
      <c r="ER20" s="3">
        <f t="shared" si="87"/>
        <v>0</v>
      </c>
      <c r="ES20" s="3">
        <f t="shared" si="88"/>
        <v>0</v>
      </c>
      <c r="ET20" s="46">
        <f t="shared" si="89"/>
        <v>0</v>
      </c>
      <c r="EU20" s="46">
        <f t="shared" si="90"/>
        <v>0</v>
      </c>
      <c r="EV20" s="46">
        <f t="shared" si="91"/>
        <v>0</v>
      </c>
      <c r="EW20" s="46">
        <f t="shared" si="92"/>
        <v>0</v>
      </c>
      <c r="EX20" s="46">
        <f t="shared" si="93"/>
        <v>0</v>
      </c>
      <c r="EY20" s="46">
        <f t="shared" si="94"/>
        <v>0</v>
      </c>
      <c r="EZ20" s="3">
        <f t="shared" si="95"/>
        <v>0</v>
      </c>
      <c r="FA20" s="3" t="s">
        <v>70</v>
      </c>
      <c r="FB20" s="3">
        <f t="shared" si="96"/>
        <v>0</v>
      </c>
      <c r="FC20" s="3" t="s">
        <v>70</v>
      </c>
      <c r="FD20" s="46">
        <f t="shared" si="97"/>
        <v>0</v>
      </c>
      <c r="FE20" s="46">
        <f t="shared" si="98"/>
        <v>0</v>
      </c>
      <c r="FF20" s="46">
        <f t="shared" si="99"/>
        <v>0</v>
      </c>
      <c r="FG20" s="46">
        <f t="shared" si="100"/>
        <v>0</v>
      </c>
      <c r="FH20" s="46">
        <f t="shared" si="101"/>
        <v>0</v>
      </c>
      <c r="FI20" s="46">
        <f t="shared" si="102"/>
        <v>0</v>
      </c>
      <c r="FJ20" s="3">
        <f t="shared" si="103"/>
        <v>0</v>
      </c>
      <c r="FK20" s="46">
        <f t="shared" si="104"/>
        <v>0</v>
      </c>
      <c r="FM20" s="74">
        <f>EL20+'EXTRALABORAL B '!BH68</f>
        <v>23</v>
      </c>
      <c r="FN20" s="74">
        <f t="shared" si="105"/>
        <v>4.4921875</v>
      </c>
    </row>
    <row r="21" spans="1:170">
      <c r="A21" s="3">
        <v>18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3">
        <f t="shared" si="63"/>
        <v>0</v>
      </c>
      <c r="DP21" s="3">
        <f t="shared" si="64"/>
        <v>0</v>
      </c>
      <c r="DQ21" s="3">
        <f t="shared" si="65"/>
        <v>0</v>
      </c>
      <c r="DR21" s="3" t="s">
        <v>69</v>
      </c>
      <c r="DS21" s="3">
        <f t="shared" si="66"/>
        <v>0</v>
      </c>
      <c r="DT21" s="3">
        <f t="shared" si="67"/>
        <v>0</v>
      </c>
      <c r="DU21" s="3">
        <f t="shared" si="68"/>
        <v>0</v>
      </c>
      <c r="DV21" s="3">
        <f t="shared" si="69"/>
        <v>0</v>
      </c>
      <c r="DW21" s="3">
        <f t="shared" si="70"/>
        <v>0</v>
      </c>
      <c r="DX21" s="3">
        <f t="shared" si="71"/>
        <v>0</v>
      </c>
      <c r="DY21" s="3">
        <f t="shared" si="72"/>
        <v>0</v>
      </c>
      <c r="DZ21" s="3">
        <f t="shared" si="73"/>
        <v>0</v>
      </c>
      <c r="EA21" s="3">
        <f t="shared" si="74"/>
        <v>0</v>
      </c>
      <c r="EB21" s="3" t="s">
        <v>70</v>
      </c>
      <c r="EC21" s="3">
        <f t="shared" si="75"/>
        <v>0</v>
      </c>
      <c r="ED21" s="3" t="s">
        <v>70</v>
      </c>
      <c r="EE21" s="3">
        <f t="shared" si="76"/>
        <v>0</v>
      </c>
      <c r="EF21" s="3">
        <f t="shared" si="77"/>
        <v>0</v>
      </c>
      <c r="EG21" s="3">
        <f t="shared" si="78"/>
        <v>0</v>
      </c>
      <c r="EH21" s="3">
        <f t="shared" si="79"/>
        <v>0</v>
      </c>
      <c r="EI21" s="3">
        <f t="shared" si="80"/>
        <v>0</v>
      </c>
      <c r="EJ21" s="3">
        <f t="shared" si="81"/>
        <v>0</v>
      </c>
      <c r="EK21" s="3">
        <f t="shared" si="82"/>
        <v>0</v>
      </c>
      <c r="EL21" s="24">
        <f t="shared" si="83"/>
        <v>0</v>
      </c>
      <c r="EM21" s="24"/>
      <c r="EN21" s="46">
        <f t="shared" si="84"/>
        <v>0</v>
      </c>
      <c r="EO21" s="46">
        <f t="shared" si="85"/>
        <v>0</v>
      </c>
      <c r="EP21" s="47">
        <f t="shared" si="86"/>
        <v>0</v>
      </c>
      <c r="EQ21" s="3" t="s">
        <v>69</v>
      </c>
      <c r="ER21" s="3">
        <f t="shared" si="87"/>
        <v>0</v>
      </c>
      <c r="ES21" s="3">
        <f t="shared" si="88"/>
        <v>0</v>
      </c>
      <c r="ET21" s="46">
        <f t="shared" si="89"/>
        <v>0</v>
      </c>
      <c r="EU21" s="46">
        <f t="shared" si="90"/>
        <v>0</v>
      </c>
      <c r="EV21" s="46">
        <f t="shared" si="91"/>
        <v>0</v>
      </c>
      <c r="EW21" s="46">
        <f t="shared" si="92"/>
        <v>0</v>
      </c>
      <c r="EX21" s="46">
        <f t="shared" si="93"/>
        <v>0</v>
      </c>
      <c r="EY21" s="46">
        <f t="shared" si="94"/>
        <v>0</v>
      </c>
      <c r="EZ21" s="3">
        <f t="shared" si="95"/>
        <v>0</v>
      </c>
      <c r="FA21" s="3" t="s">
        <v>70</v>
      </c>
      <c r="FB21" s="3">
        <f t="shared" si="96"/>
        <v>0</v>
      </c>
      <c r="FC21" s="3" t="s">
        <v>70</v>
      </c>
      <c r="FD21" s="46">
        <f t="shared" si="97"/>
        <v>0</v>
      </c>
      <c r="FE21" s="46">
        <f t="shared" si="98"/>
        <v>0</v>
      </c>
      <c r="FF21" s="46">
        <f t="shared" si="99"/>
        <v>0</v>
      </c>
      <c r="FG21" s="46">
        <f t="shared" si="100"/>
        <v>0</v>
      </c>
      <c r="FH21" s="46">
        <f t="shared" si="101"/>
        <v>0</v>
      </c>
      <c r="FI21" s="46">
        <f t="shared" si="102"/>
        <v>0</v>
      </c>
      <c r="FJ21" s="3">
        <f t="shared" si="103"/>
        <v>0</v>
      </c>
      <c r="FK21" s="46">
        <f t="shared" si="104"/>
        <v>0</v>
      </c>
      <c r="FM21" s="74">
        <f>EL21+'EXTRALABORAL B '!BH69</f>
        <v>26</v>
      </c>
      <c r="FN21" s="74">
        <f t="shared" si="105"/>
        <v>5.078125</v>
      </c>
    </row>
    <row r="22" spans="1:170">
      <c r="A22" s="3">
        <v>19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3">
        <f t="shared" si="63"/>
        <v>0</v>
      </c>
      <c r="DP22" s="3">
        <f t="shared" si="64"/>
        <v>0</v>
      </c>
      <c r="DQ22" s="3">
        <f t="shared" si="65"/>
        <v>0</v>
      </c>
      <c r="DR22" s="3" t="s">
        <v>69</v>
      </c>
      <c r="DS22" s="3">
        <f t="shared" si="66"/>
        <v>0</v>
      </c>
      <c r="DT22" s="3">
        <f t="shared" si="67"/>
        <v>0</v>
      </c>
      <c r="DU22" s="3">
        <f t="shared" si="68"/>
        <v>0</v>
      </c>
      <c r="DV22" s="3">
        <f t="shared" si="69"/>
        <v>0</v>
      </c>
      <c r="DW22" s="3">
        <f t="shared" si="70"/>
        <v>0</v>
      </c>
      <c r="DX22" s="3">
        <f t="shared" si="71"/>
        <v>0</v>
      </c>
      <c r="DY22" s="3">
        <f t="shared" si="72"/>
        <v>0</v>
      </c>
      <c r="DZ22" s="3">
        <f t="shared" si="73"/>
        <v>0</v>
      </c>
      <c r="EA22" s="3">
        <f t="shared" si="74"/>
        <v>0</v>
      </c>
      <c r="EB22" s="3" t="s">
        <v>70</v>
      </c>
      <c r="EC22" s="3">
        <f t="shared" si="75"/>
        <v>0</v>
      </c>
      <c r="ED22" s="3" t="s">
        <v>70</v>
      </c>
      <c r="EE22" s="3">
        <f t="shared" si="76"/>
        <v>0</v>
      </c>
      <c r="EF22" s="3">
        <f t="shared" si="77"/>
        <v>0</v>
      </c>
      <c r="EG22" s="3">
        <f t="shared" si="78"/>
        <v>0</v>
      </c>
      <c r="EH22" s="3">
        <f t="shared" si="79"/>
        <v>0</v>
      </c>
      <c r="EI22" s="3">
        <f t="shared" si="80"/>
        <v>0</v>
      </c>
      <c r="EJ22" s="3">
        <f t="shared" si="81"/>
        <v>0</v>
      </c>
      <c r="EK22" s="3">
        <f t="shared" si="82"/>
        <v>0</v>
      </c>
      <c r="EL22" s="24">
        <f t="shared" si="83"/>
        <v>0</v>
      </c>
      <c r="EM22" s="24"/>
      <c r="EN22" s="46">
        <f t="shared" si="84"/>
        <v>0</v>
      </c>
      <c r="EO22" s="46">
        <f t="shared" si="85"/>
        <v>0</v>
      </c>
      <c r="EP22" s="47">
        <f t="shared" si="86"/>
        <v>0</v>
      </c>
      <c r="EQ22" s="3" t="s">
        <v>69</v>
      </c>
      <c r="ER22" s="3">
        <f t="shared" si="87"/>
        <v>0</v>
      </c>
      <c r="ES22" s="3">
        <f t="shared" si="88"/>
        <v>0</v>
      </c>
      <c r="ET22" s="46">
        <f t="shared" si="89"/>
        <v>0</v>
      </c>
      <c r="EU22" s="46">
        <f t="shared" si="90"/>
        <v>0</v>
      </c>
      <c r="EV22" s="46">
        <f t="shared" si="91"/>
        <v>0</v>
      </c>
      <c r="EW22" s="46">
        <f t="shared" si="92"/>
        <v>0</v>
      </c>
      <c r="EX22" s="46">
        <f t="shared" si="93"/>
        <v>0</v>
      </c>
      <c r="EY22" s="46">
        <f t="shared" si="94"/>
        <v>0</v>
      </c>
      <c r="EZ22" s="3">
        <f t="shared" si="95"/>
        <v>0</v>
      </c>
      <c r="FA22" s="3" t="s">
        <v>70</v>
      </c>
      <c r="FB22" s="3">
        <f t="shared" si="96"/>
        <v>0</v>
      </c>
      <c r="FC22" s="3" t="s">
        <v>70</v>
      </c>
      <c r="FD22" s="46">
        <f t="shared" si="97"/>
        <v>0</v>
      </c>
      <c r="FE22" s="46">
        <f t="shared" si="98"/>
        <v>0</v>
      </c>
      <c r="FF22" s="46">
        <f t="shared" si="99"/>
        <v>0</v>
      </c>
      <c r="FG22" s="46">
        <f t="shared" si="100"/>
        <v>0</v>
      </c>
      <c r="FH22" s="46">
        <f t="shared" si="101"/>
        <v>0</v>
      </c>
      <c r="FI22" s="46">
        <f t="shared" si="102"/>
        <v>0</v>
      </c>
      <c r="FJ22" s="3">
        <f t="shared" si="103"/>
        <v>0</v>
      </c>
      <c r="FK22" s="46">
        <f t="shared" si="104"/>
        <v>0</v>
      </c>
      <c r="FM22" s="74">
        <f>EL22+'EXTRALABORAL B '!BH70</f>
        <v>9</v>
      </c>
      <c r="FN22" s="74">
        <f t="shared" si="105"/>
        <v>1.7578125</v>
      </c>
    </row>
    <row r="23" spans="1:170">
      <c r="A23" s="3">
        <v>20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3">
        <f t="shared" si="63"/>
        <v>0</v>
      </c>
      <c r="DP23" s="3">
        <f t="shared" si="64"/>
        <v>0</v>
      </c>
      <c r="DQ23" s="3">
        <f t="shared" si="65"/>
        <v>0</v>
      </c>
      <c r="DR23" s="3" t="s">
        <v>69</v>
      </c>
      <c r="DS23" s="3">
        <f t="shared" si="66"/>
        <v>0</v>
      </c>
      <c r="DT23" s="3">
        <f t="shared" si="67"/>
        <v>0</v>
      </c>
      <c r="DU23" s="3">
        <f t="shared" si="68"/>
        <v>0</v>
      </c>
      <c r="DV23" s="3">
        <f t="shared" si="69"/>
        <v>0</v>
      </c>
      <c r="DW23" s="3">
        <f t="shared" si="70"/>
        <v>0</v>
      </c>
      <c r="DX23" s="3">
        <f t="shared" si="71"/>
        <v>0</v>
      </c>
      <c r="DY23" s="3">
        <f t="shared" si="72"/>
        <v>0</v>
      </c>
      <c r="DZ23" s="3">
        <f t="shared" si="73"/>
        <v>0</v>
      </c>
      <c r="EA23" s="3">
        <f t="shared" si="74"/>
        <v>0</v>
      </c>
      <c r="EB23" s="3" t="s">
        <v>70</v>
      </c>
      <c r="EC23" s="3">
        <f t="shared" si="75"/>
        <v>0</v>
      </c>
      <c r="ED23" s="3" t="s">
        <v>70</v>
      </c>
      <c r="EE23" s="3">
        <f t="shared" si="76"/>
        <v>0</v>
      </c>
      <c r="EF23" s="3">
        <f t="shared" si="77"/>
        <v>0</v>
      </c>
      <c r="EG23" s="3">
        <f t="shared" si="78"/>
        <v>0</v>
      </c>
      <c r="EH23" s="3">
        <f t="shared" si="79"/>
        <v>0</v>
      </c>
      <c r="EI23" s="3">
        <f t="shared" si="80"/>
        <v>0</v>
      </c>
      <c r="EJ23" s="3">
        <f t="shared" si="81"/>
        <v>0</v>
      </c>
      <c r="EK23" s="3">
        <f t="shared" si="82"/>
        <v>0</v>
      </c>
      <c r="EL23" s="24">
        <f t="shared" si="83"/>
        <v>0</v>
      </c>
      <c r="EM23" s="24"/>
      <c r="EN23" s="46">
        <f t="shared" si="84"/>
        <v>0</v>
      </c>
      <c r="EO23" s="46">
        <f t="shared" si="85"/>
        <v>0</v>
      </c>
      <c r="EP23" s="47">
        <f t="shared" si="86"/>
        <v>0</v>
      </c>
      <c r="EQ23" s="3" t="s">
        <v>69</v>
      </c>
      <c r="ER23" s="3">
        <f t="shared" si="87"/>
        <v>0</v>
      </c>
      <c r="ES23" s="3">
        <f t="shared" si="88"/>
        <v>0</v>
      </c>
      <c r="ET23" s="46">
        <f t="shared" si="89"/>
        <v>0</v>
      </c>
      <c r="EU23" s="46">
        <f t="shared" si="90"/>
        <v>0</v>
      </c>
      <c r="EV23" s="46">
        <f t="shared" si="91"/>
        <v>0</v>
      </c>
      <c r="EW23" s="46">
        <f t="shared" si="92"/>
        <v>0</v>
      </c>
      <c r="EX23" s="46">
        <f t="shared" si="93"/>
        <v>0</v>
      </c>
      <c r="EY23" s="46">
        <f t="shared" si="94"/>
        <v>0</v>
      </c>
      <c r="EZ23" s="3">
        <f t="shared" si="95"/>
        <v>0</v>
      </c>
      <c r="FA23" s="3" t="s">
        <v>70</v>
      </c>
      <c r="FB23" s="3">
        <f t="shared" si="96"/>
        <v>0</v>
      </c>
      <c r="FC23" s="3" t="s">
        <v>70</v>
      </c>
      <c r="FD23" s="46">
        <f t="shared" si="97"/>
        <v>0</v>
      </c>
      <c r="FE23" s="46">
        <f t="shared" si="98"/>
        <v>0</v>
      </c>
      <c r="FF23" s="46">
        <f t="shared" si="99"/>
        <v>0</v>
      </c>
      <c r="FG23" s="46">
        <f t="shared" si="100"/>
        <v>0</v>
      </c>
      <c r="FH23" s="46">
        <f t="shared" si="101"/>
        <v>0</v>
      </c>
      <c r="FI23" s="46">
        <f t="shared" si="102"/>
        <v>0</v>
      </c>
      <c r="FJ23" s="3">
        <f t="shared" si="103"/>
        <v>0</v>
      </c>
      <c r="FK23" s="46">
        <f t="shared" si="104"/>
        <v>0</v>
      </c>
      <c r="FM23" s="74">
        <f>EL23+'EXTRALABORAL B '!BH71</f>
        <v>15</v>
      </c>
      <c r="FN23" s="74">
        <f t="shared" si="105"/>
        <v>2.9296875</v>
      </c>
    </row>
    <row r="24" spans="1:170">
      <c r="A24" s="3">
        <v>21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3">
        <f t="shared" si="63"/>
        <v>0</v>
      </c>
      <c r="DP24" s="3">
        <f t="shared" si="64"/>
        <v>0</v>
      </c>
      <c r="DQ24" s="3">
        <f t="shared" si="65"/>
        <v>0</v>
      </c>
      <c r="DR24" s="3" t="s">
        <v>69</v>
      </c>
      <c r="DS24" s="3">
        <f t="shared" si="66"/>
        <v>0</v>
      </c>
      <c r="DT24" s="3">
        <f t="shared" si="67"/>
        <v>0</v>
      </c>
      <c r="DU24" s="3">
        <f t="shared" si="68"/>
        <v>0</v>
      </c>
      <c r="DV24" s="3">
        <f t="shared" si="69"/>
        <v>0</v>
      </c>
      <c r="DW24" s="3">
        <f t="shared" si="70"/>
        <v>0</v>
      </c>
      <c r="DX24" s="3">
        <f t="shared" si="71"/>
        <v>0</v>
      </c>
      <c r="DY24" s="3">
        <f t="shared" si="72"/>
        <v>0</v>
      </c>
      <c r="DZ24" s="3">
        <f t="shared" si="73"/>
        <v>0</v>
      </c>
      <c r="EA24" s="3">
        <f t="shared" si="74"/>
        <v>0</v>
      </c>
      <c r="EB24" s="3" t="s">
        <v>70</v>
      </c>
      <c r="EC24" s="3">
        <f t="shared" si="75"/>
        <v>0</v>
      </c>
      <c r="ED24" s="3" t="s">
        <v>70</v>
      </c>
      <c r="EE24" s="3">
        <f t="shared" si="76"/>
        <v>0</v>
      </c>
      <c r="EF24" s="3">
        <f t="shared" si="77"/>
        <v>0</v>
      </c>
      <c r="EG24" s="3">
        <f t="shared" si="78"/>
        <v>0</v>
      </c>
      <c r="EH24" s="3">
        <f t="shared" si="79"/>
        <v>0</v>
      </c>
      <c r="EI24" s="3">
        <f t="shared" si="80"/>
        <v>0</v>
      </c>
      <c r="EJ24" s="3">
        <f t="shared" si="81"/>
        <v>0</v>
      </c>
      <c r="EK24" s="3">
        <f t="shared" si="82"/>
        <v>0</v>
      </c>
      <c r="EL24" s="24">
        <f t="shared" si="83"/>
        <v>0</v>
      </c>
      <c r="EM24" s="24"/>
      <c r="EN24" s="46">
        <f t="shared" si="84"/>
        <v>0</v>
      </c>
      <c r="EO24" s="46">
        <f t="shared" si="85"/>
        <v>0</v>
      </c>
      <c r="EP24" s="47">
        <f t="shared" si="86"/>
        <v>0</v>
      </c>
      <c r="EQ24" s="3" t="s">
        <v>69</v>
      </c>
      <c r="ER24" s="3">
        <f t="shared" si="87"/>
        <v>0</v>
      </c>
      <c r="ES24" s="3">
        <f t="shared" si="88"/>
        <v>0</v>
      </c>
      <c r="ET24" s="46">
        <f t="shared" si="89"/>
        <v>0</v>
      </c>
      <c r="EU24" s="46">
        <f t="shared" si="90"/>
        <v>0</v>
      </c>
      <c r="EV24" s="46">
        <f t="shared" si="91"/>
        <v>0</v>
      </c>
      <c r="EW24" s="46">
        <f t="shared" si="92"/>
        <v>0</v>
      </c>
      <c r="EX24" s="46">
        <f t="shared" si="93"/>
        <v>0</v>
      </c>
      <c r="EY24" s="46">
        <f t="shared" si="94"/>
        <v>0</v>
      </c>
      <c r="EZ24" s="3">
        <f t="shared" si="95"/>
        <v>0</v>
      </c>
      <c r="FA24" s="3" t="s">
        <v>70</v>
      </c>
      <c r="FB24" s="3">
        <f t="shared" si="96"/>
        <v>0</v>
      </c>
      <c r="FC24" s="3" t="s">
        <v>70</v>
      </c>
      <c r="FD24" s="46">
        <f t="shared" si="97"/>
        <v>0</v>
      </c>
      <c r="FE24" s="46">
        <f t="shared" si="98"/>
        <v>0</v>
      </c>
      <c r="FF24" s="46">
        <f t="shared" si="99"/>
        <v>0</v>
      </c>
      <c r="FG24" s="46">
        <f t="shared" si="100"/>
        <v>0</v>
      </c>
      <c r="FH24" s="46">
        <f t="shared" si="101"/>
        <v>0</v>
      </c>
      <c r="FI24" s="46">
        <f t="shared" si="102"/>
        <v>0</v>
      </c>
      <c r="FJ24" s="3">
        <f t="shared" si="103"/>
        <v>0</v>
      </c>
      <c r="FK24" s="46">
        <f t="shared" si="104"/>
        <v>0</v>
      </c>
      <c r="FM24" s="74">
        <f>EL24+'EXTRALABORAL B '!BH86</f>
        <v>6</v>
      </c>
      <c r="FN24" s="74">
        <f t="shared" si="105"/>
        <v>1.171875</v>
      </c>
    </row>
    <row r="25" spans="1:170">
      <c r="A25" s="3">
        <v>22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3">
        <f t="shared" si="63"/>
        <v>0</v>
      </c>
      <c r="DP25" s="3">
        <f t="shared" si="64"/>
        <v>0</v>
      </c>
      <c r="DQ25" s="3">
        <f t="shared" si="65"/>
        <v>0</v>
      </c>
      <c r="DR25" s="3" t="s">
        <v>69</v>
      </c>
      <c r="DS25" s="3">
        <f t="shared" si="66"/>
        <v>0</v>
      </c>
      <c r="DT25" s="3">
        <f t="shared" si="67"/>
        <v>0</v>
      </c>
      <c r="DU25" s="3">
        <f t="shared" si="68"/>
        <v>0</v>
      </c>
      <c r="DV25" s="3">
        <f t="shared" si="69"/>
        <v>0</v>
      </c>
      <c r="DW25" s="3">
        <f t="shared" si="70"/>
        <v>0</v>
      </c>
      <c r="DX25" s="3">
        <f t="shared" si="71"/>
        <v>0</v>
      </c>
      <c r="DY25" s="3">
        <f t="shared" si="72"/>
        <v>0</v>
      </c>
      <c r="DZ25" s="3">
        <f t="shared" si="73"/>
        <v>0</v>
      </c>
      <c r="EA25" s="3">
        <f t="shared" si="74"/>
        <v>0</v>
      </c>
      <c r="EB25" s="3" t="s">
        <v>70</v>
      </c>
      <c r="EC25" s="3">
        <f t="shared" si="75"/>
        <v>0</v>
      </c>
      <c r="ED25" s="3" t="s">
        <v>70</v>
      </c>
      <c r="EE25" s="3">
        <f t="shared" si="76"/>
        <v>0</v>
      </c>
      <c r="EF25" s="3">
        <f t="shared" si="77"/>
        <v>0</v>
      </c>
      <c r="EG25" s="3">
        <f t="shared" si="78"/>
        <v>0</v>
      </c>
      <c r="EH25" s="3">
        <f t="shared" si="79"/>
        <v>0</v>
      </c>
      <c r="EI25" s="3">
        <f t="shared" si="80"/>
        <v>0</v>
      </c>
      <c r="EJ25" s="3">
        <f t="shared" si="81"/>
        <v>0</v>
      </c>
      <c r="EK25" s="3">
        <f t="shared" si="82"/>
        <v>0</v>
      </c>
      <c r="EL25" s="24">
        <f t="shared" si="83"/>
        <v>0</v>
      </c>
      <c r="EM25" s="24"/>
      <c r="EN25" s="46">
        <f t="shared" si="84"/>
        <v>0</v>
      </c>
      <c r="EO25" s="46">
        <f t="shared" si="85"/>
        <v>0</v>
      </c>
      <c r="EP25" s="47">
        <f t="shared" si="86"/>
        <v>0</v>
      </c>
      <c r="EQ25" s="3" t="s">
        <v>69</v>
      </c>
      <c r="ER25" s="3">
        <f t="shared" si="87"/>
        <v>0</v>
      </c>
      <c r="ES25" s="3">
        <f t="shared" si="88"/>
        <v>0</v>
      </c>
      <c r="ET25" s="46">
        <f t="shared" si="89"/>
        <v>0</v>
      </c>
      <c r="EU25" s="46">
        <f t="shared" si="90"/>
        <v>0</v>
      </c>
      <c r="EV25" s="46">
        <f t="shared" si="91"/>
        <v>0</v>
      </c>
      <c r="EW25" s="46">
        <f t="shared" si="92"/>
        <v>0</v>
      </c>
      <c r="EX25" s="46">
        <f t="shared" si="93"/>
        <v>0</v>
      </c>
      <c r="EY25" s="46">
        <f t="shared" si="94"/>
        <v>0</v>
      </c>
      <c r="EZ25" s="3">
        <f t="shared" si="95"/>
        <v>0</v>
      </c>
      <c r="FA25" s="3" t="s">
        <v>70</v>
      </c>
      <c r="FB25" s="3">
        <f t="shared" si="96"/>
        <v>0</v>
      </c>
      <c r="FC25" s="3" t="s">
        <v>70</v>
      </c>
      <c r="FD25" s="46">
        <f t="shared" si="97"/>
        <v>0</v>
      </c>
      <c r="FE25" s="46">
        <f t="shared" si="98"/>
        <v>0</v>
      </c>
      <c r="FF25" s="46">
        <f t="shared" si="99"/>
        <v>0</v>
      </c>
      <c r="FG25" s="46">
        <f t="shared" si="100"/>
        <v>0</v>
      </c>
      <c r="FH25" s="46">
        <f t="shared" si="101"/>
        <v>0</v>
      </c>
      <c r="FI25" s="46">
        <f t="shared" si="102"/>
        <v>0</v>
      </c>
      <c r="FJ25" s="3">
        <f t="shared" si="103"/>
        <v>0</v>
      </c>
      <c r="FK25" s="46">
        <f t="shared" si="104"/>
        <v>0</v>
      </c>
      <c r="FM25" s="74">
        <f>EL25+'EXTRALABORAL B '!BH87</f>
        <v>14</v>
      </c>
      <c r="FN25" s="74">
        <f t="shared" si="105"/>
        <v>2.734375</v>
      </c>
    </row>
    <row r="26" spans="1:170">
      <c r="A26" s="3">
        <v>23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3">
        <f t="shared" si="63"/>
        <v>0</v>
      </c>
      <c r="DP26" s="3">
        <f t="shared" si="64"/>
        <v>0</v>
      </c>
      <c r="DQ26" s="3">
        <f t="shared" si="65"/>
        <v>0</v>
      </c>
      <c r="DR26" s="3" t="s">
        <v>69</v>
      </c>
      <c r="DS26" s="3">
        <f t="shared" si="66"/>
        <v>0</v>
      </c>
      <c r="DT26" s="3">
        <f t="shared" si="67"/>
        <v>0</v>
      </c>
      <c r="DU26" s="3">
        <f t="shared" si="68"/>
        <v>0</v>
      </c>
      <c r="DV26" s="3">
        <f t="shared" si="69"/>
        <v>0</v>
      </c>
      <c r="DW26" s="3">
        <f t="shared" si="70"/>
        <v>0</v>
      </c>
      <c r="DX26" s="3">
        <f t="shared" si="71"/>
        <v>0</v>
      </c>
      <c r="DY26" s="3">
        <f t="shared" si="72"/>
        <v>0</v>
      </c>
      <c r="DZ26" s="3">
        <f t="shared" si="73"/>
        <v>0</v>
      </c>
      <c r="EA26" s="3">
        <f t="shared" si="74"/>
        <v>0</v>
      </c>
      <c r="EB26" s="3" t="s">
        <v>70</v>
      </c>
      <c r="EC26" s="3">
        <f t="shared" si="75"/>
        <v>0</v>
      </c>
      <c r="ED26" s="3" t="s">
        <v>70</v>
      </c>
      <c r="EE26" s="3">
        <f t="shared" si="76"/>
        <v>0</v>
      </c>
      <c r="EF26" s="3">
        <f t="shared" si="77"/>
        <v>0</v>
      </c>
      <c r="EG26" s="3">
        <f t="shared" si="78"/>
        <v>0</v>
      </c>
      <c r="EH26" s="3">
        <f t="shared" si="79"/>
        <v>0</v>
      </c>
      <c r="EI26" s="3">
        <f t="shared" si="80"/>
        <v>0</v>
      </c>
      <c r="EJ26" s="3">
        <f t="shared" si="81"/>
        <v>0</v>
      </c>
      <c r="EK26" s="3">
        <f t="shared" si="82"/>
        <v>0</v>
      </c>
      <c r="EL26" s="24">
        <f t="shared" si="83"/>
        <v>0</v>
      </c>
      <c r="EM26" s="24"/>
      <c r="EN26" s="46">
        <f t="shared" si="84"/>
        <v>0</v>
      </c>
      <c r="EO26" s="46">
        <f t="shared" si="85"/>
        <v>0</v>
      </c>
      <c r="EP26" s="47">
        <f t="shared" si="86"/>
        <v>0</v>
      </c>
      <c r="EQ26" s="3" t="s">
        <v>69</v>
      </c>
      <c r="ER26" s="3">
        <f t="shared" si="87"/>
        <v>0</v>
      </c>
      <c r="ES26" s="3">
        <f t="shared" si="88"/>
        <v>0</v>
      </c>
      <c r="ET26" s="46">
        <f t="shared" si="89"/>
        <v>0</v>
      </c>
      <c r="EU26" s="46">
        <f t="shared" si="90"/>
        <v>0</v>
      </c>
      <c r="EV26" s="46">
        <f t="shared" si="91"/>
        <v>0</v>
      </c>
      <c r="EW26" s="46">
        <f t="shared" si="92"/>
        <v>0</v>
      </c>
      <c r="EX26" s="46">
        <f t="shared" si="93"/>
        <v>0</v>
      </c>
      <c r="EY26" s="46">
        <f t="shared" si="94"/>
        <v>0</v>
      </c>
      <c r="EZ26" s="3">
        <f t="shared" si="95"/>
        <v>0</v>
      </c>
      <c r="FA26" s="3" t="s">
        <v>70</v>
      </c>
      <c r="FB26" s="3">
        <f t="shared" si="96"/>
        <v>0</v>
      </c>
      <c r="FC26" s="3" t="s">
        <v>70</v>
      </c>
      <c r="FD26" s="46">
        <f t="shared" si="97"/>
        <v>0</v>
      </c>
      <c r="FE26" s="46">
        <f t="shared" si="98"/>
        <v>0</v>
      </c>
      <c r="FF26" s="46">
        <f t="shared" si="99"/>
        <v>0</v>
      </c>
      <c r="FG26" s="46">
        <f t="shared" si="100"/>
        <v>0</v>
      </c>
      <c r="FH26" s="46">
        <f t="shared" si="101"/>
        <v>0</v>
      </c>
      <c r="FI26" s="46">
        <f t="shared" si="102"/>
        <v>0</v>
      </c>
      <c r="FJ26" s="3">
        <f t="shared" si="103"/>
        <v>0</v>
      </c>
      <c r="FK26" s="46">
        <f t="shared" si="104"/>
        <v>0</v>
      </c>
      <c r="FM26" s="74">
        <f>EL26+'EXTRALABORAL B '!BH88</f>
        <v>6</v>
      </c>
      <c r="FN26" s="74">
        <f t="shared" si="105"/>
        <v>1.171875</v>
      </c>
    </row>
    <row r="27" spans="1:170">
      <c r="A27" s="3">
        <v>24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3">
        <f t="shared" si="63"/>
        <v>0</v>
      </c>
      <c r="DP27" s="3">
        <f t="shared" si="64"/>
        <v>0</v>
      </c>
      <c r="DQ27" s="3">
        <f t="shared" si="65"/>
        <v>0</v>
      </c>
      <c r="DR27" s="3" t="s">
        <v>69</v>
      </c>
      <c r="DS27" s="3">
        <f t="shared" si="66"/>
        <v>0</v>
      </c>
      <c r="DT27" s="3">
        <f t="shared" si="67"/>
        <v>0</v>
      </c>
      <c r="DU27" s="3">
        <f t="shared" si="68"/>
        <v>0</v>
      </c>
      <c r="DV27" s="3">
        <f t="shared" si="69"/>
        <v>0</v>
      </c>
      <c r="DW27" s="3">
        <f t="shared" si="70"/>
        <v>0</v>
      </c>
      <c r="DX27" s="3">
        <f t="shared" si="71"/>
        <v>0</v>
      </c>
      <c r="DY27" s="3">
        <f t="shared" si="72"/>
        <v>0</v>
      </c>
      <c r="DZ27" s="3">
        <f t="shared" si="73"/>
        <v>0</v>
      </c>
      <c r="EA27" s="3">
        <f t="shared" si="74"/>
        <v>0</v>
      </c>
      <c r="EB27" s="3" t="s">
        <v>70</v>
      </c>
      <c r="EC27" s="3">
        <f t="shared" si="75"/>
        <v>0</v>
      </c>
      <c r="ED27" s="3" t="s">
        <v>70</v>
      </c>
      <c r="EE27" s="3">
        <f t="shared" si="76"/>
        <v>0</v>
      </c>
      <c r="EF27" s="3">
        <f t="shared" si="77"/>
        <v>0</v>
      </c>
      <c r="EG27" s="3">
        <f t="shared" si="78"/>
        <v>0</v>
      </c>
      <c r="EH27" s="3">
        <f t="shared" si="79"/>
        <v>0</v>
      </c>
      <c r="EI27" s="3">
        <f t="shared" si="80"/>
        <v>0</v>
      </c>
      <c r="EJ27" s="3">
        <f t="shared" si="81"/>
        <v>0</v>
      </c>
      <c r="EK27" s="3">
        <f t="shared" si="82"/>
        <v>0</v>
      </c>
      <c r="EL27" s="24">
        <f t="shared" si="83"/>
        <v>0</v>
      </c>
      <c r="EM27" s="24"/>
      <c r="EN27" s="46">
        <f t="shared" si="84"/>
        <v>0</v>
      </c>
      <c r="EO27" s="46">
        <f t="shared" si="85"/>
        <v>0</v>
      </c>
      <c r="EP27" s="47">
        <f t="shared" si="86"/>
        <v>0</v>
      </c>
      <c r="EQ27" s="3" t="s">
        <v>69</v>
      </c>
      <c r="ER27" s="3">
        <f t="shared" si="87"/>
        <v>0</v>
      </c>
      <c r="ES27" s="3">
        <f t="shared" si="88"/>
        <v>0</v>
      </c>
      <c r="ET27" s="46">
        <f t="shared" si="89"/>
        <v>0</v>
      </c>
      <c r="EU27" s="46">
        <f t="shared" si="90"/>
        <v>0</v>
      </c>
      <c r="EV27" s="46">
        <f t="shared" si="91"/>
        <v>0</v>
      </c>
      <c r="EW27" s="46">
        <f t="shared" si="92"/>
        <v>0</v>
      </c>
      <c r="EX27" s="46">
        <f t="shared" si="93"/>
        <v>0</v>
      </c>
      <c r="EY27" s="46">
        <f t="shared" si="94"/>
        <v>0</v>
      </c>
      <c r="EZ27" s="3">
        <f t="shared" si="95"/>
        <v>0</v>
      </c>
      <c r="FA27" s="3" t="s">
        <v>70</v>
      </c>
      <c r="FB27" s="3">
        <f t="shared" si="96"/>
        <v>0</v>
      </c>
      <c r="FC27" s="3" t="s">
        <v>70</v>
      </c>
      <c r="FD27" s="46">
        <f t="shared" si="97"/>
        <v>0</v>
      </c>
      <c r="FE27" s="46">
        <f t="shared" si="98"/>
        <v>0</v>
      </c>
      <c r="FF27" s="46">
        <f t="shared" si="99"/>
        <v>0</v>
      </c>
      <c r="FG27" s="46">
        <f t="shared" si="100"/>
        <v>0</v>
      </c>
      <c r="FH27" s="46">
        <f t="shared" si="101"/>
        <v>0</v>
      </c>
      <c r="FI27" s="46">
        <f t="shared" si="102"/>
        <v>0</v>
      </c>
      <c r="FJ27" s="3">
        <f t="shared" si="103"/>
        <v>0</v>
      </c>
      <c r="FK27" s="46">
        <f t="shared" si="104"/>
        <v>0</v>
      </c>
      <c r="FM27" s="74">
        <f>EL27+'EXTRALABORAL B '!BH89</f>
        <v>45</v>
      </c>
      <c r="FN27" s="74">
        <f t="shared" si="105"/>
        <v>8.7890625</v>
      </c>
    </row>
    <row r="28" spans="1:170">
      <c r="A28" s="3">
        <v>25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3">
        <f t="shared" si="63"/>
        <v>0</v>
      </c>
      <c r="DP28" s="3">
        <f t="shared" si="64"/>
        <v>0</v>
      </c>
      <c r="DQ28" s="3">
        <f t="shared" si="65"/>
        <v>0</v>
      </c>
      <c r="DR28" s="3" t="s">
        <v>69</v>
      </c>
      <c r="DS28" s="3">
        <f t="shared" si="66"/>
        <v>0</v>
      </c>
      <c r="DT28" s="3">
        <f t="shared" si="67"/>
        <v>0</v>
      </c>
      <c r="DU28" s="3">
        <f t="shared" si="68"/>
        <v>0</v>
      </c>
      <c r="DV28" s="3">
        <f t="shared" si="69"/>
        <v>0</v>
      </c>
      <c r="DW28" s="3">
        <f t="shared" si="70"/>
        <v>0</v>
      </c>
      <c r="DX28" s="3">
        <f t="shared" si="71"/>
        <v>0</v>
      </c>
      <c r="DY28" s="3">
        <f t="shared" si="72"/>
        <v>0</v>
      </c>
      <c r="DZ28" s="3">
        <f t="shared" si="73"/>
        <v>0</v>
      </c>
      <c r="EA28" s="3">
        <f t="shared" si="74"/>
        <v>0</v>
      </c>
      <c r="EB28" s="3" t="s">
        <v>70</v>
      </c>
      <c r="EC28" s="3">
        <f t="shared" si="75"/>
        <v>0</v>
      </c>
      <c r="ED28" s="3" t="s">
        <v>70</v>
      </c>
      <c r="EE28" s="3">
        <f t="shared" si="76"/>
        <v>0</v>
      </c>
      <c r="EF28" s="3">
        <f t="shared" si="77"/>
        <v>0</v>
      </c>
      <c r="EG28" s="3">
        <f t="shared" si="78"/>
        <v>0</v>
      </c>
      <c r="EH28" s="3">
        <f t="shared" si="79"/>
        <v>0</v>
      </c>
      <c r="EI28" s="3">
        <f t="shared" si="80"/>
        <v>0</v>
      </c>
      <c r="EJ28" s="3">
        <f t="shared" si="81"/>
        <v>0</v>
      </c>
      <c r="EK28" s="3">
        <f t="shared" si="82"/>
        <v>0</v>
      </c>
      <c r="EL28" s="24">
        <f t="shared" si="83"/>
        <v>0</v>
      </c>
      <c r="EM28" s="24"/>
      <c r="EN28" s="46">
        <f t="shared" si="84"/>
        <v>0</v>
      </c>
      <c r="EO28" s="46">
        <f t="shared" si="85"/>
        <v>0</v>
      </c>
      <c r="EP28" s="47">
        <f t="shared" si="86"/>
        <v>0</v>
      </c>
      <c r="EQ28" s="3" t="s">
        <v>69</v>
      </c>
      <c r="ER28" s="3">
        <f t="shared" si="87"/>
        <v>0</v>
      </c>
      <c r="ES28" s="3">
        <f t="shared" si="88"/>
        <v>0</v>
      </c>
      <c r="ET28" s="46">
        <f t="shared" si="89"/>
        <v>0</v>
      </c>
      <c r="EU28" s="46">
        <f t="shared" si="90"/>
        <v>0</v>
      </c>
      <c r="EV28" s="46">
        <f t="shared" si="91"/>
        <v>0</v>
      </c>
      <c r="EW28" s="46">
        <f t="shared" si="92"/>
        <v>0</v>
      </c>
      <c r="EX28" s="46">
        <f t="shared" si="93"/>
        <v>0</v>
      </c>
      <c r="EY28" s="46">
        <f t="shared" si="94"/>
        <v>0</v>
      </c>
      <c r="EZ28" s="3">
        <f t="shared" si="95"/>
        <v>0</v>
      </c>
      <c r="FA28" s="3" t="s">
        <v>70</v>
      </c>
      <c r="FB28" s="3">
        <f t="shared" si="96"/>
        <v>0</v>
      </c>
      <c r="FC28" s="3" t="s">
        <v>70</v>
      </c>
      <c r="FD28" s="46">
        <f t="shared" si="97"/>
        <v>0</v>
      </c>
      <c r="FE28" s="46">
        <f t="shared" si="98"/>
        <v>0</v>
      </c>
      <c r="FF28" s="46">
        <f t="shared" si="99"/>
        <v>0</v>
      </c>
      <c r="FG28" s="46">
        <f t="shared" si="100"/>
        <v>0</v>
      </c>
      <c r="FH28" s="46">
        <f t="shared" si="101"/>
        <v>0</v>
      </c>
      <c r="FI28" s="46">
        <f t="shared" si="102"/>
        <v>0</v>
      </c>
      <c r="FJ28" s="3">
        <f t="shared" si="103"/>
        <v>0</v>
      </c>
      <c r="FK28" s="46">
        <f t="shared" si="104"/>
        <v>0</v>
      </c>
      <c r="FM28" s="74">
        <f>EL28+'EXTRALABORAL B '!BH212</f>
        <v>0</v>
      </c>
      <c r="FN28" s="74">
        <f t="shared" si="105"/>
        <v>0</v>
      </c>
    </row>
    <row r="29" spans="1:170">
      <c r="A29" s="3">
        <v>26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3">
        <f t="shared" si="63"/>
        <v>0</v>
      </c>
      <c r="DP29" s="3">
        <f t="shared" si="64"/>
        <v>0</v>
      </c>
      <c r="DQ29" s="3">
        <f t="shared" si="65"/>
        <v>0</v>
      </c>
      <c r="DR29" s="3" t="s">
        <v>69</v>
      </c>
      <c r="DS29" s="3">
        <f t="shared" si="66"/>
        <v>0</v>
      </c>
      <c r="DT29" s="3">
        <f t="shared" si="67"/>
        <v>0</v>
      </c>
      <c r="DU29" s="3">
        <f t="shared" si="68"/>
        <v>0</v>
      </c>
      <c r="DV29" s="3">
        <f t="shared" si="69"/>
        <v>0</v>
      </c>
      <c r="DW29" s="3">
        <f t="shared" si="70"/>
        <v>0</v>
      </c>
      <c r="DX29" s="3">
        <f t="shared" si="71"/>
        <v>0</v>
      </c>
      <c r="DY29" s="3">
        <f t="shared" si="72"/>
        <v>0</v>
      </c>
      <c r="DZ29" s="3">
        <f t="shared" si="73"/>
        <v>0</v>
      </c>
      <c r="EA29" s="3">
        <f t="shared" si="74"/>
        <v>0</v>
      </c>
      <c r="EB29" s="3" t="s">
        <v>70</v>
      </c>
      <c r="EC29" s="3">
        <f t="shared" si="75"/>
        <v>0</v>
      </c>
      <c r="ED29" s="3" t="s">
        <v>70</v>
      </c>
      <c r="EE29" s="3">
        <f t="shared" si="76"/>
        <v>0</v>
      </c>
      <c r="EF29" s="3">
        <f t="shared" si="77"/>
        <v>0</v>
      </c>
      <c r="EG29" s="3">
        <f t="shared" si="78"/>
        <v>0</v>
      </c>
      <c r="EH29" s="3">
        <f t="shared" si="79"/>
        <v>0</v>
      </c>
      <c r="EI29" s="3">
        <f t="shared" si="80"/>
        <v>0</v>
      </c>
      <c r="EJ29" s="3">
        <f t="shared" si="81"/>
        <v>0</v>
      </c>
      <c r="EK29" s="3">
        <f t="shared" si="82"/>
        <v>0</v>
      </c>
      <c r="EL29" s="24">
        <f t="shared" si="83"/>
        <v>0</v>
      </c>
      <c r="EM29" s="24"/>
      <c r="EN29" s="46">
        <f t="shared" si="84"/>
        <v>0</v>
      </c>
      <c r="EO29" s="46">
        <f t="shared" si="85"/>
        <v>0</v>
      </c>
      <c r="EP29" s="47">
        <f t="shared" si="86"/>
        <v>0</v>
      </c>
      <c r="EQ29" s="3" t="s">
        <v>69</v>
      </c>
      <c r="ER29" s="3">
        <f t="shared" si="87"/>
        <v>0</v>
      </c>
      <c r="ES29" s="3">
        <f t="shared" si="88"/>
        <v>0</v>
      </c>
      <c r="ET29" s="46">
        <f t="shared" si="89"/>
        <v>0</v>
      </c>
      <c r="EU29" s="46">
        <f t="shared" si="90"/>
        <v>0</v>
      </c>
      <c r="EV29" s="46">
        <f t="shared" si="91"/>
        <v>0</v>
      </c>
      <c r="EW29" s="46">
        <f t="shared" si="92"/>
        <v>0</v>
      </c>
      <c r="EX29" s="46">
        <f t="shared" si="93"/>
        <v>0</v>
      </c>
      <c r="EY29" s="46">
        <f t="shared" si="94"/>
        <v>0</v>
      </c>
      <c r="EZ29" s="3">
        <f t="shared" si="95"/>
        <v>0</v>
      </c>
      <c r="FA29" s="3" t="s">
        <v>70</v>
      </c>
      <c r="FB29" s="3">
        <f t="shared" si="96"/>
        <v>0</v>
      </c>
      <c r="FC29" s="3" t="s">
        <v>70</v>
      </c>
      <c r="FD29" s="46">
        <f t="shared" si="97"/>
        <v>0</v>
      </c>
      <c r="FE29" s="46">
        <f t="shared" si="98"/>
        <v>0</v>
      </c>
      <c r="FF29" s="46">
        <f t="shared" si="99"/>
        <v>0</v>
      </c>
      <c r="FG29" s="46">
        <f t="shared" si="100"/>
        <v>0</v>
      </c>
      <c r="FH29" s="46">
        <f t="shared" si="101"/>
        <v>0</v>
      </c>
      <c r="FI29" s="46">
        <f t="shared" si="102"/>
        <v>0</v>
      </c>
      <c r="FJ29" s="3">
        <f t="shared" si="103"/>
        <v>0</v>
      </c>
      <c r="FK29" s="46">
        <f t="shared" si="104"/>
        <v>0</v>
      </c>
      <c r="FM29" s="74" t="e">
        <f>EL29+'EXTRALABORAL B '!#REF!</f>
        <v>#REF!</v>
      </c>
      <c r="FN29" s="74" t="e">
        <f t="shared" si="105"/>
        <v>#REF!</v>
      </c>
    </row>
    <row r="30" spans="1:170">
      <c r="A30" s="3">
        <v>27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3">
        <f t="shared" si="63"/>
        <v>0</v>
      </c>
      <c r="DP30" s="3">
        <f t="shared" si="64"/>
        <v>0</v>
      </c>
      <c r="DQ30" s="3">
        <f t="shared" si="65"/>
        <v>0</v>
      </c>
      <c r="DR30" s="3" t="s">
        <v>69</v>
      </c>
      <c r="DS30" s="3">
        <f t="shared" si="66"/>
        <v>0</v>
      </c>
      <c r="DT30" s="3">
        <f t="shared" si="67"/>
        <v>0</v>
      </c>
      <c r="DU30" s="3">
        <f t="shared" si="68"/>
        <v>0</v>
      </c>
      <c r="DV30" s="3">
        <f t="shared" si="69"/>
        <v>0</v>
      </c>
      <c r="DW30" s="3">
        <f t="shared" si="70"/>
        <v>0</v>
      </c>
      <c r="DX30" s="3">
        <f t="shared" si="71"/>
        <v>0</v>
      </c>
      <c r="DY30" s="3">
        <f t="shared" si="72"/>
        <v>0</v>
      </c>
      <c r="DZ30" s="3">
        <f t="shared" si="73"/>
        <v>0</v>
      </c>
      <c r="EA30" s="3">
        <f t="shared" si="74"/>
        <v>0</v>
      </c>
      <c r="EB30" s="3" t="s">
        <v>70</v>
      </c>
      <c r="EC30" s="3">
        <f t="shared" si="75"/>
        <v>0</v>
      </c>
      <c r="ED30" s="3" t="s">
        <v>70</v>
      </c>
      <c r="EE30" s="3">
        <f t="shared" si="76"/>
        <v>0</v>
      </c>
      <c r="EF30" s="3">
        <f t="shared" si="77"/>
        <v>0</v>
      </c>
      <c r="EG30" s="3">
        <f t="shared" si="78"/>
        <v>0</v>
      </c>
      <c r="EH30" s="3">
        <f t="shared" si="79"/>
        <v>0</v>
      </c>
      <c r="EI30" s="3">
        <f t="shared" si="80"/>
        <v>0</v>
      </c>
      <c r="EJ30" s="3">
        <f t="shared" si="81"/>
        <v>0</v>
      </c>
      <c r="EK30" s="3">
        <f t="shared" si="82"/>
        <v>0</v>
      </c>
      <c r="EL30" s="24">
        <f t="shared" si="83"/>
        <v>0</v>
      </c>
      <c r="EM30" s="24"/>
      <c r="EN30" s="46">
        <f t="shared" si="84"/>
        <v>0</v>
      </c>
      <c r="EO30" s="46">
        <f t="shared" si="85"/>
        <v>0</v>
      </c>
      <c r="EP30" s="47">
        <f t="shared" si="86"/>
        <v>0</v>
      </c>
      <c r="EQ30" s="3" t="s">
        <v>69</v>
      </c>
      <c r="ER30" s="3">
        <f t="shared" si="87"/>
        <v>0</v>
      </c>
      <c r="ES30" s="3">
        <f t="shared" si="88"/>
        <v>0</v>
      </c>
      <c r="ET30" s="46">
        <f t="shared" si="89"/>
        <v>0</v>
      </c>
      <c r="EU30" s="46">
        <f t="shared" si="90"/>
        <v>0</v>
      </c>
      <c r="EV30" s="46">
        <f t="shared" si="91"/>
        <v>0</v>
      </c>
      <c r="EW30" s="46">
        <f t="shared" si="92"/>
        <v>0</v>
      </c>
      <c r="EX30" s="46">
        <f t="shared" si="93"/>
        <v>0</v>
      </c>
      <c r="EY30" s="46">
        <f t="shared" si="94"/>
        <v>0</v>
      </c>
      <c r="EZ30" s="3">
        <f t="shared" si="95"/>
        <v>0</v>
      </c>
      <c r="FA30" s="3" t="s">
        <v>70</v>
      </c>
      <c r="FB30" s="3">
        <f t="shared" si="96"/>
        <v>0</v>
      </c>
      <c r="FC30" s="3" t="s">
        <v>70</v>
      </c>
      <c r="FD30" s="46">
        <f t="shared" si="97"/>
        <v>0</v>
      </c>
      <c r="FE30" s="46">
        <f t="shared" si="98"/>
        <v>0</v>
      </c>
      <c r="FF30" s="46">
        <f t="shared" si="99"/>
        <v>0</v>
      </c>
      <c r="FG30" s="46">
        <f t="shared" si="100"/>
        <v>0</v>
      </c>
      <c r="FH30" s="46">
        <f t="shared" si="101"/>
        <v>0</v>
      </c>
      <c r="FI30" s="46">
        <f t="shared" si="102"/>
        <v>0</v>
      </c>
      <c r="FJ30" s="3">
        <f t="shared" si="103"/>
        <v>0</v>
      </c>
      <c r="FK30" s="46">
        <f t="shared" si="104"/>
        <v>0</v>
      </c>
      <c r="FM30" s="74" t="e">
        <f>EL30+'EXTRALABORAL B '!#REF!</f>
        <v>#REF!</v>
      </c>
      <c r="FN30" s="74" t="e">
        <f t="shared" si="105"/>
        <v>#REF!</v>
      </c>
    </row>
    <row r="31" spans="1:170">
      <c r="A31" s="3">
        <v>28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3">
        <f t="shared" si="63"/>
        <v>0</v>
      </c>
      <c r="DP31" s="3">
        <f t="shared" si="64"/>
        <v>0</v>
      </c>
      <c r="DQ31" s="3">
        <f t="shared" si="65"/>
        <v>0</v>
      </c>
      <c r="DR31" s="3" t="s">
        <v>69</v>
      </c>
      <c r="DS31" s="3">
        <f t="shared" si="66"/>
        <v>0</v>
      </c>
      <c r="DT31" s="3">
        <f t="shared" si="67"/>
        <v>0</v>
      </c>
      <c r="DU31" s="3">
        <f t="shared" si="68"/>
        <v>0</v>
      </c>
      <c r="DV31" s="3">
        <f t="shared" si="69"/>
        <v>0</v>
      </c>
      <c r="DW31" s="3">
        <f t="shared" si="70"/>
        <v>0</v>
      </c>
      <c r="DX31" s="3">
        <f t="shared" si="71"/>
        <v>0</v>
      </c>
      <c r="DY31" s="3">
        <f t="shared" si="72"/>
        <v>0</v>
      </c>
      <c r="DZ31" s="3">
        <f t="shared" si="73"/>
        <v>0</v>
      </c>
      <c r="EA31" s="3">
        <f t="shared" si="74"/>
        <v>0</v>
      </c>
      <c r="EB31" s="3" t="s">
        <v>70</v>
      </c>
      <c r="EC31" s="3">
        <f t="shared" si="75"/>
        <v>0</v>
      </c>
      <c r="ED31" s="3" t="s">
        <v>70</v>
      </c>
      <c r="EE31" s="3">
        <f t="shared" si="76"/>
        <v>0</v>
      </c>
      <c r="EF31" s="3">
        <f t="shared" si="77"/>
        <v>0</v>
      </c>
      <c r="EG31" s="3">
        <f t="shared" si="78"/>
        <v>0</v>
      </c>
      <c r="EH31" s="3">
        <f t="shared" si="79"/>
        <v>0</v>
      </c>
      <c r="EI31" s="3">
        <f t="shared" si="80"/>
        <v>0</v>
      </c>
      <c r="EJ31" s="3">
        <f t="shared" si="81"/>
        <v>0</v>
      </c>
      <c r="EK31" s="3">
        <f t="shared" si="82"/>
        <v>0</v>
      </c>
      <c r="EL31" s="24">
        <f t="shared" si="83"/>
        <v>0</v>
      </c>
      <c r="EM31" s="24"/>
      <c r="EN31" s="46">
        <f t="shared" si="84"/>
        <v>0</v>
      </c>
      <c r="EO31" s="46">
        <f t="shared" si="85"/>
        <v>0</v>
      </c>
      <c r="EP31" s="47">
        <f t="shared" si="86"/>
        <v>0</v>
      </c>
      <c r="EQ31" s="3" t="s">
        <v>69</v>
      </c>
      <c r="ER31" s="3">
        <f t="shared" si="87"/>
        <v>0</v>
      </c>
      <c r="ES31" s="3">
        <f t="shared" si="88"/>
        <v>0</v>
      </c>
      <c r="ET31" s="46">
        <f t="shared" si="89"/>
        <v>0</v>
      </c>
      <c r="EU31" s="46">
        <f t="shared" si="90"/>
        <v>0</v>
      </c>
      <c r="EV31" s="46">
        <f t="shared" si="91"/>
        <v>0</v>
      </c>
      <c r="EW31" s="46">
        <f t="shared" si="92"/>
        <v>0</v>
      </c>
      <c r="EX31" s="46">
        <f t="shared" si="93"/>
        <v>0</v>
      </c>
      <c r="EY31" s="46">
        <f t="shared" si="94"/>
        <v>0</v>
      </c>
      <c r="EZ31" s="3">
        <f t="shared" si="95"/>
        <v>0</v>
      </c>
      <c r="FA31" s="3" t="s">
        <v>70</v>
      </c>
      <c r="FB31" s="3">
        <f t="shared" si="96"/>
        <v>0</v>
      </c>
      <c r="FC31" s="3" t="s">
        <v>70</v>
      </c>
      <c r="FD31" s="46">
        <f t="shared" si="97"/>
        <v>0</v>
      </c>
      <c r="FE31" s="46">
        <f t="shared" si="98"/>
        <v>0</v>
      </c>
      <c r="FF31" s="46">
        <f t="shared" si="99"/>
        <v>0</v>
      </c>
      <c r="FG31" s="46">
        <f t="shared" si="100"/>
        <v>0</v>
      </c>
      <c r="FH31" s="46">
        <f t="shared" si="101"/>
        <v>0</v>
      </c>
      <c r="FI31" s="46">
        <f t="shared" si="102"/>
        <v>0</v>
      </c>
      <c r="FJ31" s="3">
        <f t="shared" si="103"/>
        <v>0</v>
      </c>
      <c r="FK31" s="46">
        <f t="shared" si="104"/>
        <v>0</v>
      </c>
      <c r="FM31" s="74">
        <f>EL31+'EXTRALABORAL B '!BH213</f>
        <v>0</v>
      </c>
      <c r="FN31" s="74">
        <f t="shared" si="105"/>
        <v>0</v>
      </c>
    </row>
    <row r="32" spans="1:170">
      <c r="A32" s="3">
        <v>29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3">
        <f t="shared" si="63"/>
        <v>0</v>
      </c>
      <c r="DP32" s="3">
        <f t="shared" si="64"/>
        <v>0</v>
      </c>
      <c r="DQ32" s="3">
        <f t="shared" si="65"/>
        <v>0</v>
      </c>
      <c r="DR32" s="3" t="s">
        <v>69</v>
      </c>
      <c r="DS32" s="3">
        <f t="shared" si="66"/>
        <v>0</v>
      </c>
      <c r="DT32" s="3">
        <f t="shared" si="67"/>
        <v>0</v>
      </c>
      <c r="DU32" s="3">
        <f t="shared" si="68"/>
        <v>0</v>
      </c>
      <c r="DV32" s="3">
        <f t="shared" si="69"/>
        <v>0</v>
      </c>
      <c r="DW32" s="3">
        <f t="shared" si="70"/>
        <v>0</v>
      </c>
      <c r="DX32" s="3">
        <f t="shared" si="71"/>
        <v>0</v>
      </c>
      <c r="DY32" s="3">
        <f t="shared" si="72"/>
        <v>0</v>
      </c>
      <c r="DZ32" s="3">
        <f t="shared" si="73"/>
        <v>0</v>
      </c>
      <c r="EA32" s="3">
        <f t="shared" si="74"/>
        <v>0</v>
      </c>
      <c r="EB32" s="3" t="s">
        <v>70</v>
      </c>
      <c r="EC32" s="3">
        <f t="shared" si="75"/>
        <v>0</v>
      </c>
      <c r="ED32" s="3" t="s">
        <v>70</v>
      </c>
      <c r="EE32" s="3">
        <f t="shared" si="76"/>
        <v>0</v>
      </c>
      <c r="EF32" s="3">
        <f t="shared" si="77"/>
        <v>0</v>
      </c>
      <c r="EG32" s="3">
        <f t="shared" si="78"/>
        <v>0</v>
      </c>
      <c r="EH32" s="3">
        <f t="shared" si="79"/>
        <v>0</v>
      </c>
      <c r="EI32" s="3">
        <f t="shared" si="80"/>
        <v>0</v>
      </c>
      <c r="EJ32" s="3">
        <f t="shared" si="81"/>
        <v>0</v>
      </c>
      <c r="EK32" s="3">
        <f t="shared" si="82"/>
        <v>0</v>
      </c>
      <c r="EL32" s="24">
        <f t="shared" si="83"/>
        <v>0</v>
      </c>
      <c r="EM32" s="24"/>
      <c r="EN32" s="46">
        <f t="shared" si="84"/>
        <v>0</v>
      </c>
      <c r="EO32" s="46">
        <f t="shared" si="85"/>
        <v>0</v>
      </c>
      <c r="EP32" s="47">
        <f t="shared" si="86"/>
        <v>0</v>
      </c>
      <c r="EQ32" s="3" t="s">
        <v>69</v>
      </c>
      <c r="ER32" s="3">
        <f t="shared" si="87"/>
        <v>0</v>
      </c>
      <c r="ES32" s="3">
        <f t="shared" si="88"/>
        <v>0</v>
      </c>
      <c r="ET32" s="46">
        <f t="shared" si="89"/>
        <v>0</v>
      </c>
      <c r="EU32" s="46">
        <f t="shared" si="90"/>
        <v>0</v>
      </c>
      <c r="EV32" s="46">
        <f t="shared" si="91"/>
        <v>0</v>
      </c>
      <c r="EW32" s="46">
        <f t="shared" si="92"/>
        <v>0</v>
      </c>
      <c r="EX32" s="46">
        <f t="shared" si="93"/>
        <v>0</v>
      </c>
      <c r="EY32" s="46">
        <f t="shared" si="94"/>
        <v>0</v>
      </c>
      <c r="EZ32" s="3">
        <f t="shared" si="95"/>
        <v>0</v>
      </c>
      <c r="FA32" s="3" t="s">
        <v>70</v>
      </c>
      <c r="FB32" s="3">
        <f t="shared" si="96"/>
        <v>0</v>
      </c>
      <c r="FC32" s="3" t="s">
        <v>70</v>
      </c>
      <c r="FD32" s="46">
        <f t="shared" si="97"/>
        <v>0</v>
      </c>
      <c r="FE32" s="46">
        <f t="shared" si="98"/>
        <v>0</v>
      </c>
      <c r="FF32" s="46">
        <f t="shared" si="99"/>
        <v>0</v>
      </c>
      <c r="FG32" s="46">
        <f t="shared" si="100"/>
        <v>0</v>
      </c>
      <c r="FH32" s="46">
        <f t="shared" si="101"/>
        <v>0</v>
      </c>
      <c r="FI32" s="46">
        <f t="shared" si="102"/>
        <v>0</v>
      </c>
      <c r="FJ32" s="3">
        <f t="shared" si="103"/>
        <v>0</v>
      </c>
      <c r="FK32" s="46">
        <f t="shared" si="104"/>
        <v>0</v>
      </c>
      <c r="FM32" s="74">
        <f>EL32+'EXTRALABORAL B '!BH214</f>
        <v>0</v>
      </c>
      <c r="FN32" s="74">
        <f t="shared" si="105"/>
        <v>0</v>
      </c>
    </row>
    <row r="33" spans="1:170">
      <c r="A33" s="3">
        <v>30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3">
        <f>+SUM(BR33:CD33)</f>
        <v>0</v>
      </c>
      <c r="DP33" s="3">
        <f>+SUM(CE33:CP33)</f>
        <v>0</v>
      </c>
      <c r="DQ33" s="3">
        <f>+SUM(CQ33:CU33)</f>
        <v>0</v>
      </c>
      <c r="DR33" s="3" t="s">
        <v>69</v>
      </c>
      <c r="DS33" s="3">
        <f>+SUM(BJ33:BN33)</f>
        <v>0</v>
      </c>
      <c r="DT33" s="3">
        <f>+SUM(BO33:BQ33)</f>
        <v>0</v>
      </c>
      <c r="DU33" s="3">
        <f>+SUM(BG33:BI33)</f>
        <v>0</v>
      </c>
      <c r="DV33" s="3">
        <f>+SUM(AX33:BA33)</f>
        <v>0</v>
      </c>
      <c r="DW33" s="3">
        <f>+SUM(BC33:BE33)</f>
        <v>0</v>
      </c>
      <c r="DX33" s="3">
        <f>+SUM(V33:AG33)</f>
        <v>0</v>
      </c>
      <c r="DY33" s="3">
        <f>+SUM(DF33:DN33)</f>
        <v>0</v>
      </c>
      <c r="DZ33" s="3">
        <f>+SUM(AH33:AJ33)</f>
        <v>0</v>
      </c>
      <c r="EA33" s="3">
        <f>+SUM(AT33:AW33)</f>
        <v>0</v>
      </c>
      <c r="EB33" s="3" t="s">
        <v>70</v>
      </c>
      <c r="EC33" s="3">
        <f>+SUM(AK33:AO33)</f>
        <v>0</v>
      </c>
      <c r="ED33" s="3" t="s">
        <v>70</v>
      </c>
      <c r="EE33" s="3">
        <f>+SUM(AP33+AQ33+AR33+AS33+BB33+BF33)</f>
        <v>0</v>
      </c>
      <c r="EF33" s="3">
        <f>+SUM(DB33:DE33)</f>
        <v>0</v>
      </c>
      <c r="EG33" s="3">
        <f>+SUM(CV33:DA33)</f>
        <v>0</v>
      </c>
      <c r="EH33" s="3">
        <f>+SUM(DO33:DQ33)</f>
        <v>0</v>
      </c>
      <c r="EI33" s="3">
        <f>+SUM(DS33:DW33)</f>
        <v>0</v>
      </c>
      <c r="EJ33" s="3">
        <f>+SUM(DX33:EE33)</f>
        <v>0</v>
      </c>
      <c r="EK33" s="3">
        <f>+SUM(EF33:EG33)</f>
        <v>0</v>
      </c>
      <c r="EL33" s="24">
        <f>+SUM(EH33:EK33)</f>
        <v>0</v>
      </c>
      <c r="EM33" s="24"/>
      <c r="EN33" s="46">
        <f>+SUM(DO33/52)*100</f>
        <v>0</v>
      </c>
      <c r="EO33" s="46">
        <f>+SUM(DP33/48)*100</f>
        <v>0</v>
      </c>
      <c r="EP33" s="47">
        <f>+SUM(DQ33/20)*100</f>
        <v>0</v>
      </c>
      <c r="EQ33" s="3" t="s">
        <v>69</v>
      </c>
      <c r="ER33" s="3">
        <f>+SUM(DS33/20)*100</f>
        <v>0</v>
      </c>
      <c r="ES33" s="3">
        <f>+SUM(DT33/12)*100</f>
        <v>0</v>
      </c>
      <c r="ET33" s="46">
        <f>+SUM(DU33/12)*100</f>
        <v>0</v>
      </c>
      <c r="EU33" s="46">
        <f>+SUM(DV33/16)*100</f>
        <v>0</v>
      </c>
      <c r="EV33" s="46">
        <f>+SUM(DW33/12)*100</f>
        <v>0</v>
      </c>
      <c r="EW33" s="46">
        <f>+SUM(DX33/48)*100</f>
        <v>0</v>
      </c>
      <c r="EX33" s="46">
        <f>+SUM(DY33/36)*100</f>
        <v>0</v>
      </c>
      <c r="EY33" s="46">
        <f>+SUM(DZ33/12)*100</f>
        <v>0</v>
      </c>
      <c r="EZ33" s="3">
        <f>+SUM(EA33/16)*100</f>
        <v>0</v>
      </c>
      <c r="FA33" s="3" t="s">
        <v>70</v>
      </c>
      <c r="FB33" s="3">
        <f>+SUM(EC33/20)*100</f>
        <v>0</v>
      </c>
      <c r="FC33" s="3" t="s">
        <v>70</v>
      </c>
      <c r="FD33" s="46">
        <f>+SUM(EE33/24)*100</f>
        <v>0</v>
      </c>
      <c r="FE33" s="46">
        <f>+SUM(EF33/16)*100</f>
        <v>0</v>
      </c>
      <c r="FF33" s="46">
        <f>+SUM(EG33/24)*100</f>
        <v>0</v>
      </c>
      <c r="FG33" s="46">
        <f>+SUM(EH33/120)*100</f>
        <v>0</v>
      </c>
      <c r="FH33" s="46">
        <f>+SUM(EI33/72)*100</f>
        <v>0</v>
      </c>
      <c r="FI33" s="46">
        <f>+SUM(EJ33/156)*100</f>
        <v>0</v>
      </c>
      <c r="FJ33" s="3">
        <f>+SUM(EK33/40)*100</f>
        <v>0</v>
      </c>
      <c r="FK33" s="46">
        <f>+SUM(EL33/388)*100</f>
        <v>0</v>
      </c>
      <c r="FM33" s="74">
        <f>EL33+'EXTRALABORAL B '!BH215</f>
        <v>0</v>
      </c>
      <c r="FN33" s="74">
        <f>+(FM33/512)*100</f>
        <v>0</v>
      </c>
    </row>
    <row r="34" spans="1:170">
      <c r="A34" s="3">
        <v>31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3">
        <f t="shared" ref="DO34:DO49" si="106">+SUM(BR34:CD34)</f>
        <v>0</v>
      </c>
      <c r="DP34" s="3">
        <f t="shared" ref="DP34:DP49" si="107">+SUM(CE34:CP34)</f>
        <v>0</v>
      </c>
      <c r="DQ34" s="3">
        <f t="shared" ref="DQ34:DQ49" si="108">+SUM(CQ34:CU34)</f>
        <v>0</v>
      </c>
      <c r="DR34" s="3" t="s">
        <v>69</v>
      </c>
      <c r="DS34" s="3">
        <f t="shared" ref="DS34:DS49" si="109">+SUM(BJ34:BN34)</f>
        <v>0</v>
      </c>
      <c r="DT34" s="3">
        <f t="shared" ref="DT34:DT49" si="110">+SUM(BO34:BQ34)</f>
        <v>0</v>
      </c>
      <c r="DU34" s="3">
        <f t="shared" ref="DU34:DU49" si="111">+SUM(BG34:BI34)</f>
        <v>0</v>
      </c>
      <c r="DV34" s="3">
        <f t="shared" ref="DV34:DV49" si="112">+SUM(AX34:BA34)</f>
        <v>0</v>
      </c>
      <c r="DW34" s="3">
        <f t="shared" ref="DW34:DW49" si="113">+SUM(BC34:BE34)</f>
        <v>0</v>
      </c>
      <c r="DX34" s="3">
        <f t="shared" ref="DX34:DX49" si="114">+SUM(V34:AG34)</f>
        <v>0</v>
      </c>
      <c r="DY34" s="3">
        <f t="shared" ref="DY34:DY49" si="115">+SUM(DF34:DN34)</f>
        <v>0</v>
      </c>
      <c r="DZ34" s="3">
        <f t="shared" ref="DZ34:DZ49" si="116">+SUM(AH34:AJ34)</f>
        <v>0</v>
      </c>
      <c r="EA34" s="3">
        <f t="shared" ref="EA34:EA49" si="117">+SUM(AT34:AW34)</f>
        <v>0</v>
      </c>
      <c r="EB34" s="3" t="s">
        <v>70</v>
      </c>
      <c r="EC34" s="3">
        <f t="shared" ref="EC34:EC49" si="118">+SUM(AK34:AO34)</f>
        <v>0</v>
      </c>
      <c r="ED34" s="3" t="s">
        <v>70</v>
      </c>
      <c r="EE34" s="3">
        <f t="shared" ref="EE34:EE49" si="119">+SUM(AP34+AQ34+AR34+AS34+BB34+BF34)</f>
        <v>0</v>
      </c>
      <c r="EF34" s="3">
        <f t="shared" ref="EF34:EF49" si="120">+SUM(DB34:DE34)</f>
        <v>0</v>
      </c>
      <c r="EG34" s="3">
        <f t="shared" ref="EG34:EG49" si="121">+SUM(CV34:DA34)</f>
        <v>0</v>
      </c>
      <c r="EH34" s="3">
        <f t="shared" ref="EH34:EH49" si="122">+SUM(DO34:DQ34)</f>
        <v>0</v>
      </c>
      <c r="EI34" s="3">
        <f t="shared" ref="EI34:EI49" si="123">+SUM(DS34:DW34)</f>
        <v>0</v>
      </c>
      <c r="EJ34" s="3">
        <f t="shared" ref="EJ34:EJ49" si="124">+SUM(DX34:EE34)</f>
        <v>0</v>
      </c>
      <c r="EK34" s="3">
        <f t="shared" ref="EK34:EK49" si="125">+SUM(EF34:EG34)</f>
        <v>0</v>
      </c>
      <c r="EL34" s="24">
        <f t="shared" ref="EL34:EL49" si="126">+SUM(EH34:EK34)</f>
        <v>0</v>
      </c>
      <c r="EM34" s="24"/>
      <c r="EN34" s="46">
        <f t="shared" ref="EN34:EN49" si="127">+SUM(DO34/52)*100</f>
        <v>0</v>
      </c>
      <c r="EO34" s="46">
        <f t="shared" ref="EO34:EO49" si="128">+SUM(DP34/48)*100</f>
        <v>0</v>
      </c>
      <c r="EP34" s="47">
        <f t="shared" ref="EP34:EP49" si="129">+SUM(DQ34/20)*100</f>
        <v>0</v>
      </c>
      <c r="EQ34" s="3" t="s">
        <v>69</v>
      </c>
      <c r="ER34" s="3">
        <f t="shared" ref="ER34:ER49" si="130">+SUM(DS34/20)*100</f>
        <v>0</v>
      </c>
      <c r="ES34" s="3">
        <f t="shared" ref="ES34:ES49" si="131">+SUM(DT34/12)*100</f>
        <v>0</v>
      </c>
      <c r="ET34" s="46">
        <f t="shared" ref="ET34:ET49" si="132">+SUM(DU34/12)*100</f>
        <v>0</v>
      </c>
      <c r="EU34" s="46">
        <f t="shared" ref="EU34:EU49" si="133">+SUM(DV34/16)*100</f>
        <v>0</v>
      </c>
      <c r="EV34" s="46">
        <f t="shared" ref="EV34:EV49" si="134">+SUM(DW34/12)*100</f>
        <v>0</v>
      </c>
      <c r="EW34" s="46">
        <f t="shared" ref="EW34:EW49" si="135">+SUM(DX34/48)*100</f>
        <v>0</v>
      </c>
      <c r="EX34" s="46">
        <f t="shared" ref="EX34:EX49" si="136">+SUM(DY34/36)*100</f>
        <v>0</v>
      </c>
      <c r="EY34" s="46">
        <f t="shared" ref="EY34:EY49" si="137">+SUM(DZ34/12)*100</f>
        <v>0</v>
      </c>
      <c r="EZ34" s="3">
        <f t="shared" ref="EZ34:EZ49" si="138">+SUM(EA34/16)*100</f>
        <v>0</v>
      </c>
      <c r="FA34" s="3" t="s">
        <v>70</v>
      </c>
      <c r="FB34" s="3">
        <f t="shared" ref="FB34:FB49" si="139">+SUM(EC34/20)*100</f>
        <v>0</v>
      </c>
      <c r="FC34" s="3" t="s">
        <v>70</v>
      </c>
      <c r="FD34" s="46">
        <f t="shared" ref="FD34:FD49" si="140">+SUM(EE34/24)*100</f>
        <v>0</v>
      </c>
      <c r="FE34" s="46">
        <f t="shared" ref="FE34:FE49" si="141">+SUM(EF34/16)*100</f>
        <v>0</v>
      </c>
      <c r="FF34" s="46">
        <f t="shared" ref="FF34:FF49" si="142">+SUM(EG34/24)*100</f>
        <v>0</v>
      </c>
      <c r="FG34" s="46">
        <f t="shared" ref="FG34:FG49" si="143">+SUM(EH34/120)*100</f>
        <v>0</v>
      </c>
      <c r="FH34" s="46">
        <f t="shared" ref="FH34:FH49" si="144">+SUM(EI34/72)*100</f>
        <v>0</v>
      </c>
      <c r="FI34" s="46">
        <f t="shared" ref="FI34:FI49" si="145">+SUM(EJ34/156)*100</f>
        <v>0</v>
      </c>
      <c r="FJ34" s="3">
        <f t="shared" ref="FJ34:FJ49" si="146">+SUM(EK34/40)*100</f>
        <v>0</v>
      </c>
      <c r="FK34" s="46">
        <f t="shared" ref="FK34:FK49" si="147">+SUM(EL34/388)*100</f>
        <v>0</v>
      </c>
      <c r="FM34" s="74">
        <f>EL34+'EXTRALABORAL B '!BH216</f>
        <v>0</v>
      </c>
      <c r="FN34" s="74">
        <f t="shared" ref="FN34:FN49" si="148">+(FM34/512)*100</f>
        <v>0</v>
      </c>
    </row>
    <row r="35" spans="1:170">
      <c r="A35" s="3">
        <v>32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3">
        <f t="shared" si="106"/>
        <v>0</v>
      </c>
      <c r="DP35" s="3">
        <f t="shared" si="107"/>
        <v>0</v>
      </c>
      <c r="DQ35" s="3">
        <f t="shared" si="108"/>
        <v>0</v>
      </c>
      <c r="DR35" s="3" t="s">
        <v>69</v>
      </c>
      <c r="DS35" s="3">
        <f t="shared" si="109"/>
        <v>0</v>
      </c>
      <c r="DT35" s="3">
        <f t="shared" si="110"/>
        <v>0</v>
      </c>
      <c r="DU35" s="3">
        <f t="shared" si="111"/>
        <v>0</v>
      </c>
      <c r="DV35" s="3">
        <f t="shared" si="112"/>
        <v>0</v>
      </c>
      <c r="DW35" s="3">
        <f t="shared" si="113"/>
        <v>0</v>
      </c>
      <c r="DX35" s="3">
        <f t="shared" si="114"/>
        <v>0</v>
      </c>
      <c r="DY35" s="3">
        <f t="shared" si="115"/>
        <v>0</v>
      </c>
      <c r="DZ35" s="3">
        <f t="shared" si="116"/>
        <v>0</v>
      </c>
      <c r="EA35" s="3">
        <f t="shared" si="117"/>
        <v>0</v>
      </c>
      <c r="EB35" s="3" t="s">
        <v>70</v>
      </c>
      <c r="EC35" s="3">
        <f t="shared" si="118"/>
        <v>0</v>
      </c>
      <c r="ED35" s="3" t="s">
        <v>70</v>
      </c>
      <c r="EE35" s="3">
        <f t="shared" si="119"/>
        <v>0</v>
      </c>
      <c r="EF35" s="3">
        <f t="shared" si="120"/>
        <v>0</v>
      </c>
      <c r="EG35" s="3">
        <f t="shared" si="121"/>
        <v>0</v>
      </c>
      <c r="EH35" s="3">
        <f t="shared" si="122"/>
        <v>0</v>
      </c>
      <c r="EI35" s="3">
        <f t="shared" si="123"/>
        <v>0</v>
      </c>
      <c r="EJ35" s="3">
        <f t="shared" si="124"/>
        <v>0</v>
      </c>
      <c r="EK35" s="3">
        <f t="shared" si="125"/>
        <v>0</v>
      </c>
      <c r="EL35" s="24">
        <f t="shared" si="126"/>
        <v>0</v>
      </c>
      <c r="EM35" s="24"/>
      <c r="EN35" s="46">
        <f t="shared" si="127"/>
        <v>0</v>
      </c>
      <c r="EO35" s="46">
        <f t="shared" si="128"/>
        <v>0</v>
      </c>
      <c r="EP35" s="47">
        <f t="shared" si="129"/>
        <v>0</v>
      </c>
      <c r="EQ35" s="3" t="s">
        <v>69</v>
      </c>
      <c r="ER35" s="3">
        <f t="shared" si="130"/>
        <v>0</v>
      </c>
      <c r="ES35" s="3">
        <f t="shared" si="131"/>
        <v>0</v>
      </c>
      <c r="ET35" s="46">
        <f t="shared" si="132"/>
        <v>0</v>
      </c>
      <c r="EU35" s="46">
        <f t="shared" si="133"/>
        <v>0</v>
      </c>
      <c r="EV35" s="46">
        <f t="shared" si="134"/>
        <v>0</v>
      </c>
      <c r="EW35" s="46">
        <f t="shared" si="135"/>
        <v>0</v>
      </c>
      <c r="EX35" s="46">
        <f t="shared" si="136"/>
        <v>0</v>
      </c>
      <c r="EY35" s="46">
        <f t="shared" si="137"/>
        <v>0</v>
      </c>
      <c r="EZ35" s="3">
        <f t="shared" si="138"/>
        <v>0</v>
      </c>
      <c r="FA35" s="3" t="s">
        <v>70</v>
      </c>
      <c r="FB35" s="3">
        <f t="shared" si="139"/>
        <v>0</v>
      </c>
      <c r="FC35" s="3" t="s">
        <v>70</v>
      </c>
      <c r="FD35" s="46">
        <f t="shared" si="140"/>
        <v>0</v>
      </c>
      <c r="FE35" s="46">
        <f t="shared" si="141"/>
        <v>0</v>
      </c>
      <c r="FF35" s="46">
        <f t="shared" si="142"/>
        <v>0</v>
      </c>
      <c r="FG35" s="46">
        <f t="shared" si="143"/>
        <v>0</v>
      </c>
      <c r="FH35" s="46">
        <f t="shared" si="144"/>
        <v>0</v>
      </c>
      <c r="FI35" s="46">
        <f t="shared" si="145"/>
        <v>0</v>
      </c>
      <c r="FJ35" s="3">
        <f t="shared" si="146"/>
        <v>0</v>
      </c>
      <c r="FK35" s="46">
        <f t="shared" si="147"/>
        <v>0</v>
      </c>
      <c r="FM35" s="74">
        <f>EL35+'EXTRALABORAL B '!BH217</f>
        <v>0</v>
      </c>
      <c r="FN35" s="74">
        <f t="shared" si="148"/>
        <v>0</v>
      </c>
    </row>
    <row r="36" spans="1:170">
      <c r="A36" s="3">
        <v>33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3">
        <f t="shared" si="106"/>
        <v>0</v>
      </c>
      <c r="DP36" s="3">
        <f t="shared" si="107"/>
        <v>0</v>
      </c>
      <c r="DQ36" s="3">
        <f t="shared" si="108"/>
        <v>0</v>
      </c>
      <c r="DR36" s="3" t="s">
        <v>69</v>
      </c>
      <c r="DS36" s="3">
        <f t="shared" si="109"/>
        <v>0</v>
      </c>
      <c r="DT36" s="3">
        <f t="shared" si="110"/>
        <v>0</v>
      </c>
      <c r="DU36" s="3">
        <f t="shared" si="111"/>
        <v>0</v>
      </c>
      <c r="DV36" s="3">
        <f t="shared" si="112"/>
        <v>0</v>
      </c>
      <c r="DW36" s="3">
        <f t="shared" si="113"/>
        <v>0</v>
      </c>
      <c r="DX36" s="3">
        <f t="shared" si="114"/>
        <v>0</v>
      </c>
      <c r="DY36" s="3">
        <f t="shared" si="115"/>
        <v>0</v>
      </c>
      <c r="DZ36" s="3">
        <f t="shared" si="116"/>
        <v>0</v>
      </c>
      <c r="EA36" s="3">
        <f t="shared" si="117"/>
        <v>0</v>
      </c>
      <c r="EB36" s="3" t="s">
        <v>70</v>
      </c>
      <c r="EC36" s="3">
        <f t="shared" si="118"/>
        <v>0</v>
      </c>
      <c r="ED36" s="3" t="s">
        <v>70</v>
      </c>
      <c r="EE36" s="3">
        <f t="shared" si="119"/>
        <v>0</v>
      </c>
      <c r="EF36" s="3">
        <f t="shared" si="120"/>
        <v>0</v>
      </c>
      <c r="EG36" s="3">
        <f t="shared" si="121"/>
        <v>0</v>
      </c>
      <c r="EH36" s="3">
        <f t="shared" si="122"/>
        <v>0</v>
      </c>
      <c r="EI36" s="3">
        <f t="shared" si="123"/>
        <v>0</v>
      </c>
      <c r="EJ36" s="3">
        <f t="shared" si="124"/>
        <v>0</v>
      </c>
      <c r="EK36" s="3">
        <f t="shared" si="125"/>
        <v>0</v>
      </c>
      <c r="EL36" s="24">
        <f t="shared" si="126"/>
        <v>0</v>
      </c>
      <c r="EM36" s="24"/>
      <c r="EN36" s="46">
        <f t="shared" si="127"/>
        <v>0</v>
      </c>
      <c r="EO36" s="46">
        <f t="shared" si="128"/>
        <v>0</v>
      </c>
      <c r="EP36" s="47">
        <f t="shared" si="129"/>
        <v>0</v>
      </c>
      <c r="EQ36" s="3" t="s">
        <v>69</v>
      </c>
      <c r="ER36" s="3">
        <f t="shared" si="130"/>
        <v>0</v>
      </c>
      <c r="ES36" s="3">
        <f t="shared" si="131"/>
        <v>0</v>
      </c>
      <c r="ET36" s="46">
        <f t="shared" si="132"/>
        <v>0</v>
      </c>
      <c r="EU36" s="46">
        <f t="shared" si="133"/>
        <v>0</v>
      </c>
      <c r="EV36" s="46">
        <f t="shared" si="134"/>
        <v>0</v>
      </c>
      <c r="EW36" s="46">
        <f t="shared" si="135"/>
        <v>0</v>
      </c>
      <c r="EX36" s="46">
        <f t="shared" si="136"/>
        <v>0</v>
      </c>
      <c r="EY36" s="46">
        <f t="shared" si="137"/>
        <v>0</v>
      </c>
      <c r="EZ36" s="3">
        <f t="shared" si="138"/>
        <v>0</v>
      </c>
      <c r="FA36" s="3" t="s">
        <v>70</v>
      </c>
      <c r="FB36" s="3">
        <f t="shared" si="139"/>
        <v>0</v>
      </c>
      <c r="FC36" s="3" t="s">
        <v>70</v>
      </c>
      <c r="FD36" s="46">
        <f t="shared" si="140"/>
        <v>0</v>
      </c>
      <c r="FE36" s="46">
        <f t="shared" si="141"/>
        <v>0</v>
      </c>
      <c r="FF36" s="46">
        <f t="shared" si="142"/>
        <v>0</v>
      </c>
      <c r="FG36" s="46">
        <f t="shared" si="143"/>
        <v>0</v>
      </c>
      <c r="FH36" s="46">
        <f t="shared" si="144"/>
        <v>0</v>
      </c>
      <c r="FI36" s="46">
        <f t="shared" si="145"/>
        <v>0</v>
      </c>
      <c r="FJ36" s="3">
        <f t="shared" si="146"/>
        <v>0</v>
      </c>
      <c r="FK36" s="46">
        <f t="shared" si="147"/>
        <v>0</v>
      </c>
      <c r="FM36" s="74">
        <f>EL36+'EXTRALABORAL B '!BH218</f>
        <v>0</v>
      </c>
      <c r="FN36" s="74">
        <f t="shared" si="148"/>
        <v>0</v>
      </c>
    </row>
    <row r="37" spans="1:170">
      <c r="A37" s="3">
        <v>34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89"/>
      <c r="S37" s="3"/>
      <c r="T37" s="3"/>
      <c r="U37" s="3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3">
        <f t="shared" si="106"/>
        <v>0</v>
      </c>
      <c r="DP37" s="3">
        <f t="shared" si="107"/>
        <v>0</v>
      </c>
      <c r="DQ37" s="3">
        <f t="shared" si="108"/>
        <v>0</v>
      </c>
      <c r="DR37" s="3" t="s">
        <v>69</v>
      </c>
      <c r="DS37" s="3">
        <f t="shared" si="109"/>
        <v>0</v>
      </c>
      <c r="DT37" s="3">
        <f t="shared" si="110"/>
        <v>0</v>
      </c>
      <c r="DU37" s="3">
        <f t="shared" si="111"/>
        <v>0</v>
      </c>
      <c r="DV37" s="3">
        <f t="shared" si="112"/>
        <v>0</v>
      </c>
      <c r="DW37" s="3">
        <f t="shared" si="113"/>
        <v>0</v>
      </c>
      <c r="DX37" s="3">
        <f t="shared" si="114"/>
        <v>0</v>
      </c>
      <c r="DY37" s="3">
        <f t="shared" si="115"/>
        <v>0</v>
      </c>
      <c r="DZ37" s="3">
        <f t="shared" si="116"/>
        <v>0</v>
      </c>
      <c r="EA37" s="3">
        <f t="shared" si="117"/>
        <v>0</v>
      </c>
      <c r="EB37" s="3" t="s">
        <v>70</v>
      </c>
      <c r="EC37" s="3">
        <f t="shared" si="118"/>
        <v>0</v>
      </c>
      <c r="ED37" s="3" t="s">
        <v>70</v>
      </c>
      <c r="EE37" s="3">
        <f t="shared" si="119"/>
        <v>0</v>
      </c>
      <c r="EF37" s="3">
        <f t="shared" si="120"/>
        <v>0</v>
      </c>
      <c r="EG37" s="3">
        <f t="shared" si="121"/>
        <v>0</v>
      </c>
      <c r="EH37" s="3">
        <f t="shared" si="122"/>
        <v>0</v>
      </c>
      <c r="EI37" s="3">
        <f t="shared" si="123"/>
        <v>0</v>
      </c>
      <c r="EJ37" s="3">
        <f t="shared" si="124"/>
        <v>0</v>
      </c>
      <c r="EK37" s="3">
        <f t="shared" si="125"/>
        <v>0</v>
      </c>
      <c r="EL37" s="24">
        <f t="shared" si="126"/>
        <v>0</v>
      </c>
      <c r="EM37" s="24"/>
      <c r="EN37" s="46">
        <f t="shared" si="127"/>
        <v>0</v>
      </c>
      <c r="EO37" s="46">
        <f t="shared" si="128"/>
        <v>0</v>
      </c>
      <c r="EP37" s="47">
        <f t="shared" si="129"/>
        <v>0</v>
      </c>
      <c r="EQ37" s="3" t="s">
        <v>69</v>
      </c>
      <c r="ER37" s="3">
        <f t="shared" si="130"/>
        <v>0</v>
      </c>
      <c r="ES37" s="3">
        <f t="shared" si="131"/>
        <v>0</v>
      </c>
      <c r="ET37" s="46">
        <f t="shared" si="132"/>
        <v>0</v>
      </c>
      <c r="EU37" s="46">
        <f t="shared" si="133"/>
        <v>0</v>
      </c>
      <c r="EV37" s="46">
        <f t="shared" si="134"/>
        <v>0</v>
      </c>
      <c r="EW37" s="46">
        <f t="shared" si="135"/>
        <v>0</v>
      </c>
      <c r="EX37" s="46">
        <f t="shared" si="136"/>
        <v>0</v>
      </c>
      <c r="EY37" s="46">
        <f t="shared" si="137"/>
        <v>0</v>
      </c>
      <c r="EZ37" s="3">
        <f t="shared" si="138"/>
        <v>0</v>
      </c>
      <c r="FA37" s="3" t="s">
        <v>70</v>
      </c>
      <c r="FB37" s="3">
        <f t="shared" si="139"/>
        <v>0</v>
      </c>
      <c r="FC37" s="3" t="s">
        <v>70</v>
      </c>
      <c r="FD37" s="46">
        <f t="shared" si="140"/>
        <v>0</v>
      </c>
      <c r="FE37" s="46">
        <f t="shared" si="141"/>
        <v>0</v>
      </c>
      <c r="FF37" s="46">
        <f t="shared" si="142"/>
        <v>0</v>
      </c>
      <c r="FG37" s="46">
        <f t="shared" si="143"/>
        <v>0</v>
      </c>
      <c r="FH37" s="46">
        <f t="shared" si="144"/>
        <v>0</v>
      </c>
      <c r="FI37" s="46">
        <f t="shared" si="145"/>
        <v>0</v>
      </c>
      <c r="FJ37" s="3">
        <f t="shared" si="146"/>
        <v>0</v>
      </c>
      <c r="FK37" s="46">
        <f t="shared" si="147"/>
        <v>0</v>
      </c>
      <c r="FM37" s="74">
        <f>EL37+'EXTRALABORAL B '!BH219</f>
        <v>0</v>
      </c>
      <c r="FN37" s="74">
        <f t="shared" si="148"/>
        <v>0</v>
      </c>
    </row>
    <row r="38" spans="1:170">
      <c r="A38" s="3">
        <v>35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3">
        <f t="shared" si="106"/>
        <v>0</v>
      </c>
      <c r="DP38" s="3">
        <f t="shared" si="107"/>
        <v>0</v>
      </c>
      <c r="DQ38" s="3">
        <f t="shared" si="108"/>
        <v>0</v>
      </c>
      <c r="DR38" s="3" t="s">
        <v>69</v>
      </c>
      <c r="DS38" s="3">
        <f t="shared" si="109"/>
        <v>0</v>
      </c>
      <c r="DT38" s="3">
        <f t="shared" si="110"/>
        <v>0</v>
      </c>
      <c r="DU38" s="3">
        <f t="shared" si="111"/>
        <v>0</v>
      </c>
      <c r="DV38" s="3">
        <f t="shared" si="112"/>
        <v>0</v>
      </c>
      <c r="DW38" s="3">
        <f t="shared" si="113"/>
        <v>0</v>
      </c>
      <c r="DX38" s="3">
        <f t="shared" si="114"/>
        <v>0</v>
      </c>
      <c r="DY38" s="3">
        <f t="shared" si="115"/>
        <v>0</v>
      </c>
      <c r="DZ38" s="3">
        <f t="shared" si="116"/>
        <v>0</v>
      </c>
      <c r="EA38" s="3">
        <f t="shared" si="117"/>
        <v>0</v>
      </c>
      <c r="EB38" s="3" t="s">
        <v>70</v>
      </c>
      <c r="EC38" s="3">
        <f t="shared" si="118"/>
        <v>0</v>
      </c>
      <c r="ED38" s="3" t="s">
        <v>70</v>
      </c>
      <c r="EE38" s="3">
        <f t="shared" si="119"/>
        <v>0</v>
      </c>
      <c r="EF38" s="3">
        <f t="shared" si="120"/>
        <v>0</v>
      </c>
      <c r="EG38" s="3">
        <f t="shared" si="121"/>
        <v>0</v>
      </c>
      <c r="EH38" s="3">
        <f t="shared" si="122"/>
        <v>0</v>
      </c>
      <c r="EI38" s="3">
        <f t="shared" si="123"/>
        <v>0</v>
      </c>
      <c r="EJ38" s="3">
        <f t="shared" si="124"/>
        <v>0</v>
      </c>
      <c r="EK38" s="3">
        <f t="shared" si="125"/>
        <v>0</v>
      </c>
      <c r="EL38" s="24">
        <f t="shared" si="126"/>
        <v>0</v>
      </c>
      <c r="EM38" s="24"/>
      <c r="EN38" s="46">
        <f t="shared" si="127"/>
        <v>0</v>
      </c>
      <c r="EO38" s="46">
        <f t="shared" si="128"/>
        <v>0</v>
      </c>
      <c r="EP38" s="47">
        <f t="shared" si="129"/>
        <v>0</v>
      </c>
      <c r="EQ38" s="3" t="s">
        <v>69</v>
      </c>
      <c r="ER38" s="3">
        <f t="shared" si="130"/>
        <v>0</v>
      </c>
      <c r="ES38" s="3">
        <f t="shared" si="131"/>
        <v>0</v>
      </c>
      <c r="ET38" s="46">
        <f t="shared" si="132"/>
        <v>0</v>
      </c>
      <c r="EU38" s="46">
        <f t="shared" si="133"/>
        <v>0</v>
      </c>
      <c r="EV38" s="46">
        <f t="shared" si="134"/>
        <v>0</v>
      </c>
      <c r="EW38" s="46">
        <f t="shared" si="135"/>
        <v>0</v>
      </c>
      <c r="EX38" s="46">
        <f t="shared" si="136"/>
        <v>0</v>
      </c>
      <c r="EY38" s="46">
        <f t="shared" si="137"/>
        <v>0</v>
      </c>
      <c r="EZ38" s="3">
        <f t="shared" si="138"/>
        <v>0</v>
      </c>
      <c r="FA38" s="3" t="s">
        <v>70</v>
      </c>
      <c r="FB38" s="3">
        <f t="shared" si="139"/>
        <v>0</v>
      </c>
      <c r="FC38" s="3" t="s">
        <v>70</v>
      </c>
      <c r="FD38" s="46">
        <f t="shared" si="140"/>
        <v>0</v>
      </c>
      <c r="FE38" s="46">
        <f t="shared" si="141"/>
        <v>0</v>
      </c>
      <c r="FF38" s="46">
        <f t="shared" si="142"/>
        <v>0</v>
      </c>
      <c r="FG38" s="46">
        <f t="shared" si="143"/>
        <v>0</v>
      </c>
      <c r="FH38" s="46">
        <f t="shared" si="144"/>
        <v>0</v>
      </c>
      <c r="FI38" s="46">
        <f t="shared" si="145"/>
        <v>0</v>
      </c>
      <c r="FJ38" s="3">
        <f t="shared" si="146"/>
        <v>0</v>
      </c>
      <c r="FK38" s="46">
        <f t="shared" si="147"/>
        <v>0</v>
      </c>
      <c r="FM38" s="74">
        <f>EL38+'EXTRALABORAL B '!BH220</f>
        <v>0</v>
      </c>
      <c r="FN38" s="74">
        <f t="shared" si="148"/>
        <v>0</v>
      </c>
    </row>
    <row r="39" spans="1:170">
      <c r="A39" s="3">
        <v>36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3">
        <f t="shared" si="106"/>
        <v>0</v>
      </c>
      <c r="DP39" s="3">
        <f t="shared" si="107"/>
        <v>0</v>
      </c>
      <c r="DQ39" s="3">
        <f t="shared" si="108"/>
        <v>0</v>
      </c>
      <c r="DR39" s="3" t="s">
        <v>69</v>
      </c>
      <c r="DS39" s="3">
        <f t="shared" si="109"/>
        <v>0</v>
      </c>
      <c r="DT39" s="3">
        <f t="shared" si="110"/>
        <v>0</v>
      </c>
      <c r="DU39" s="3">
        <f t="shared" si="111"/>
        <v>0</v>
      </c>
      <c r="DV39" s="3">
        <f t="shared" si="112"/>
        <v>0</v>
      </c>
      <c r="DW39" s="3">
        <f t="shared" si="113"/>
        <v>0</v>
      </c>
      <c r="DX39" s="3">
        <f t="shared" si="114"/>
        <v>0</v>
      </c>
      <c r="DY39" s="3">
        <f t="shared" si="115"/>
        <v>0</v>
      </c>
      <c r="DZ39" s="3">
        <f t="shared" si="116"/>
        <v>0</v>
      </c>
      <c r="EA39" s="3">
        <f t="shared" si="117"/>
        <v>0</v>
      </c>
      <c r="EB39" s="3" t="s">
        <v>70</v>
      </c>
      <c r="EC39" s="3">
        <f t="shared" si="118"/>
        <v>0</v>
      </c>
      <c r="ED39" s="3" t="s">
        <v>70</v>
      </c>
      <c r="EE39" s="3">
        <f t="shared" si="119"/>
        <v>0</v>
      </c>
      <c r="EF39" s="3">
        <f t="shared" si="120"/>
        <v>0</v>
      </c>
      <c r="EG39" s="3">
        <f t="shared" si="121"/>
        <v>0</v>
      </c>
      <c r="EH39" s="3">
        <f t="shared" si="122"/>
        <v>0</v>
      </c>
      <c r="EI39" s="3">
        <f t="shared" si="123"/>
        <v>0</v>
      </c>
      <c r="EJ39" s="3">
        <f t="shared" si="124"/>
        <v>0</v>
      </c>
      <c r="EK39" s="3">
        <f t="shared" si="125"/>
        <v>0</v>
      </c>
      <c r="EL39" s="24">
        <f t="shared" si="126"/>
        <v>0</v>
      </c>
      <c r="EM39" s="24"/>
      <c r="EN39" s="46">
        <f t="shared" si="127"/>
        <v>0</v>
      </c>
      <c r="EO39" s="46">
        <f t="shared" si="128"/>
        <v>0</v>
      </c>
      <c r="EP39" s="47">
        <f t="shared" si="129"/>
        <v>0</v>
      </c>
      <c r="EQ39" s="3" t="s">
        <v>69</v>
      </c>
      <c r="ER39" s="3">
        <f t="shared" si="130"/>
        <v>0</v>
      </c>
      <c r="ES39" s="3">
        <f t="shared" si="131"/>
        <v>0</v>
      </c>
      <c r="ET39" s="46">
        <f t="shared" si="132"/>
        <v>0</v>
      </c>
      <c r="EU39" s="46">
        <f t="shared" si="133"/>
        <v>0</v>
      </c>
      <c r="EV39" s="46">
        <f t="shared" si="134"/>
        <v>0</v>
      </c>
      <c r="EW39" s="46">
        <f t="shared" si="135"/>
        <v>0</v>
      </c>
      <c r="EX39" s="46">
        <f t="shared" si="136"/>
        <v>0</v>
      </c>
      <c r="EY39" s="46">
        <f t="shared" si="137"/>
        <v>0</v>
      </c>
      <c r="EZ39" s="3">
        <f t="shared" si="138"/>
        <v>0</v>
      </c>
      <c r="FA39" s="3" t="s">
        <v>70</v>
      </c>
      <c r="FB39" s="3">
        <f t="shared" si="139"/>
        <v>0</v>
      </c>
      <c r="FC39" s="3" t="s">
        <v>70</v>
      </c>
      <c r="FD39" s="46">
        <f t="shared" si="140"/>
        <v>0</v>
      </c>
      <c r="FE39" s="46">
        <f t="shared" si="141"/>
        <v>0</v>
      </c>
      <c r="FF39" s="46">
        <f t="shared" si="142"/>
        <v>0</v>
      </c>
      <c r="FG39" s="46">
        <f t="shared" si="143"/>
        <v>0</v>
      </c>
      <c r="FH39" s="46">
        <f t="shared" si="144"/>
        <v>0</v>
      </c>
      <c r="FI39" s="46">
        <f t="shared" si="145"/>
        <v>0</v>
      </c>
      <c r="FJ39" s="3">
        <f t="shared" si="146"/>
        <v>0</v>
      </c>
      <c r="FK39" s="46">
        <f t="shared" si="147"/>
        <v>0</v>
      </c>
      <c r="FM39" s="74">
        <f>EL39+'EXTRALABORAL B '!BH221</f>
        <v>0</v>
      </c>
      <c r="FN39" s="74">
        <f t="shared" si="148"/>
        <v>0</v>
      </c>
    </row>
    <row r="40" spans="1:170">
      <c r="A40" s="3">
        <v>37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3">
        <f t="shared" si="106"/>
        <v>0</v>
      </c>
      <c r="DP40" s="3">
        <f t="shared" si="107"/>
        <v>0</v>
      </c>
      <c r="DQ40" s="3">
        <f t="shared" si="108"/>
        <v>0</v>
      </c>
      <c r="DR40" s="3" t="s">
        <v>69</v>
      </c>
      <c r="DS40" s="3">
        <f t="shared" si="109"/>
        <v>0</v>
      </c>
      <c r="DT40" s="3">
        <f t="shared" si="110"/>
        <v>0</v>
      </c>
      <c r="DU40" s="3">
        <f t="shared" si="111"/>
        <v>0</v>
      </c>
      <c r="DV40" s="3">
        <f t="shared" si="112"/>
        <v>0</v>
      </c>
      <c r="DW40" s="3">
        <f t="shared" si="113"/>
        <v>0</v>
      </c>
      <c r="DX40" s="3">
        <f t="shared" si="114"/>
        <v>0</v>
      </c>
      <c r="DY40" s="3">
        <f t="shared" si="115"/>
        <v>0</v>
      </c>
      <c r="DZ40" s="3">
        <f t="shared" si="116"/>
        <v>0</v>
      </c>
      <c r="EA40" s="3">
        <f t="shared" si="117"/>
        <v>0</v>
      </c>
      <c r="EB40" s="3" t="s">
        <v>70</v>
      </c>
      <c r="EC40" s="3">
        <f t="shared" si="118"/>
        <v>0</v>
      </c>
      <c r="ED40" s="3" t="s">
        <v>70</v>
      </c>
      <c r="EE40" s="3">
        <f t="shared" si="119"/>
        <v>0</v>
      </c>
      <c r="EF40" s="3">
        <f t="shared" si="120"/>
        <v>0</v>
      </c>
      <c r="EG40" s="3">
        <f t="shared" si="121"/>
        <v>0</v>
      </c>
      <c r="EH40" s="3">
        <f t="shared" si="122"/>
        <v>0</v>
      </c>
      <c r="EI40" s="3">
        <f t="shared" si="123"/>
        <v>0</v>
      </c>
      <c r="EJ40" s="3">
        <f t="shared" si="124"/>
        <v>0</v>
      </c>
      <c r="EK40" s="3">
        <f t="shared" si="125"/>
        <v>0</v>
      </c>
      <c r="EL40" s="24">
        <f t="shared" si="126"/>
        <v>0</v>
      </c>
      <c r="EM40" s="24"/>
      <c r="EN40" s="46">
        <f t="shared" si="127"/>
        <v>0</v>
      </c>
      <c r="EO40" s="46">
        <f t="shared" si="128"/>
        <v>0</v>
      </c>
      <c r="EP40" s="47">
        <f t="shared" si="129"/>
        <v>0</v>
      </c>
      <c r="EQ40" s="3" t="s">
        <v>69</v>
      </c>
      <c r="ER40" s="3">
        <f t="shared" si="130"/>
        <v>0</v>
      </c>
      <c r="ES40" s="3">
        <f t="shared" si="131"/>
        <v>0</v>
      </c>
      <c r="ET40" s="46">
        <f t="shared" si="132"/>
        <v>0</v>
      </c>
      <c r="EU40" s="46">
        <f t="shared" si="133"/>
        <v>0</v>
      </c>
      <c r="EV40" s="46">
        <f t="shared" si="134"/>
        <v>0</v>
      </c>
      <c r="EW40" s="46">
        <f t="shared" si="135"/>
        <v>0</v>
      </c>
      <c r="EX40" s="46">
        <f t="shared" si="136"/>
        <v>0</v>
      </c>
      <c r="EY40" s="46">
        <f t="shared" si="137"/>
        <v>0</v>
      </c>
      <c r="EZ40" s="3">
        <f t="shared" si="138"/>
        <v>0</v>
      </c>
      <c r="FA40" s="3" t="s">
        <v>70</v>
      </c>
      <c r="FB40" s="3">
        <f t="shared" si="139"/>
        <v>0</v>
      </c>
      <c r="FC40" s="3" t="s">
        <v>70</v>
      </c>
      <c r="FD40" s="46">
        <f t="shared" si="140"/>
        <v>0</v>
      </c>
      <c r="FE40" s="46">
        <f t="shared" si="141"/>
        <v>0</v>
      </c>
      <c r="FF40" s="46">
        <f t="shared" si="142"/>
        <v>0</v>
      </c>
      <c r="FG40" s="46">
        <f t="shared" si="143"/>
        <v>0</v>
      </c>
      <c r="FH40" s="46">
        <f t="shared" si="144"/>
        <v>0</v>
      </c>
      <c r="FI40" s="46">
        <f t="shared" si="145"/>
        <v>0</v>
      </c>
      <c r="FJ40" s="3">
        <f t="shared" si="146"/>
        <v>0</v>
      </c>
      <c r="FK40" s="46">
        <f t="shared" si="147"/>
        <v>0</v>
      </c>
      <c r="FM40" s="74">
        <f>EL40+'EXTRALABORAL B '!BH222</f>
        <v>0</v>
      </c>
      <c r="FN40" s="74">
        <f t="shared" si="148"/>
        <v>0</v>
      </c>
    </row>
    <row r="41" spans="1:170">
      <c r="A41" s="3">
        <v>38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3">
        <f t="shared" si="106"/>
        <v>0</v>
      </c>
      <c r="DP41" s="3">
        <f t="shared" si="107"/>
        <v>0</v>
      </c>
      <c r="DQ41" s="3">
        <f t="shared" si="108"/>
        <v>0</v>
      </c>
      <c r="DR41" s="3" t="s">
        <v>69</v>
      </c>
      <c r="DS41" s="3">
        <f t="shared" si="109"/>
        <v>0</v>
      </c>
      <c r="DT41" s="3">
        <f t="shared" si="110"/>
        <v>0</v>
      </c>
      <c r="DU41" s="3">
        <f t="shared" si="111"/>
        <v>0</v>
      </c>
      <c r="DV41" s="3">
        <f t="shared" si="112"/>
        <v>0</v>
      </c>
      <c r="DW41" s="3">
        <f t="shared" si="113"/>
        <v>0</v>
      </c>
      <c r="DX41" s="3">
        <f t="shared" si="114"/>
        <v>0</v>
      </c>
      <c r="DY41" s="3">
        <f t="shared" si="115"/>
        <v>0</v>
      </c>
      <c r="DZ41" s="3">
        <f t="shared" si="116"/>
        <v>0</v>
      </c>
      <c r="EA41" s="3">
        <f t="shared" si="117"/>
        <v>0</v>
      </c>
      <c r="EB41" s="3" t="s">
        <v>70</v>
      </c>
      <c r="EC41" s="3">
        <f t="shared" si="118"/>
        <v>0</v>
      </c>
      <c r="ED41" s="3" t="s">
        <v>70</v>
      </c>
      <c r="EE41" s="3">
        <f t="shared" si="119"/>
        <v>0</v>
      </c>
      <c r="EF41" s="3">
        <f t="shared" si="120"/>
        <v>0</v>
      </c>
      <c r="EG41" s="3">
        <f t="shared" si="121"/>
        <v>0</v>
      </c>
      <c r="EH41" s="3">
        <f t="shared" si="122"/>
        <v>0</v>
      </c>
      <c r="EI41" s="3">
        <f t="shared" si="123"/>
        <v>0</v>
      </c>
      <c r="EJ41" s="3">
        <f t="shared" si="124"/>
        <v>0</v>
      </c>
      <c r="EK41" s="3">
        <f t="shared" si="125"/>
        <v>0</v>
      </c>
      <c r="EL41" s="24">
        <f t="shared" si="126"/>
        <v>0</v>
      </c>
      <c r="EM41" s="24"/>
      <c r="EN41" s="46">
        <f t="shared" si="127"/>
        <v>0</v>
      </c>
      <c r="EO41" s="46">
        <f t="shared" si="128"/>
        <v>0</v>
      </c>
      <c r="EP41" s="47">
        <f t="shared" si="129"/>
        <v>0</v>
      </c>
      <c r="EQ41" s="3" t="s">
        <v>69</v>
      </c>
      <c r="ER41" s="3">
        <f t="shared" si="130"/>
        <v>0</v>
      </c>
      <c r="ES41" s="3">
        <f t="shared" si="131"/>
        <v>0</v>
      </c>
      <c r="ET41" s="46">
        <f t="shared" si="132"/>
        <v>0</v>
      </c>
      <c r="EU41" s="46">
        <f t="shared" si="133"/>
        <v>0</v>
      </c>
      <c r="EV41" s="46">
        <f t="shared" si="134"/>
        <v>0</v>
      </c>
      <c r="EW41" s="46">
        <f t="shared" si="135"/>
        <v>0</v>
      </c>
      <c r="EX41" s="46">
        <f t="shared" si="136"/>
        <v>0</v>
      </c>
      <c r="EY41" s="46">
        <f t="shared" si="137"/>
        <v>0</v>
      </c>
      <c r="EZ41" s="3">
        <f t="shared" si="138"/>
        <v>0</v>
      </c>
      <c r="FA41" s="3" t="s">
        <v>70</v>
      </c>
      <c r="FB41" s="3">
        <f t="shared" si="139"/>
        <v>0</v>
      </c>
      <c r="FC41" s="3" t="s">
        <v>70</v>
      </c>
      <c r="FD41" s="46">
        <f t="shared" si="140"/>
        <v>0</v>
      </c>
      <c r="FE41" s="46">
        <f t="shared" si="141"/>
        <v>0</v>
      </c>
      <c r="FF41" s="46">
        <f t="shared" si="142"/>
        <v>0</v>
      </c>
      <c r="FG41" s="46">
        <f t="shared" si="143"/>
        <v>0</v>
      </c>
      <c r="FH41" s="46">
        <f t="shared" si="144"/>
        <v>0</v>
      </c>
      <c r="FI41" s="46">
        <f t="shared" si="145"/>
        <v>0</v>
      </c>
      <c r="FJ41" s="3">
        <f t="shared" si="146"/>
        <v>0</v>
      </c>
      <c r="FK41" s="46">
        <f t="shared" si="147"/>
        <v>0</v>
      </c>
      <c r="FM41" s="74">
        <f>EL41+'EXTRALABORAL B '!BH223</f>
        <v>0</v>
      </c>
      <c r="FN41" s="74">
        <f t="shared" si="148"/>
        <v>0</v>
      </c>
    </row>
    <row r="42" spans="1:170">
      <c r="A42" s="3">
        <v>39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3">
        <f t="shared" si="106"/>
        <v>0</v>
      </c>
      <c r="DP42" s="3">
        <f t="shared" si="107"/>
        <v>0</v>
      </c>
      <c r="DQ42" s="3">
        <f t="shared" si="108"/>
        <v>0</v>
      </c>
      <c r="DR42" s="3" t="s">
        <v>69</v>
      </c>
      <c r="DS42" s="3">
        <f t="shared" si="109"/>
        <v>0</v>
      </c>
      <c r="DT42" s="3">
        <f t="shared" si="110"/>
        <v>0</v>
      </c>
      <c r="DU42" s="3">
        <f t="shared" si="111"/>
        <v>0</v>
      </c>
      <c r="DV42" s="3">
        <f t="shared" si="112"/>
        <v>0</v>
      </c>
      <c r="DW42" s="3">
        <f t="shared" si="113"/>
        <v>0</v>
      </c>
      <c r="DX42" s="3">
        <f t="shared" si="114"/>
        <v>0</v>
      </c>
      <c r="DY42" s="3">
        <f t="shared" si="115"/>
        <v>0</v>
      </c>
      <c r="DZ42" s="3">
        <f t="shared" si="116"/>
        <v>0</v>
      </c>
      <c r="EA42" s="3">
        <f t="shared" si="117"/>
        <v>0</v>
      </c>
      <c r="EB42" s="3" t="s">
        <v>70</v>
      </c>
      <c r="EC42" s="3">
        <f t="shared" si="118"/>
        <v>0</v>
      </c>
      <c r="ED42" s="3" t="s">
        <v>70</v>
      </c>
      <c r="EE42" s="3">
        <f t="shared" si="119"/>
        <v>0</v>
      </c>
      <c r="EF42" s="3">
        <f t="shared" si="120"/>
        <v>0</v>
      </c>
      <c r="EG42" s="3">
        <f t="shared" si="121"/>
        <v>0</v>
      </c>
      <c r="EH42" s="3">
        <f t="shared" si="122"/>
        <v>0</v>
      </c>
      <c r="EI42" s="3">
        <f t="shared" si="123"/>
        <v>0</v>
      </c>
      <c r="EJ42" s="3">
        <f t="shared" si="124"/>
        <v>0</v>
      </c>
      <c r="EK42" s="3">
        <f t="shared" si="125"/>
        <v>0</v>
      </c>
      <c r="EL42" s="24">
        <f t="shared" si="126"/>
        <v>0</v>
      </c>
      <c r="EM42" s="24"/>
      <c r="EN42" s="46">
        <f t="shared" si="127"/>
        <v>0</v>
      </c>
      <c r="EO42" s="46">
        <f t="shared" si="128"/>
        <v>0</v>
      </c>
      <c r="EP42" s="47">
        <f t="shared" si="129"/>
        <v>0</v>
      </c>
      <c r="EQ42" s="3" t="s">
        <v>69</v>
      </c>
      <c r="ER42" s="3">
        <f t="shared" si="130"/>
        <v>0</v>
      </c>
      <c r="ES42" s="3">
        <f t="shared" si="131"/>
        <v>0</v>
      </c>
      <c r="ET42" s="46">
        <f t="shared" si="132"/>
        <v>0</v>
      </c>
      <c r="EU42" s="46">
        <f t="shared" si="133"/>
        <v>0</v>
      </c>
      <c r="EV42" s="46">
        <f t="shared" si="134"/>
        <v>0</v>
      </c>
      <c r="EW42" s="46">
        <f t="shared" si="135"/>
        <v>0</v>
      </c>
      <c r="EX42" s="46">
        <f t="shared" si="136"/>
        <v>0</v>
      </c>
      <c r="EY42" s="46">
        <f t="shared" si="137"/>
        <v>0</v>
      </c>
      <c r="EZ42" s="3">
        <f t="shared" si="138"/>
        <v>0</v>
      </c>
      <c r="FA42" s="3" t="s">
        <v>70</v>
      </c>
      <c r="FB42" s="3">
        <f t="shared" si="139"/>
        <v>0</v>
      </c>
      <c r="FC42" s="3" t="s">
        <v>70</v>
      </c>
      <c r="FD42" s="46">
        <f t="shared" si="140"/>
        <v>0</v>
      </c>
      <c r="FE42" s="46">
        <f t="shared" si="141"/>
        <v>0</v>
      </c>
      <c r="FF42" s="46">
        <f t="shared" si="142"/>
        <v>0</v>
      </c>
      <c r="FG42" s="46">
        <f t="shared" si="143"/>
        <v>0</v>
      </c>
      <c r="FH42" s="46">
        <f t="shared" si="144"/>
        <v>0</v>
      </c>
      <c r="FI42" s="46">
        <f t="shared" si="145"/>
        <v>0</v>
      </c>
      <c r="FJ42" s="3">
        <f t="shared" si="146"/>
        <v>0</v>
      </c>
      <c r="FK42" s="46">
        <f t="shared" si="147"/>
        <v>0</v>
      </c>
      <c r="FM42" s="74">
        <f>EL42+'EXTRALABORAL B '!BH224</f>
        <v>0</v>
      </c>
      <c r="FN42" s="74">
        <f t="shared" si="148"/>
        <v>0</v>
      </c>
    </row>
    <row r="43" spans="1:170">
      <c r="A43" s="3">
        <v>40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3">
        <f t="shared" si="106"/>
        <v>0</v>
      </c>
      <c r="DP43" s="3">
        <f t="shared" si="107"/>
        <v>0</v>
      </c>
      <c r="DQ43" s="3">
        <f t="shared" si="108"/>
        <v>0</v>
      </c>
      <c r="DR43" s="3" t="s">
        <v>69</v>
      </c>
      <c r="DS43" s="3">
        <f t="shared" si="109"/>
        <v>0</v>
      </c>
      <c r="DT43" s="3">
        <f t="shared" si="110"/>
        <v>0</v>
      </c>
      <c r="DU43" s="3">
        <f t="shared" si="111"/>
        <v>0</v>
      </c>
      <c r="DV43" s="3">
        <f t="shared" si="112"/>
        <v>0</v>
      </c>
      <c r="DW43" s="3">
        <f t="shared" si="113"/>
        <v>0</v>
      </c>
      <c r="DX43" s="3">
        <f t="shared" si="114"/>
        <v>0</v>
      </c>
      <c r="DY43" s="3">
        <f t="shared" si="115"/>
        <v>0</v>
      </c>
      <c r="DZ43" s="3">
        <f t="shared" si="116"/>
        <v>0</v>
      </c>
      <c r="EA43" s="3">
        <f t="shared" si="117"/>
        <v>0</v>
      </c>
      <c r="EB43" s="3" t="s">
        <v>70</v>
      </c>
      <c r="EC43" s="3">
        <f t="shared" si="118"/>
        <v>0</v>
      </c>
      <c r="ED43" s="3" t="s">
        <v>70</v>
      </c>
      <c r="EE43" s="3">
        <f t="shared" si="119"/>
        <v>0</v>
      </c>
      <c r="EF43" s="3">
        <f t="shared" si="120"/>
        <v>0</v>
      </c>
      <c r="EG43" s="3">
        <f t="shared" si="121"/>
        <v>0</v>
      </c>
      <c r="EH43" s="3">
        <f t="shared" si="122"/>
        <v>0</v>
      </c>
      <c r="EI43" s="3">
        <f t="shared" si="123"/>
        <v>0</v>
      </c>
      <c r="EJ43" s="3">
        <f t="shared" si="124"/>
        <v>0</v>
      </c>
      <c r="EK43" s="3">
        <f t="shared" si="125"/>
        <v>0</v>
      </c>
      <c r="EL43" s="24">
        <f t="shared" si="126"/>
        <v>0</v>
      </c>
      <c r="EM43" s="24"/>
      <c r="EN43" s="46">
        <f t="shared" si="127"/>
        <v>0</v>
      </c>
      <c r="EO43" s="46">
        <f t="shared" si="128"/>
        <v>0</v>
      </c>
      <c r="EP43" s="47">
        <f t="shared" si="129"/>
        <v>0</v>
      </c>
      <c r="EQ43" s="3" t="s">
        <v>69</v>
      </c>
      <c r="ER43" s="3">
        <f t="shared" si="130"/>
        <v>0</v>
      </c>
      <c r="ES43" s="3">
        <f t="shared" si="131"/>
        <v>0</v>
      </c>
      <c r="ET43" s="46">
        <f t="shared" si="132"/>
        <v>0</v>
      </c>
      <c r="EU43" s="46">
        <f t="shared" si="133"/>
        <v>0</v>
      </c>
      <c r="EV43" s="46">
        <f t="shared" si="134"/>
        <v>0</v>
      </c>
      <c r="EW43" s="46">
        <f t="shared" si="135"/>
        <v>0</v>
      </c>
      <c r="EX43" s="46">
        <f t="shared" si="136"/>
        <v>0</v>
      </c>
      <c r="EY43" s="46">
        <f t="shared" si="137"/>
        <v>0</v>
      </c>
      <c r="EZ43" s="3">
        <f t="shared" si="138"/>
        <v>0</v>
      </c>
      <c r="FA43" s="3" t="s">
        <v>70</v>
      </c>
      <c r="FB43" s="3">
        <f t="shared" si="139"/>
        <v>0</v>
      </c>
      <c r="FC43" s="3" t="s">
        <v>70</v>
      </c>
      <c r="FD43" s="46">
        <f t="shared" si="140"/>
        <v>0</v>
      </c>
      <c r="FE43" s="46">
        <f t="shared" si="141"/>
        <v>0</v>
      </c>
      <c r="FF43" s="46">
        <f t="shared" si="142"/>
        <v>0</v>
      </c>
      <c r="FG43" s="46">
        <f t="shared" si="143"/>
        <v>0</v>
      </c>
      <c r="FH43" s="46">
        <f t="shared" si="144"/>
        <v>0</v>
      </c>
      <c r="FI43" s="46">
        <f t="shared" si="145"/>
        <v>0</v>
      </c>
      <c r="FJ43" s="3">
        <f t="shared" si="146"/>
        <v>0</v>
      </c>
      <c r="FK43" s="46">
        <f t="shared" si="147"/>
        <v>0</v>
      </c>
      <c r="FM43" s="74">
        <f>EL43+'EXTRALABORAL B '!BH225</f>
        <v>0</v>
      </c>
      <c r="FN43" s="74">
        <f t="shared" si="148"/>
        <v>0</v>
      </c>
    </row>
    <row r="44" spans="1:170">
      <c r="A44" s="3">
        <v>41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3">
        <f t="shared" si="106"/>
        <v>0</v>
      </c>
      <c r="DP44" s="3">
        <f t="shared" si="107"/>
        <v>0</v>
      </c>
      <c r="DQ44" s="3">
        <f t="shared" si="108"/>
        <v>0</v>
      </c>
      <c r="DR44" s="3" t="s">
        <v>69</v>
      </c>
      <c r="DS44" s="3">
        <f t="shared" si="109"/>
        <v>0</v>
      </c>
      <c r="DT44" s="3">
        <f t="shared" si="110"/>
        <v>0</v>
      </c>
      <c r="DU44" s="3">
        <f t="shared" si="111"/>
        <v>0</v>
      </c>
      <c r="DV44" s="3">
        <f t="shared" si="112"/>
        <v>0</v>
      </c>
      <c r="DW44" s="3">
        <f t="shared" si="113"/>
        <v>0</v>
      </c>
      <c r="DX44" s="3">
        <f t="shared" si="114"/>
        <v>0</v>
      </c>
      <c r="DY44" s="3">
        <f t="shared" si="115"/>
        <v>0</v>
      </c>
      <c r="DZ44" s="3">
        <f t="shared" si="116"/>
        <v>0</v>
      </c>
      <c r="EA44" s="3">
        <f t="shared" si="117"/>
        <v>0</v>
      </c>
      <c r="EB44" s="3" t="s">
        <v>70</v>
      </c>
      <c r="EC44" s="3">
        <f t="shared" si="118"/>
        <v>0</v>
      </c>
      <c r="ED44" s="3" t="s">
        <v>70</v>
      </c>
      <c r="EE44" s="3">
        <f t="shared" si="119"/>
        <v>0</v>
      </c>
      <c r="EF44" s="3">
        <f t="shared" si="120"/>
        <v>0</v>
      </c>
      <c r="EG44" s="3">
        <f t="shared" si="121"/>
        <v>0</v>
      </c>
      <c r="EH44" s="3">
        <f t="shared" si="122"/>
        <v>0</v>
      </c>
      <c r="EI44" s="3">
        <f t="shared" si="123"/>
        <v>0</v>
      </c>
      <c r="EJ44" s="3">
        <f t="shared" si="124"/>
        <v>0</v>
      </c>
      <c r="EK44" s="3">
        <f t="shared" si="125"/>
        <v>0</v>
      </c>
      <c r="EL44" s="24">
        <f t="shared" si="126"/>
        <v>0</v>
      </c>
      <c r="EM44" s="24"/>
      <c r="EN44" s="46">
        <f t="shared" si="127"/>
        <v>0</v>
      </c>
      <c r="EO44" s="46">
        <f t="shared" si="128"/>
        <v>0</v>
      </c>
      <c r="EP44" s="47">
        <f t="shared" si="129"/>
        <v>0</v>
      </c>
      <c r="EQ44" s="3" t="s">
        <v>69</v>
      </c>
      <c r="ER44" s="3">
        <f t="shared" si="130"/>
        <v>0</v>
      </c>
      <c r="ES44" s="3">
        <f t="shared" si="131"/>
        <v>0</v>
      </c>
      <c r="ET44" s="46">
        <f t="shared" si="132"/>
        <v>0</v>
      </c>
      <c r="EU44" s="46">
        <f t="shared" si="133"/>
        <v>0</v>
      </c>
      <c r="EV44" s="46">
        <f t="shared" si="134"/>
        <v>0</v>
      </c>
      <c r="EW44" s="46">
        <f t="shared" si="135"/>
        <v>0</v>
      </c>
      <c r="EX44" s="46">
        <f t="shared" si="136"/>
        <v>0</v>
      </c>
      <c r="EY44" s="46">
        <f t="shared" si="137"/>
        <v>0</v>
      </c>
      <c r="EZ44" s="3">
        <f t="shared" si="138"/>
        <v>0</v>
      </c>
      <c r="FA44" s="3" t="s">
        <v>70</v>
      </c>
      <c r="FB44" s="3">
        <f t="shared" si="139"/>
        <v>0</v>
      </c>
      <c r="FC44" s="3" t="s">
        <v>70</v>
      </c>
      <c r="FD44" s="46">
        <f t="shared" si="140"/>
        <v>0</v>
      </c>
      <c r="FE44" s="46">
        <f t="shared" si="141"/>
        <v>0</v>
      </c>
      <c r="FF44" s="46">
        <f t="shared" si="142"/>
        <v>0</v>
      </c>
      <c r="FG44" s="46">
        <f t="shared" si="143"/>
        <v>0</v>
      </c>
      <c r="FH44" s="46">
        <f t="shared" si="144"/>
        <v>0</v>
      </c>
      <c r="FI44" s="46">
        <f t="shared" si="145"/>
        <v>0</v>
      </c>
      <c r="FJ44" s="3">
        <f t="shared" si="146"/>
        <v>0</v>
      </c>
      <c r="FK44" s="46">
        <f t="shared" si="147"/>
        <v>0</v>
      </c>
      <c r="FM44" s="74">
        <f>EL44+'EXTRALABORAL B '!BH226</f>
        <v>0</v>
      </c>
      <c r="FN44" s="74">
        <f t="shared" si="148"/>
        <v>0</v>
      </c>
    </row>
    <row r="45" spans="1:170">
      <c r="A45" s="3">
        <v>42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3">
        <f t="shared" si="106"/>
        <v>0</v>
      </c>
      <c r="DP45" s="3">
        <f t="shared" si="107"/>
        <v>0</v>
      </c>
      <c r="DQ45" s="3">
        <f t="shared" si="108"/>
        <v>0</v>
      </c>
      <c r="DR45" s="3" t="s">
        <v>69</v>
      </c>
      <c r="DS45" s="3">
        <f t="shared" si="109"/>
        <v>0</v>
      </c>
      <c r="DT45" s="3">
        <f t="shared" si="110"/>
        <v>0</v>
      </c>
      <c r="DU45" s="3">
        <f t="shared" si="111"/>
        <v>0</v>
      </c>
      <c r="DV45" s="3">
        <f t="shared" si="112"/>
        <v>0</v>
      </c>
      <c r="DW45" s="3">
        <f t="shared" si="113"/>
        <v>0</v>
      </c>
      <c r="DX45" s="3">
        <f t="shared" si="114"/>
        <v>0</v>
      </c>
      <c r="DY45" s="3">
        <f t="shared" si="115"/>
        <v>0</v>
      </c>
      <c r="DZ45" s="3">
        <f t="shared" si="116"/>
        <v>0</v>
      </c>
      <c r="EA45" s="3">
        <f t="shared" si="117"/>
        <v>0</v>
      </c>
      <c r="EB45" s="3" t="s">
        <v>70</v>
      </c>
      <c r="EC45" s="3">
        <f t="shared" si="118"/>
        <v>0</v>
      </c>
      <c r="ED45" s="3" t="s">
        <v>70</v>
      </c>
      <c r="EE45" s="3">
        <f t="shared" si="119"/>
        <v>0</v>
      </c>
      <c r="EF45" s="3">
        <f t="shared" si="120"/>
        <v>0</v>
      </c>
      <c r="EG45" s="3">
        <f t="shared" si="121"/>
        <v>0</v>
      </c>
      <c r="EH45" s="3">
        <f t="shared" si="122"/>
        <v>0</v>
      </c>
      <c r="EI45" s="3">
        <f t="shared" si="123"/>
        <v>0</v>
      </c>
      <c r="EJ45" s="3">
        <f t="shared" si="124"/>
        <v>0</v>
      </c>
      <c r="EK45" s="3">
        <f t="shared" si="125"/>
        <v>0</v>
      </c>
      <c r="EL45" s="24">
        <f t="shared" si="126"/>
        <v>0</v>
      </c>
      <c r="EM45" s="24"/>
      <c r="EN45" s="46">
        <f t="shared" si="127"/>
        <v>0</v>
      </c>
      <c r="EO45" s="46">
        <f t="shared" si="128"/>
        <v>0</v>
      </c>
      <c r="EP45" s="47">
        <f t="shared" si="129"/>
        <v>0</v>
      </c>
      <c r="EQ45" s="3" t="s">
        <v>69</v>
      </c>
      <c r="ER45" s="3">
        <f t="shared" si="130"/>
        <v>0</v>
      </c>
      <c r="ES45" s="3">
        <f t="shared" si="131"/>
        <v>0</v>
      </c>
      <c r="ET45" s="46">
        <f t="shared" si="132"/>
        <v>0</v>
      </c>
      <c r="EU45" s="46">
        <f t="shared" si="133"/>
        <v>0</v>
      </c>
      <c r="EV45" s="46">
        <f t="shared" si="134"/>
        <v>0</v>
      </c>
      <c r="EW45" s="46">
        <f t="shared" si="135"/>
        <v>0</v>
      </c>
      <c r="EX45" s="46">
        <f t="shared" si="136"/>
        <v>0</v>
      </c>
      <c r="EY45" s="46">
        <f t="shared" si="137"/>
        <v>0</v>
      </c>
      <c r="EZ45" s="3">
        <f t="shared" si="138"/>
        <v>0</v>
      </c>
      <c r="FA45" s="3" t="s">
        <v>70</v>
      </c>
      <c r="FB45" s="3">
        <f t="shared" si="139"/>
        <v>0</v>
      </c>
      <c r="FC45" s="3" t="s">
        <v>70</v>
      </c>
      <c r="FD45" s="46">
        <f t="shared" si="140"/>
        <v>0</v>
      </c>
      <c r="FE45" s="46">
        <f t="shared" si="141"/>
        <v>0</v>
      </c>
      <c r="FF45" s="46">
        <f t="shared" si="142"/>
        <v>0</v>
      </c>
      <c r="FG45" s="46">
        <f t="shared" si="143"/>
        <v>0</v>
      </c>
      <c r="FH45" s="46">
        <f t="shared" si="144"/>
        <v>0</v>
      </c>
      <c r="FI45" s="46">
        <f t="shared" si="145"/>
        <v>0</v>
      </c>
      <c r="FJ45" s="3">
        <f t="shared" si="146"/>
        <v>0</v>
      </c>
      <c r="FK45" s="46">
        <f t="shared" si="147"/>
        <v>0</v>
      </c>
      <c r="FM45" s="74">
        <f>EL45+'EXTRALABORAL B '!BH227</f>
        <v>0</v>
      </c>
      <c r="FN45" s="74">
        <f t="shared" si="148"/>
        <v>0</v>
      </c>
    </row>
    <row r="46" spans="1:170">
      <c r="A46" s="3">
        <v>43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3">
        <f t="shared" si="106"/>
        <v>0</v>
      </c>
      <c r="DP46" s="3">
        <f t="shared" si="107"/>
        <v>0</v>
      </c>
      <c r="DQ46" s="3">
        <f t="shared" si="108"/>
        <v>0</v>
      </c>
      <c r="DR46" s="3" t="s">
        <v>69</v>
      </c>
      <c r="DS46" s="3">
        <f t="shared" si="109"/>
        <v>0</v>
      </c>
      <c r="DT46" s="3">
        <f t="shared" si="110"/>
        <v>0</v>
      </c>
      <c r="DU46" s="3">
        <f t="shared" si="111"/>
        <v>0</v>
      </c>
      <c r="DV46" s="3">
        <f t="shared" si="112"/>
        <v>0</v>
      </c>
      <c r="DW46" s="3">
        <f t="shared" si="113"/>
        <v>0</v>
      </c>
      <c r="DX46" s="3">
        <f t="shared" si="114"/>
        <v>0</v>
      </c>
      <c r="DY46" s="3">
        <f t="shared" si="115"/>
        <v>0</v>
      </c>
      <c r="DZ46" s="3">
        <f t="shared" si="116"/>
        <v>0</v>
      </c>
      <c r="EA46" s="3">
        <f t="shared" si="117"/>
        <v>0</v>
      </c>
      <c r="EB46" s="3" t="s">
        <v>70</v>
      </c>
      <c r="EC46" s="3">
        <f t="shared" si="118"/>
        <v>0</v>
      </c>
      <c r="ED46" s="3" t="s">
        <v>70</v>
      </c>
      <c r="EE46" s="3">
        <f t="shared" si="119"/>
        <v>0</v>
      </c>
      <c r="EF46" s="3">
        <f t="shared" si="120"/>
        <v>0</v>
      </c>
      <c r="EG46" s="3">
        <f t="shared" si="121"/>
        <v>0</v>
      </c>
      <c r="EH46" s="3">
        <f t="shared" si="122"/>
        <v>0</v>
      </c>
      <c r="EI46" s="3">
        <f t="shared" si="123"/>
        <v>0</v>
      </c>
      <c r="EJ46" s="3">
        <f t="shared" si="124"/>
        <v>0</v>
      </c>
      <c r="EK46" s="3">
        <f t="shared" si="125"/>
        <v>0</v>
      </c>
      <c r="EL46" s="24">
        <f t="shared" si="126"/>
        <v>0</v>
      </c>
      <c r="EM46" s="24"/>
      <c r="EN46" s="46">
        <f t="shared" si="127"/>
        <v>0</v>
      </c>
      <c r="EO46" s="46">
        <f t="shared" si="128"/>
        <v>0</v>
      </c>
      <c r="EP46" s="47">
        <f t="shared" si="129"/>
        <v>0</v>
      </c>
      <c r="EQ46" s="3" t="s">
        <v>69</v>
      </c>
      <c r="ER46" s="3">
        <f t="shared" si="130"/>
        <v>0</v>
      </c>
      <c r="ES46" s="3">
        <f t="shared" si="131"/>
        <v>0</v>
      </c>
      <c r="ET46" s="46">
        <f t="shared" si="132"/>
        <v>0</v>
      </c>
      <c r="EU46" s="46">
        <f t="shared" si="133"/>
        <v>0</v>
      </c>
      <c r="EV46" s="46">
        <f t="shared" si="134"/>
        <v>0</v>
      </c>
      <c r="EW46" s="46">
        <f t="shared" si="135"/>
        <v>0</v>
      </c>
      <c r="EX46" s="46">
        <f t="shared" si="136"/>
        <v>0</v>
      </c>
      <c r="EY46" s="46">
        <f t="shared" si="137"/>
        <v>0</v>
      </c>
      <c r="EZ46" s="3">
        <f t="shared" si="138"/>
        <v>0</v>
      </c>
      <c r="FA46" s="3" t="s">
        <v>70</v>
      </c>
      <c r="FB46" s="3">
        <f t="shared" si="139"/>
        <v>0</v>
      </c>
      <c r="FC46" s="3" t="s">
        <v>70</v>
      </c>
      <c r="FD46" s="46">
        <f t="shared" si="140"/>
        <v>0</v>
      </c>
      <c r="FE46" s="46">
        <f t="shared" si="141"/>
        <v>0</v>
      </c>
      <c r="FF46" s="46">
        <f t="shared" si="142"/>
        <v>0</v>
      </c>
      <c r="FG46" s="46">
        <f t="shared" si="143"/>
        <v>0</v>
      </c>
      <c r="FH46" s="46">
        <f t="shared" si="144"/>
        <v>0</v>
      </c>
      <c r="FI46" s="46">
        <f t="shared" si="145"/>
        <v>0</v>
      </c>
      <c r="FJ46" s="3">
        <f t="shared" si="146"/>
        <v>0</v>
      </c>
      <c r="FK46" s="46">
        <f t="shared" si="147"/>
        <v>0</v>
      </c>
      <c r="FM46" s="74">
        <f>EL46+'EXTRALABORAL B '!BH228</f>
        <v>0</v>
      </c>
      <c r="FN46" s="74">
        <f t="shared" si="148"/>
        <v>0</v>
      </c>
    </row>
    <row r="47" spans="1:170">
      <c r="A47" s="3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3">
        <f t="shared" si="106"/>
        <v>0</v>
      </c>
      <c r="DP47" s="3">
        <f t="shared" si="107"/>
        <v>0</v>
      </c>
      <c r="DQ47" s="3">
        <f t="shared" si="108"/>
        <v>0</v>
      </c>
      <c r="DR47" s="3" t="s">
        <v>69</v>
      </c>
      <c r="DS47" s="3">
        <f t="shared" si="109"/>
        <v>0</v>
      </c>
      <c r="DT47" s="3">
        <f t="shared" si="110"/>
        <v>0</v>
      </c>
      <c r="DU47" s="3">
        <f t="shared" si="111"/>
        <v>0</v>
      </c>
      <c r="DV47" s="3">
        <f t="shared" si="112"/>
        <v>0</v>
      </c>
      <c r="DW47" s="3">
        <f t="shared" si="113"/>
        <v>0</v>
      </c>
      <c r="DX47" s="3">
        <f t="shared" si="114"/>
        <v>0</v>
      </c>
      <c r="DY47" s="3">
        <f t="shared" si="115"/>
        <v>0</v>
      </c>
      <c r="DZ47" s="3">
        <f t="shared" si="116"/>
        <v>0</v>
      </c>
      <c r="EA47" s="3">
        <f t="shared" si="117"/>
        <v>0</v>
      </c>
      <c r="EB47" s="3" t="s">
        <v>70</v>
      </c>
      <c r="EC47" s="3">
        <f t="shared" si="118"/>
        <v>0</v>
      </c>
      <c r="ED47" s="3" t="s">
        <v>70</v>
      </c>
      <c r="EE47" s="3">
        <f t="shared" si="119"/>
        <v>0</v>
      </c>
      <c r="EF47" s="3">
        <f t="shared" si="120"/>
        <v>0</v>
      </c>
      <c r="EG47" s="3">
        <f t="shared" si="121"/>
        <v>0</v>
      </c>
      <c r="EH47" s="3">
        <f t="shared" si="122"/>
        <v>0</v>
      </c>
      <c r="EI47" s="3">
        <f t="shared" si="123"/>
        <v>0</v>
      </c>
      <c r="EJ47" s="3">
        <f t="shared" si="124"/>
        <v>0</v>
      </c>
      <c r="EK47" s="3">
        <f t="shared" si="125"/>
        <v>0</v>
      </c>
      <c r="EL47" s="24">
        <f t="shared" si="126"/>
        <v>0</v>
      </c>
      <c r="EM47" s="24"/>
      <c r="EN47" s="46">
        <f t="shared" si="127"/>
        <v>0</v>
      </c>
      <c r="EO47" s="46">
        <f t="shared" si="128"/>
        <v>0</v>
      </c>
      <c r="EP47" s="47">
        <f t="shared" si="129"/>
        <v>0</v>
      </c>
      <c r="EQ47" s="3" t="s">
        <v>69</v>
      </c>
      <c r="ER47" s="3">
        <f t="shared" si="130"/>
        <v>0</v>
      </c>
      <c r="ES47" s="3">
        <f t="shared" si="131"/>
        <v>0</v>
      </c>
      <c r="ET47" s="46">
        <f t="shared" si="132"/>
        <v>0</v>
      </c>
      <c r="EU47" s="46">
        <f t="shared" si="133"/>
        <v>0</v>
      </c>
      <c r="EV47" s="46">
        <f t="shared" si="134"/>
        <v>0</v>
      </c>
      <c r="EW47" s="46">
        <f t="shared" si="135"/>
        <v>0</v>
      </c>
      <c r="EX47" s="46">
        <f t="shared" si="136"/>
        <v>0</v>
      </c>
      <c r="EY47" s="46">
        <f t="shared" si="137"/>
        <v>0</v>
      </c>
      <c r="EZ47" s="3">
        <f t="shared" si="138"/>
        <v>0</v>
      </c>
      <c r="FA47" s="3" t="s">
        <v>70</v>
      </c>
      <c r="FB47" s="3">
        <f t="shared" si="139"/>
        <v>0</v>
      </c>
      <c r="FC47" s="3" t="s">
        <v>70</v>
      </c>
      <c r="FD47" s="46">
        <f t="shared" si="140"/>
        <v>0</v>
      </c>
      <c r="FE47" s="46">
        <f t="shared" si="141"/>
        <v>0</v>
      </c>
      <c r="FF47" s="46">
        <f t="shared" si="142"/>
        <v>0</v>
      </c>
      <c r="FG47" s="46">
        <f t="shared" si="143"/>
        <v>0</v>
      </c>
      <c r="FH47" s="46">
        <f t="shared" si="144"/>
        <v>0</v>
      </c>
      <c r="FI47" s="46">
        <f t="shared" si="145"/>
        <v>0</v>
      </c>
      <c r="FJ47" s="3">
        <f t="shared" si="146"/>
        <v>0</v>
      </c>
      <c r="FK47" s="46">
        <f t="shared" si="147"/>
        <v>0</v>
      </c>
      <c r="FM47" s="74">
        <f>EL47+'EXTRALABORAL B '!BH229</f>
        <v>0</v>
      </c>
      <c r="FN47" s="74">
        <f t="shared" si="148"/>
        <v>0</v>
      </c>
    </row>
    <row r="48" spans="1:170">
      <c r="A48" s="3">
        <v>45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3">
        <f t="shared" si="106"/>
        <v>0</v>
      </c>
      <c r="DP48" s="3">
        <f t="shared" si="107"/>
        <v>0</v>
      </c>
      <c r="DQ48" s="3">
        <f t="shared" si="108"/>
        <v>0</v>
      </c>
      <c r="DR48" s="3" t="s">
        <v>69</v>
      </c>
      <c r="DS48" s="3">
        <f t="shared" si="109"/>
        <v>0</v>
      </c>
      <c r="DT48" s="3">
        <f t="shared" si="110"/>
        <v>0</v>
      </c>
      <c r="DU48" s="3">
        <f t="shared" si="111"/>
        <v>0</v>
      </c>
      <c r="DV48" s="3">
        <f t="shared" si="112"/>
        <v>0</v>
      </c>
      <c r="DW48" s="3">
        <f t="shared" si="113"/>
        <v>0</v>
      </c>
      <c r="DX48" s="3">
        <f t="shared" si="114"/>
        <v>0</v>
      </c>
      <c r="DY48" s="3">
        <f t="shared" si="115"/>
        <v>0</v>
      </c>
      <c r="DZ48" s="3">
        <f t="shared" si="116"/>
        <v>0</v>
      </c>
      <c r="EA48" s="3">
        <f t="shared" si="117"/>
        <v>0</v>
      </c>
      <c r="EB48" s="3" t="s">
        <v>70</v>
      </c>
      <c r="EC48" s="3">
        <f t="shared" si="118"/>
        <v>0</v>
      </c>
      <c r="ED48" s="3" t="s">
        <v>70</v>
      </c>
      <c r="EE48" s="3">
        <f t="shared" si="119"/>
        <v>0</v>
      </c>
      <c r="EF48" s="3">
        <f t="shared" si="120"/>
        <v>0</v>
      </c>
      <c r="EG48" s="3">
        <f t="shared" si="121"/>
        <v>0</v>
      </c>
      <c r="EH48" s="3">
        <f t="shared" si="122"/>
        <v>0</v>
      </c>
      <c r="EI48" s="3">
        <f t="shared" si="123"/>
        <v>0</v>
      </c>
      <c r="EJ48" s="3">
        <f t="shared" si="124"/>
        <v>0</v>
      </c>
      <c r="EK48" s="3">
        <f t="shared" si="125"/>
        <v>0</v>
      </c>
      <c r="EL48" s="24">
        <f t="shared" si="126"/>
        <v>0</v>
      </c>
      <c r="EM48" s="24"/>
      <c r="EN48" s="46">
        <f t="shared" si="127"/>
        <v>0</v>
      </c>
      <c r="EO48" s="46">
        <f t="shared" si="128"/>
        <v>0</v>
      </c>
      <c r="EP48" s="47">
        <f t="shared" si="129"/>
        <v>0</v>
      </c>
      <c r="EQ48" s="3" t="s">
        <v>69</v>
      </c>
      <c r="ER48" s="3">
        <f t="shared" si="130"/>
        <v>0</v>
      </c>
      <c r="ES48" s="3">
        <f t="shared" si="131"/>
        <v>0</v>
      </c>
      <c r="ET48" s="46">
        <f t="shared" si="132"/>
        <v>0</v>
      </c>
      <c r="EU48" s="46">
        <f t="shared" si="133"/>
        <v>0</v>
      </c>
      <c r="EV48" s="46">
        <f t="shared" si="134"/>
        <v>0</v>
      </c>
      <c r="EW48" s="46">
        <f t="shared" si="135"/>
        <v>0</v>
      </c>
      <c r="EX48" s="46">
        <f t="shared" si="136"/>
        <v>0</v>
      </c>
      <c r="EY48" s="46">
        <f t="shared" si="137"/>
        <v>0</v>
      </c>
      <c r="EZ48" s="3">
        <f t="shared" si="138"/>
        <v>0</v>
      </c>
      <c r="FA48" s="3" t="s">
        <v>70</v>
      </c>
      <c r="FB48" s="3">
        <f t="shared" si="139"/>
        <v>0</v>
      </c>
      <c r="FC48" s="3" t="s">
        <v>70</v>
      </c>
      <c r="FD48" s="46">
        <f t="shared" si="140"/>
        <v>0</v>
      </c>
      <c r="FE48" s="46">
        <f t="shared" si="141"/>
        <v>0</v>
      </c>
      <c r="FF48" s="46">
        <f t="shared" si="142"/>
        <v>0</v>
      </c>
      <c r="FG48" s="46">
        <f t="shared" si="143"/>
        <v>0</v>
      </c>
      <c r="FH48" s="46">
        <f t="shared" si="144"/>
        <v>0</v>
      </c>
      <c r="FI48" s="46">
        <f t="shared" si="145"/>
        <v>0</v>
      </c>
      <c r="FJ48" s="3">
        <f t="shared" si="146"/>
        <v>0</v>
      </c>
      <c r="FK48" s="46">
        <f t="shared" si="147"/>
        <v>0</v>
      </c>
      <c r="FM48" s="74">
        <f>EL48+'EXTRALABORAL B '!BH230</f>
        <v>0</v>
      </c>
      <c r="FN48" s="74">
        <f t="shared" si="148"/>
        <v>0</v>
      </c>
    </row>
    <row r="49" spans="1:170">
      <c r="A49" s="3">
        <v>46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3">
        <f t="shared" si="106"/>
        <v>0</v>
      </c>
      <c r="DP49" s="3">
        <f t="shared" si="107"/>
        <v>0</v>
      </c>
      <c r="DQ49" s="3">
        <f t="shared" si="108"/>
        <v>0</v>
      </c>
      <c r="DR49" s="3" t="s">
        <v>69</v>
      </c>
      <c r="DS49" s="3">
        <f t="shared" si="109"/>
        <v>0</v>
      </c>
      <c r="DT49" s="3">
        <f t="shared" si="110"/>
        <v>0</v>
      </c>
      <c r="DU49" s="3">
        <f t="shared" si="111"/>
        <v>0</v>
      </c>
      <c r="DV49" s="3">
        <f t="shared" si="112"/>
        <v>0</v>
      </c>
      <c r="DW49" s="3">
        <f t="shared" si="113"/>
        <v>0</v>
      </c>
      <c r="DX49" s="3">
        <f t="shared" si="114"/>
        <v>0</v>
      </c>
      <c r="DY49" s="3">
        <f t="shared" si="115"/>
        <v>0</v>
      </c>
      <c r="DZ49" s="3">
        <f t="shared" si="116"/>
        <v>0</v>
      </c>
      <c r="EA49" s="3">
        <f t="shared" si="117"/>
        <v>0</v>
      </c>
      <c r="EB49" s="3" t="s">
        <v>70</v>
      </c>
      <c r="EC49" s="3">
        <f t="shared" si="118"/>
        <v>0</v>
      </c>
      <c r="ED49" s="3" t="s">
        <v>70</v>
      </c>
      <c r="EE49" s="3">
        <f t="shared" si="119"/>
        <v>0</v>
      </c>
      <c r="EF49" s="3">
        <f t="shared" si="120"/>
        <v>0</v>
      </c>
      <c r="EG49" s="3">
        <f t="shared" si="121"/>
        <v>0</v>
      </c>
      <c r="EH49" s="3">
        <f t="shared" si="122"/>
        <v>0</v>
      </c>
      <c r="EI49" s="3">
        <f t="shared" si="123"/>
        <v>0</v>
      </c>
      <c r="EJ49" s="3">
        <f t="shared" si="124"/>
        <v>0</v>
      </c>
      <c r="EK49" s="3">
        <f t="shared" si="125"/>
        <v>0</v>
      </c>
      <c r="EL49" s="24">
        <f t="shared" si="126"/>
        <v>0</v>
      </c>
      <c r="EM49" s="24"/>
      <c r="EN49" s="46">
        <f t="shared" si="127"/>
        <v>0</v>
      </c>
      <c r="EO49" s="46">
        <f t="shared" si="128"/>
        <v>0</v>
      </c>
      <c r="EP49" s="47">
        <f t="shared" si="129"/>
        <v>0</v>
      </c>
      <c r="EQ49" s="3" t="s">
        <v>69</v>
      </c>
      <c r="ER49" s="3">
        <f t="shared" si="130"/>
        <v>0</v>
      </c>
      <c r="ES49" s="3">
        <f t="shared" si="131"/>
        <v>0</v>
      </c>
      <c r="ET49" s="46">
        <f t="shared" si="132"/>
        <v>0</v>
      </c>
      <c r="EU49" s="46">
        <f t="shared" si="133"/>
        <v>0</v>
      </c>
      <c r="EV49" s="46">
        <f t="shared" si="134"/>
        <v>0</v>
      </c>
      <c r="EW49" s="46">
        <f t="shared" si="135"/>
        <v>0</v>
      </c>
      <c r="EX49" s="46">
        <f t="shared" si="136"/>
        <v>0</v>
      </c>
      <c r="EY49" s="46">
        <f t="shared" si="137"/>
        <v>0</v>
      </c>
      <c r="EZ49" s="3">
        <f t="shared" si="138"/>
        <v>0</v>
      </c>
      <c r="FA49" s="3" t="s">
        <v>70</v>
      </c>
      <c r="FB49" s="3">
        <f t="shared" si="139"/>
        <v>0</v>
      </c>
      <c r="FC49" s="3" t="s">
        <v>70</v>
      </c>
      <c r="FD49" s="46">
        <f t="shared" si="140"/>
        <v>0</v>
      </c>
      <c r="FE49" s="46">
        <f t="shared" si="141"/>
        <v>0</v>
      </c>
      <c r="FF49" s="46">
        <f t="shared" si="142"/>
        <v>0</v>
      </c>
      <c r="FG49" s="46">
        <f t="shared" si="143"/>
        <v>0</v>
      </c>
      <c r="FH49" s="46">
        <f t="shared" si="144"/>
        <v>0</v>
      </c>
      <c r="FI49" s="46">
        <f t="shared" si="145"/>
        <v>0</v>
      </c>
      <c r="FJ49" s="3">
        <f t="shared" si="146"/>
        <v>0</v>
      </c>
      <c r="FK49" s="46">
        <f t="shared" si="147"/>
        <v>0</v>
      </c>
      <c r="FM49" s="74">
        <f>EL49+'EXTRALABORAL B '!BH231</f>
        <v>0</v>
      </c>
      <c r="FN49" s="74">
        <f t="shared" si="148"/>
        <v>0</v>
      </c>
    </row>
    <row r="50" spans="1:170">
      <c r="A50" s="3">
        <v>47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3">
        <f>+SUM(BR50:CD50)</f>
        <v>0</v>
      </c>
      <c r="DP50" s="3">
        <f>+SUM(CE50:CP50)</f>
        <v>0</v>
      </c>
      <c r="DQ50" s="3">
        <f>+SUM(CQ50:CU50)</f>
        <v>0</v>
      </c>
      <c r="DR50" s="3" t="s">
        <v>69</v>
      </c>
      <c r="DS50" s="3">
        <f>+SUM(BJ50:BN50)</f>
        <v>0</v>
      </c>
      <c r="DT50" s="3">
        <f>+SUM(BO50:BQ50)</f>
        <v>0</v>
      </c>
      <c r="DU50" s="3">
        <f>+SUM(BG50:BI50)</f>
        <v>0</v>
      </c>
      <c r="DV50" s="3">
        <f>+SUM(AX50:BA50)</f>
        <v>0</v>
      </c>
      <c r="DW50" s="3">
        <f>+SUM(BC50:BE50)</f>
        <v>0</v>
      </c>
      <c r="DX50" s="3">
        <f>+SUM(V50:AG50)</f>
        <v>0</v>
      </c>
      <c r="DY50" s="3">
        <f>+SUM(DF50:DN50)</f>
        <v>0</v>
      </c>
      <c r="DZ50" s="3">
        <f>+SUM(AH50:AJ50)</f>
        <v>0</v>
      </c>
      <c r="EA50" s="3">
        <f>+SUM(AT50:AW50)</f>
        <v>0</v>
      </c>
      <c r="EB50" s="3" t="s">
        <v>70</v>
      </c>
      <c r="EC50" s="3">
        <f>+SUM(AK50:AO50)</f>
        <v>0</v>
      </c>
      <c r="ED50" s="3" t="s">
        <v>70</v>
      </c>
      <c r="EE50" s="3">
        <f>+SUM(AP50+AQ50+AR50+AS50+BB50+BF50)</f>
        <v>0</v>
      </c>
      <c r="EF50" s="3">
        <f>+SUM(DB50:DE50)</f>
        <v>0</v>
      </c>
      <c r="EG50" s="3">
        <f>+SUM(CV50:DA50)</f>
        <v>0</v>
      </c>
      <c r="EH50" s="3">
        <f>+SUM(DO50:DQ50)</f>
        <v>0</v>
      </c>
      <c r="EI50" s="3">
        <f>+SUM(DS50:DW50)</f>
        <v>0</v>
      </c>
      <c r="EJ50" s="3">
        <f>+SUM(DX50:EE50)</f>
        <v>0</v>
      </c>
      <c r="EK50" s="3">
        <f>+SUM(EF50:EG50)</f>
        <v>0</v>
      </c>
      <c r="EL50" s="24">
        <f>+SUM(EH50:EK50)</f>
        <v>0</v>
      </c>
      <c r="EM50" s="24"/>
      <c r="EN50" s="46">
        <f>+SUM(DO50/52)*100</f>
        <v>0</v>
      </c>
      <c r="EO50" s="46">
        <f>+SUM(DP50/48)*100</f>
        <v>0</v>
      </c>
      <c r="EP50" s="47">
        <f>+SUM(DQ50/20)*100</f>
        <v>0</v>
      </c>
      <c r="EQ50" s="3" t="s">
        <v>69</v>
      </c>
      <c r="ER50" s="3">
        <f>+SUM(DS50/20)*100</f>
        <v>0</v>
      </c>
      <c r="ES50" s="3">
        <f>+SUM(DT50/12)*100</f>
        <v>0</v>
      </c>
      <c r="ET50" s="46">
        <f>+SUM(DU50/12)*100</f>
        <v>0</v>
      </c>
      <c r="EU50" s="46">
        <f>+SUM(DV50/16)*100</f>
        <v>0</v>
      </c>
      <c r="EV50" s="46">
        <f>+SUM(DW50/12)*100</f>
        <v>0</v>
      </c>
      <c r="EW50" s="46">
        <f>+SUM(DX50/48)*100</f>
        <v>0</v>
      </c>
      <c r="EX50" s="46">
        <f>+SUM(DY50/36)*100</f>
        <v>0</v>
      </c>
      <c r="EY50" s="46">
        <f>+SUM(DZ50/12)*100</f>
        <v>0</v>
      </c>
      <c r="EZ50" s="3">
        <f>+SUM(EA50/16)*100</f>
        <v>0</v>
      </c>
      <c r="FA50" s="3" t="s">
        <v>70</v>
      </c>
      <c r="FB50" s="3">
        <f>+SUM(EC50/20)*100</f>
        <v>0</v>
      </c>
      <c r="FC50" s="3" t="s">
        <v>70</v>
      </c>
      <c r="FD50" s="46">
        <f>+SUM(EE50/24)*100</f>
        <v>0</v>
      </c>
      <c r="FE50" s="46">
        <f>+SUM(EF50/16)*100</f>
        <v>0</v>
      </c>
      <c r="FF50" s="46">
        <f>+SUM(EG50/24)*100</f>
        <v>0</v>
      </c>
      <c r="FG50" s="46">
        <f>+SUM(EH50/120)*100</f>
        <v>0</v>
      </c>
      <c r="FH50" s="46">
        <f>+SUM(EI50/72)*100</f>
        <v>0</v>
      </c>
      <c r="FI50" s="46">
        <f>+SUM(EJ50/156)*100</f>
        <v>0</v>
      </c>
      <c r="FJ50" s="3">
        <f>+SUM(EK50/40)*100</f>
        <v>0</v>
      </c>
      <c r="FK50" s="46">
        <f>+SUM(EL50/388)*100</f>
        <v>0</v>
      </c>
      <c r="FM50" s="74">
        <f>EL50+'EXTRALABORAL B '!BH232</f>
        <v>0</v>
      </c>
      <c r="FN50" s="74">
        <f>+(FM50/512)*100</f>
        <v>0</v>
      </c>
    </row>
    <row r="51" spans="1:170">
      <c r="A51" s="3">
        <v>48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3">
        <f t="shared" ref="DO51:DO64" si="149">+SUM(BR51:CD51)</f>
        <v>0</v>
      </c>
      <c r="DP51" s="3">
        <f t="shared" ref="DP51:DP64" si="150">+SUM(CE51:CP51)</f>
        <v>0</v>
      </c>
      <c r="DQ51" s="3">
        <f t="shared" ref="DQ51:DQ64" si="151">+SUM(CQ51:CU51)</f>
        <v>0</v>
      </c>
      <c r="DR51" s="3" t="s">
        <v>69</v>
      </c>
      <c r="DS51" s="3">
        <f t="shared" ref="DS51:DS64" si="152">+SUM(BJ51:BN51)</f>
        <v>0</v>
      </c>
      <c r="DT51" s="3">
        <f t="shared" ref="DT51:DT64" si="153">+SUM(BO51:BQ51)</f>
        <v>0</v>
      </c>
      <c r="DU51" s="3">
        <f t="shared" ref="DU51:DU64" si="154">+SUM(BG51:BI51)</f>
        <v>0</v>
      </c>
      <c r="DV51" s="3">
        <f t="shared" ref="DV51:DV64" si="155">+SUM(AX51:BA51)</f>
        <v>0</v>
      </c>
      <c r="DW51" s="3">
        <f t="shared" ref="DW51:DW64" si="156">+SUM(BC51:BE51)</f>
        <v>0</v>
      </c>
      <c r="DX51" s="3">
        <f t="shared" ref="DX51:DX64" si="157">+SUM(V51:AG51)</f>
        <v>0</v>
      </c>
      <c r="DY51" s="3">
        <f t="shared" ref="DY51:DY64" si="158">+SUM(DF51:DN51)</f>
        <v>0</v>
      </c>
      <c r="DZ51" s="3">
        <f t="shared" ref="DZ51:DZ64" si="159">+SUM(AH51:AJ51)</f>
        <v>0</v>
      </c>
      <c r="EA51" s="3">
        <f t="shared" ref="EA51:EA64" si="160">+SUM(AT51:AW51)</f>
        <v>0</v>
      </c>
      <c r="EB51" s="3" t="s">
        <v>70</v>
      </c>
      <c r="EC51" s="3">
        <f t="shared" ref="EC51:EC64" si="161">+SUM(AK51:AO51)</f>
        <v>0</v>
      </c>
      <c r="ED51" s="3" t="s">
        <v>70</v>
      </c>
      <c r="EE51" s="3">
        <f t="shared" ref="EE51:EE64" si="162">+SUM(AP51+AQ51+AR51+AS51+BB51+BF51)</f>
        <v>0</v>
      </c>
      <c r="EF51" s="3">
        <f t="shared" ref="EF51:EF64" si="163">+SUM(DB51:DE51)</f>
        <v>0</v>
      </c>
      <c r="EG51" s="3">
        <f t="shared" ref="EG51:EG64" si="164">+SUM(CV51:DA51)</f>
        <v>0</v>
      </c>
      <c r="EH51" s="3">
        <f t="shared" ref="EH51:EH64" si="165">+SUM(DO51:DQ51)</f>
        <v>0</v>
      </c>
      <c r="EI51" s="3">
        <f t="shared" ref="EI51:EI64" si="166">+SUM(DS51:DW51)</f>
        <v>0</v>
      </c>
      <c r="EJ51" s="3">
        <f t="shared" ref="EJ51:EJ64" si="167">+SUM(DX51:EE51)</f>
        <v>0</v>
      </c>
      <c r="EK51" s="3">
        <f t="shared" ref="EK51:EK64" si="168">+SUM(EF51:EG51)</f>
        <v>0</v>
      </c>
      <c r="EL51" s="24">
        <f t="shared" ref="EL51:EL64" si="169">+SUM(EH51:EK51)</f>
        <v>0</v>
      </c>
      <c r="EM51" s="24"/>
      <c r="EN51" s="46">
        <f t="shared" ref="EN51:EN64" si="170">+SUM(DO51/52)*100</f>
        <v>0</v>
      </c>
      <c r="EO51" s="46">
        <f t="shared" ref="EO51:EO64" si="171">+SUM(DP51/48)*100</f>
        <v>0</v>
      </c>
      <c r="EP51" s="47">
        <f t="shared" ref="EP51:EP64" si="172">+SUM(DQ51/20)*100</f>
        <v>0</v>
      </c>
      <c r="EQ51" s="3" t="s">
        <v>69</v>
      </c>
      <c r="ER51" s="3">
        <f t="shared" ref="ER51:ER64" si="173">+SUM(DS51/20)*100</f>
        <v>0</v>
      </c>
      <c r="ES51" s="3">
        <f t="shared" ref="ES51:ES64" si="174">+SUM(DT51/12)*100</f>
        <v>0</v>
      </c>
      <c r="ET51" s="46">
        <f t="shared" ref="ET51:ET64" si="175">+SUM(DU51/12)*100</f>
        <v>0</v>
      </c>
      <c r="EU51" s="46">
        <f t="shared" ref="EU51:EU64" si="176">+SUM(DV51/16)*100</f>
        <v>0</v>
      </c>
      <c r="EV51" s="46">
        <f t="shared" ref="EV51:EV64" si="177">+SUM(DW51/12)*100</f>
        <v>0</v>
      </c>
      <c r="EW51" s="46">
        <f t="shared" ref="EW51:EW64" si="178">+SUM(DX51/48)*100</f>
        <v>0</v>
      </c>
      <c r="EX51" s="46">
        <f t="shared" ref="EX51:EX64" si="179">+SUM(DY51/36)*100</f>
        <v>0</v>
      </c>
      <c r="EY51" s="46">
        <f t="shared" ref="EY51:EY64" si="180">+SUM(DZ51/12)*100</f>
        <v>0</v>
      </c>
      <c r="EZ51" s="3">
        <f t="shared" ref="EZ51:EZ64" si="181">+SUM(EA51/16)*100</f>
        <v>0</v>
      </c>
      <c r="FA51" s="3" t="s">
        <v>70</v>
      </c>
      <c r="FB51" s="3">
        <f t="shared" ref="FB51:FB64" si="182">+SUM(EC51/20)*100</f>
        <v>0</v>
      </c>
      <c r="FC51" s="3" t="s">
        <v>70</v>
      </c>
      <c r="FD51" s="46">
        <f t="shared" ref="FD51:FD64" si="183">+SUM(EE51/24)*100</f>
        <v>0</v>
      </c>
      <c r="FE51" s="46">
        <f t="shared" ref="FE51:FE64" si="184">+SUM(EF51/16)*100</f>
        <v>0</v>
      </c>
      <c r="FF51" s="46">
        <f t="shared" ref="FF51:FF64" si="185">+SUM(EG51/24)*100</f>
        <v>0</v>
      </c>
      <c r="FG51" s="46">
        <f t="shared" ref="FG51:FG64" si="186">+SUM(EH51/120)*100</f>
        <v>0</v>
      </c>
      <c r="FH51" s="46">
        <f t="shared" ref="FH51:FH64" si="187">+SUM(EI51/72)*100</f>
        <v>0</v>
      </c>
      <c r="FI51" s="46">
        <f t="shared" ref="FI51:FI64" si="188">+SUM(EJ51/156)*100</f>
        <v>0</v>
      </c>
      <c r="FJ51" s="3">
        <f t="shared" ref="FJ51:FJ64" si="189">+SUM(EK51/40)*100</f>
        <v>0</v>
      </c>
      <c r="FK51" s="46">
        <f t="shared" ref="FK51:FK64" si="190">+SUM(EL51/388)*100</f>
        <v>0</v>
      </c>
      <c r="FM51" s="74">
        <f>EL51+'EXTRALABORAL B '!BH233</f>
        <v>0</v>
      </c>
      <c r="FN51" s="74">
        <f t="shared" ref="FN51:FN64" si="191">+(FM51/512)*100</f>
        <v>0</v>
      </c>
    </row>
    <row r="52" spans="1:170">
      <c r="A52" s="3">
        <v>49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3">
        <f t="shared" si="149"/>
        <v>0</v>
      </c>
      <c r="DP52" s="3">
        <f t="shared" si="150"/>
        <v>0</v>
      </c>
      <c r="DQ52" s="3">
        <f t="shared" si="151"/>
        <v>0</v>
      </c>
      <c r="DR52" s="3" t="s">
        <v>69</v>
      </c>
      <c r="DS52" s="3">
        <f t="shared" si="152"/>
        <v>0</v>
      </c>
      <c r="DT52" s="3">
        <f t="shared" si="153"/>
        <v>0</v>
      </c>
      <c r="DU52" s="3">
        <f t="shared" si="154"/>
        <v>0</v>
      </c>
      <c r="DV52" s="3">
        <f t="shared" si="155"/>
        <v>0</v>
      </c>
      <c r="DW52" s="3">
        <f t="shared" si="156"/>
        <v>0</v>
      </c>
      <c r="DX52" s="3">
        <f t="shared" si="157"/>
        <v>0</v>
      </c>
      <c r="DY52" s="3">
        <f t="shared" si="158"/>
        <v>0</v>
      </c>
      <c r="DZ52" s="3">
        <f t="shared" si="159"/>
        <v>0</v>
      </c>
      <c r="EA52" s="3">
        <f t="shared" si="160"/>
        <v>0</v>
      </c>
      <c r="EB52" s="3" t="s">
        <v>70</v>
      </c>
      <c r="EC52" s="3">
        <f t="shared" si="161"/>
        <v>0</v>
      </c>
      <c r="ED52" s="3" t="s">
        <v>70</v>
      </c>
      <c r="EE52" s="3">
        <f t="shared" si="162"/>
        <v>0</v>
      </c>
      <c r="EF52" s="3">
        <f t="shared" si="163"/>
        <v>0</v>
      </c>
      <c r="EG52" s="3">
        <f t="shared" si="164"/>
        <v>0</v>
      </c>
      <c r="EH52" s="3">
        <f t="shared" si="165"/>
        <v>0</v>
      </c>
      <c r="EI52" s="3">
        <f t="shared" si="166"/>
        <v>0</v>
      </c>
      <c r="EJ52" s="3">
        <f t="shared" si="167"/>
        <v>0</v>
      </c>
      <c r="EK52" s="3">
        <f t="shared" si="168"/>
        <v>0</v>
      </c>
      <c r="EL52" s="24">
        <f t="shared" si="169"/>
        <v>0</v>
      </c>
      <c r="EM52" s="24"/>
      <c r="EN52" s="46">
        <f t="shared" si="170"/>
        <v>0</v>
      </c>
      <c r="EO52" s="46">
        <f t="shared" si="171"/>
        <v>0</v>
      </c>
      <c r="EP52" s="47">
        <f t="shared" si="172"/>
        <v>0</v>
      </c>
      <c r="EQ52" s="3" t="s">
        <v>69</v>
      </c>
      <c r="ER52" s="3">
        <f t="shared" si="173"/>
        <v>0</v>
      </c>
      <c r="ES52" s="3">
        <f t="shared" si="174"/>
        <v>0</v>
      </c>
      <c r="ET52" s="46">
        <f t="shared" si="175"/>
        <v>0</v>
      </c>
      <c r="EU52" s="46">
        <f t="shared" si="176"/>
        <v>0</v>
      </c>
      <c r="EV52" s="46">
        <f t="shared" si="177"/>
        <v>0</v>
      </c>
      <c r="EW52" s="46">
        <f t="shared" si="178"/>
        <v>0</v>
      </c>
      <c r="EX52" s="46">
        <f t="shared" si="179"/>
        <v>0</v>
      </c>
      <c r="EY52" s="46">
        <f t="shared" si="180"/>
        <v>0</v>
      </c>
      <c r="EZ52" s="3">
        <f t="shared" si="181"/>
        <v>0</v>
      </c>
      <c r="FA52" s="3" t="s">
        <v>70</v>
      </c>
      <c r="FB52" s="3">
        <f t="shared" si="182"/>
        <v>0</v>
      </c>
      <c r="FC52" s="3" t="s">
        <v>70</v>
      </c>
      <c r="FD52" s="46">
        <f t="shared" si="183"/>
        <v>0</v>
      </c>
      <c r="FE52" s="46">
        <f t="shared" si="184"/>
        <v>0</v>
      </c>
      <c r="FF52" s="46">
        <f t="shared" si="185"/>
        <v>0</v>
      </c>
      <c r="FG52" s="46">
        <f t="shared" si="186"/>
        <v>0</v>
      </c>
      <c r="FH52" s="46">
        <f t="shared" si="187"/>
        <v>0</v>
      </c>
      <c r="FI52" s="46">
        <f t="shared" si="188"/>
        <v>0</v>
      </c>
      <c r="FJ52" s="3">
        <f t="shared" si="189"/>
        <v>0</v>
      </c>
      <c r="FK52" s="46">
        <f t="shared" si="190"/>
        <v>0</v>
      </c>
      <c r="FM52" s="74">
        <f>EL52+'EXTRALABORAL B '!BH234</f>
        <v>0</v>
      </c>
      <c r="FN52" s="74">
        <f t="shared" si="191"/>
        <v>0</v>
      </c>
    </row>
    <row r="53" spans="1:170">
      <c r="A53" s="3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3">
        <f t="shared" si="149"/>
        <v>0</v>
      </c>
      <c r="DP53" s="3">
        <f t="shared" si="150"/>
        <v>0</v>
      </c>
      <c r="DQ53" s="3">
        <f t="shared" si="151"/>
        <v>0</v>
      </c>
      <c r="DR53" s="3" t="s">
        <v>69</v>
      </c>
      <c r="DS53" s="3">
        <f t="shared" si="152"/>
        <v>0</v>
      </c>
      <c r="DT53" s="3">
        <f t="shared" si="153"/>
        <v>0</v>
      </c>
      <c r="DU53" s="3">
        <f t="shared" si="154"/>
        <v>0</v>
      </c>
      <c r="DV53" s="3">
        <f t="shared" si="155"/>
        <v>0</v>
      </c>
      <c r="DW53" s="3">
        <f t="shared" si="156"/>
        <v>0</v>
      </c>
      <c r="DX53" s="3">
        <f t="shared" si="157"/>
        <v>0</v>
      </c>
      <c r="DY53" s="3">
        <f t="shared" si="158"/>
        <v>0</v>
      </c>
      <c r="DZ53" s="3">
        <f t="shared" si="159"/>
        <v>0</v>
      </c>
      <c r="EA53" s="3">
        <f t="shared" si="160"/>
        <v>0</v>
      </c>
      <c r="EB53" s="3" t="s">
        <v>70</v>
      </c>
      <c r="EC53" s="3">
        <f t="shared" si="161"/>
        <v>0</v>
      </c>
      <c r="ED53" s="3" t="s">
        <v>70</v>
      </c>
      <c r="EE53" s="3">
        <f t="shared" si="162"/>
        <v>0</v>
      </c>
      <c r="EF53" s="3">
        <f t="shared" si="163"/>
        <v>0</v>
      </c>
      <c r="EG53" s="3">
        <f t="shared" si="164"/>
        <v>0</v>
      </c>
      <c r="EH53" s="3">
        <f t="shared" si="165"/>
        <v>0</v>
      </c>
      <c r="EI53" s="3">
        <f t="shared" si="166"/>
        <v>0</v>
      </c>
      <c r="EJ53" s="3">
        <f t="shared" si="167"/>
        <v>0</v>
      </c>
      <c r="EK53" s="3">
        <f t="shared" si="168"/>
        <v>0</v>
      </c>
      <c r="EL53" s="24">
        <f t="shared" si="169"/>
        <v>0</v>
      </c>
      <c r="EM53" s="24"/>
      <c r="EN53" s="46">
        <f t="shared" si="170"/>
        <v>0</v>
      </c>
      <c r="EO53" s="46">
        <f t="shared" si="171"/>
        <v>0</v>
      </c>
      <c r="EP53" s="47">
        <f t="shared" si="172"/>
        <v>0</v>
      </c>
      <c r="EQ53" s="3" t="s">
        <v>69</v>
      </c>
      <c r="ER53" s="3">
        <f t="shared" si="173"/>
        <v>0</v>
      </c>
      <c r="ES53" s="3">
        <f t="shared" si="174"/>
        <v>0</v>
      </c>
      <c r="ET53" s="46">
        <f t="shared" si="175"/>
        <v>0</v>
      </c>
      <c r="EU53" s="46">
        <f t="shared" si="176"/>
        <v>0</v>
      </c>
      <c r="EV53" s="46">
        <f t="shared" si="177"/>
        <v>0</v>
      </c>
      <c r="EW53" s="46">
        <f t="shared" si="178"/>
        <v>0</v>
      </c>
      <c r="EX53" s="46">
        <f t="shared" si="179"/>
        <v>0</v>
      </c>
      <c r="EY53" s="46">
        <f t="shared" si="180"/>
        <v>0</v>
      </c>
      <c r="EZ53" s="3">
        <f t="shared" si="181"/>
        <v>0</v>
      </c>
      <c r="FA53" s="3" t="s">
        <v>70</v>
      </c>
      <c r="FB53" s="3">
        <f t="shared" si="182"/>
        <v>0</v>
      </c>
      <c r="FC53" s="3" t="s">
        <v>70</v>
      </c>
      <c r="FD53" s="46">
        <f t="shared" si="183"/>
        <v>0</v>
      </c>
      <c r="FE53" s="46">
        <f t="shared" si="184"/>
        <v>0</v>
      </c>
      <c r="FF53" s="46">
        <f t="shared" si="185"/>
        <v>0</v>
      </c>
      <c r="FG53" s="46">
        <f t="shared" si="186"/>
        <v>0</v>
      </c>
      <c r="FH53" s="46">
        <f t="shared" si="187"/>
        <v>0</v>
      </c>
      <c r="FI53" s="46">
        <f t="shared" si="188"/>
        <v>0</v>
      </c>
      <c r="FJ53" s="3">
        <f t="shared" si="189"/>
        <v>0</v>
      </c>
      <c r="FK53" s="46">
        <f t="shared" si="190"/>
        <v>0</v>
      </c>
      <c r="FM53" s="74">
        <f>EL53+'EXTRALABORAL B '!BH235</f>
        <v>0</v>
      </c>
      <c r="FN53" s="74">
        <f t="shared" si="191"/>
        <v>0</v>
      </c>
    </row>
    <row r="54" spans="1:170">
      <c r="A54" s="3">
        <v>51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3">
        <f t="shared" si="149"/>
        <v>0</v>
      </c>
      <c r="DP54" s="3">
        <f t="shared" si="150"/>
        <v>0</v>
      </c>
      <c r="DQ54" s="3">
        <f t="shared" si="151"/>
        <v>0</v>
      </c>
      <c r="DR54" s="3" t="s">
        <v>69</v>
      </c>
      <c r="DS54" s="3">
        <f t="shared" si="152"/>
        <v>0</v>
      </c>
      <c r="DT54" s="3">
        <f t="shared" si="153"/>
        <v>0</v>
      </c>
      <c r="DU54" s="3">
        <f t="shared" si="154"/>
        <v>0</v>
      </c>
      <c r="DV54" s="3">
        <f t="shared" si="155"/>
        <v>0</v>
      </c>
      <c r="DW54" s="3">
        <f t="shared" si="156"/>
        <v>0</v>
      </c>
      <c r="DX54" s="3">
        <f t="shared" si="157"/>
        <v>0</v>
      </c>
      <c r="DY54" s="3">
        <f t="shared" si="158"/>
        <v>0</v>
      </c>
      <c r="DZ54" s="3">
        <f t="shared" si="159"/>
        <v>0</v>
      </c>
      <c r="EA54" s="3">
        <f t="shared" si="160"/>
        <v>0</v>
      </c>
      <c r="EB54" s="3" t="s">
        <v>70</v>
      </c>
      <c r="EC54" s="3">
        <f t="shared" si="161"/>
        <v>0</v>
      </c>
      <c r="ED54" s="3" t="s">
        <v>70</v>
      </c>
      <c r="EE54" s="3">
        <f t="shared" si="162"/>
        <v>0</v>
      </c>
      <c r="EF54" s="3">
        <f t="shared" si="163"/>
        <v>0</v>
      </c>
      <c r="EG54" s="3">
        <f t="shared" si="164"/>
        <v>0</v>
      </c>
      <c r="EH54" s="3">
        <f t="shared" si="165"/>
        <v>0</v>
      </c>
      <c r="EI54" s="3">
        <f t="shared" si="166"/>
        <v>0</v>
      </c>
      <c r="EJ54" s="3">
        <f t="shared" si="167"/>
        <v>0</v>
      </c>
      <c r="EK54" s="3">
        <f t="shared" si="168"/>
        <v>0</v>
      </c>
      <c r="EL54" s="24">
        <f t="shared" si="169"/>
        <v>0</v>
      </c>
      <c r="EM54" s="24"/>
      <c r="EN54" s="46">
        <f t="shared" si="170"/>
        <v>0</v>
      </c>
      <c r="EO54" s="46">
        <f t="shared" si="171"/>
        <v>0</v>
      </c>
      <c r="EP54" s="47">
        <f t="shared" si="172"/>
        <v>0</v>
      </c>
      <c r="EQ54" s="3" t="s">
        <v>69</v>
      </c>
      <c r="ER54" s="3">
        <f t="shared" si="173"/>
        <v>0</v>
      </c>
      <c r="ES54" s="3">
        <f t="shared" si="174"/>
        <v>0</v>
      </c>
      <c r="ET54" s="46">
        <f t="shared" si="175"/>
        <v>0</v>
      </c>
      <c r="EU54" s="46">
        <f t="shared" si="176"/>
        <v>0</v>
      </c>
      <c r="EV54" s="46">
        <f t="shared" si="177"/>
        <v>0</v>
      </c>
      <c r="EW54" s="46">
        <f t="shared" si="178"/>
        <v>0</v>
      </c>
      <c r="EX54" s="46">
        <f t="shared" si="179"/>
        <v>0</v>
      </c>
      <c r="EY54" s="46">
        <f t="shared" si="180"/>
        <v>0</v>
      </c>
      <c r="EZ54" s="3">
        <f t="shared" si="181"/>
        <v>0</v>
      </c>
      <c r="FA54" s="3" t="s">
        <v>70</v>
      </c>
      <c r="FB54" s="3">
        <f t="shared" si="182"/>
        <v>0</v>
      </c>
      <c r="FC54" s="3" t="s">
        <v>70</v>
      </c>
      <c r="FD54" s="46">
        <f t="shared" si="183"/>
        <v>0</v>
      </c>
      <c r="FE54" s="46">
        <f t="shared" si="184"/>
        <v>0</v>
      </c>
      <c r="FF54" s="46">
        <f t="shared" si="185"/>
        <v>0</v>
      </c>
      <c r="FG54" s="46">
        <f t="shared" si="186"/>
        <v>0</v>
      </c>
      <c r="FH54" s="46">
        <f t="shared" si="187"/>
        <v>0</v>
      </c>
      <c r="FI54" s="46">
        <f t="shared" si="188"/>
        <v>0</v>
      </c>
      <c r="FJ54" s="3">
        <f t="shared" si="189"/>
        <v>0</v>
      </c>
      <c r="FK54" s="46">
        <f t="shared" si="190"/>
        <v>0</v>
      </c>
      <c r="FM54" s="74">
        <f>EL54+'EXTRALABORAL B '!BH236</f>
        <v>0</v>
      </c>
      <c r="FN54" s="74">
        <f t="shared" si="191"/>
        <v>0</v>
      </c>
    </row>
    <row r="55" spans="1:170">
      <c r="A55" s="3">
        <v>52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3">
        <f t="shared" si="149"/>
        <v>0</v>
      </c>
      <c r="DP55" s="3">
        <f t="shared" si="150"/>
        <v>0</v>
      </c>
      <c r="DQ55" s="3">
        <f t="shared" si="151"/>
        <v>0</v>
      </c>
      <c r="DR55" s="3" t="s">
        <v>69</v>
      </c>
      <c r="DS55" s="3">
        <f t="shared" si="152"/>
        <v>0</v>
      </c>
      <c r="DT55" s="3">
        <f t="shared" si="153"/>
        <v>0</v>
      </c>
      <c r="DU55" s="3">
        <f t="shared" si="154"/>
        <v>0</v>
      </c>
      <c r="DV55" s="3">
        <f t="shared" si="155"/>
        <v>0</v>
      </c>
      <c r="DW55" s="3">
        <f t="shared" si="156"/>
        <v>0</v>
      </c>
      <c r="DX55" s="3">
        <f t="shared" si="157"/>
        <v>0</v>
      </c>
      <c r="DY55" s="3">
        <f t="shared" si="158"/>
        <v>0</v>
      </c>
      <c r="DZ55" s="3">
        <f t="shared" si="159"/>
        <v>0</v>
      </c>
      <c r="EA55" s="3">
        <f t="shared" si="160"/>
        <v>0</v>
      </c>
      <c r="EB55" s="3" t="s">
        <v>70</v>
      </c>
      <c r="EC55" s="3">
        <f t="shared" si="161"/>
        <v>0</v>
      </c>
      <c r="ED55" s="3" t="s">
        <v>70</v>
      </c>
      <c r="EE55" s="3">
        <f t="shared" si="162"/>
        <v>0</v>
      </c>
      <c r="EF55" s="3">
        <f t="shared" si="163"/>
        <v>0</v>
      </c>
      <c r="EG55" s="3">
        <f t="shared" si="164"/>
        <v>0</v>
      </c>
      <c r="EH55" s="3">
        <f t="shared" si="165"/>
        <v>0</v>
      </c>
      <c r="EI55" s="3">
        <f t="shared" si="166"/>
        <v>0</v>
      </c>
      <c r="EJ55" s="3">
        <f t="shared" si="167"/>
        <v>0</v>
      </c>
      <c r="EK55" s="3">
        <f t="shared" si="168"/>
        <v>0</v>
      </c>
      <c r="EL55" s="24">
        <f t="shared" si="169"/>
        <v>0</v>
      </c>
      <c r="EM55" s="24"/>
      <c r="EN55" s="46">
        <f t="shared" si="170"/>
        <v>0</v>
      </c>
      <c r="EO55" s="46">
        <f t="shared" si="171"/>
        <v>0</v>
      </c>
      <c r="EP55" s="47">
        <f t="shared" si="172"/>
        <v>0</v>
      </c>
      <c r="EQ55" s="3" t="s">
        <v>69</v>
      </c>
      <c r="ER55" s="3">
        <f t="shared" si="173"/>
        <v>0</v>
      </c>
      <c r="ES55" s="3">
        <f t="shared" si="174"/>
        <v>0</v>
      </c>
      <c r="ET55" s="46">
        <f t="shared" si="175"/>
        <v>0</v>
      </c>
      <c r="EU55" s="46">
        <f t="shared" si="176"/>
        <v>0</v>
      </c>
      <c r="EV55" s="46">
        <f t="shared" si="177"/>
        <v>0</v>
      </c>
      <c r="EW55" s="46">
        <f t="shared" si="178"/>
        <v>0</v>
      </c>
      <c r="EX55" s="46">
        <f t="shared" si="179"/>
        <v>0</v>
      </c>
      <c r="EY55" s="46">
        <f t="shared" si="180"/>
        <v>0</v>
      </c>
      <c r="EZ55" s="3">
        <f t="shared" si="181"/>
        <v>0</v>
      </c>
      <c r="FA55" s="3" t="s">
        <v>70</v>
      </c>
      <c r="FB55" s="3">
        <f t="shared" si="182"/>
        <v>0</v>
      </c>
      <c r="FC55" s="3" t="s">
        <v>70</v>
      </c>
      <c r="FD55" s="46">
        <f t="shared" si="183"/>
        <v>0</v>
      </c>
      <c r="FE55" s="46">
        <f t="shared" si="184"/>
        <v>0</v>
      </c>
      <c r="FF55" s="46">
        <f t="shared" si="185"/>
        <v>0</v>
      </c>
      <c r="FG55" s="46">
        <f t="shared" si="186"/>
        <v>0</v>
      </c>
      <c r="FH55" s="46">
        <f t="shared" si="187"/>
        <v>0</v>
      </c>
      <c r="FI55" s="46">
        <f t="shared" si="188"/>
        <v>0</v>
      </c>
      <c r="FJ55" s="3">
        <f t="shared" si="189"/>
        <v>0</v>
      </c>
      <c r="FK55" s="46">
        <f t="shared" si="190"/>
        <v>0</v>
      </c>
      <c r="FM55" s="74">
        <f>EL55+'EXTRALABORAL B '!BH237</f>
        <v>0</v>
      </c>
      <c r="FN55" s="74">
        <f t="shared" si="191"/>
        <v>0</v>
      </c>
    </row>
    <row r="56" spans="1:170">
      <c r="A56" s="3">
        <v>53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3">
        <f t="shared" si="149"/>
        <v>0</v>
      </c>
      <c r="DP56" s="3">
        <f t="shared" si="150"/>
        <v>0</v>
      </c>
      <c r="DQ56" s="3">
        <f t="shared" si="151"/>
        <v>0</v>
      </c>
      <c r="DR56" s="3" t="s">
        <v>69</v>
      </c>
      <c r="DS56" s="3">
        <f t="shared" si="152"/>
        <v>0</v>
      </c>
      <c r="DT56" s="3">
        <f t="shared" si="153"/>
        <v>0</v>
      </c>
      <c r="DU56" s="3">
        <f t="shared" si="154"/>
        <v>0</v>
      </c>
      <c r="DV56" s="3">
        <f t="shared" si="155"/>
        <v>0</v>
      </c>
      <c r="DW56" s="3">
        <f t="shared" si="156"/>
        <v>0</v>
      </c>
      <c r="DX56" s="3">
        <f t="shared" si="157"/>
        <v>0</v>
      </c>
      <c r="DY56" s="3">
        <f t="shared" si="158"/>
        <v>0</v>
      </c>
      <c r="DZ56" s="3">
        <f t="shared" si="159"/>
        <v>0</v>
      </c>
      <c r="EA56" s="3">
        <f t="shared" si="160"/>
        <v>0</v>
      </c>
      <c r="EB56" s="3" t="s">
        <v>70</v>
      </c>
      <c r="EC56" s="3">
        <f t="shared" si="161"/>
        <v>0</v>
      </c>
      <c r="ED56" s="3" t="s">
        <v>70</v>
      </c>
      <c r="EE56" s="3">
        <f t="shared" si="162"/>
        <v>0</v>
      </c>
      <c r="EF56" s="3">
        <f t="shared" si="163"/>
        <v>0</v>
      </c>
      <c r="EG56" s="3">
        <f t="shared" si="164"/>
        <v>0</v>
      </c>
      <c r="EH56" s="3">
        <f t="shared" si="165"/>
        <v>0</v>
      </c>
      <c r="EI56" s="3">
        <f t="shared" si="166"/>
        <v>0</v>
      </c>
      <c r="EJ56" s="3">
        <f t="shared" si="167"/>
        <v>0</v>
      </c>
      <c r="EK56" s="3">
        <f t="shared" si="168"/>
        <v>0</v>
      </c>
      <c r="EL56" s="24">
        <f t="shared" si="169"/>
        <v>0</v>
      </c>
      <c r="EM56" s="24"/>
      <c r="EN56" s="46">
        <f t="shared" si="170"/>
        <v>0</v>
      </c>
      <c r="EO56" s="46">
        <f t="shared" si="171"/>
        <v>0</v>
      </c>
      <c r="EP56" s="47">
        <f t="shared" si="172"/>
        <v>0</v>
      </c>
      <c r="EQ56" s="3" t="s">
        <v>69</v>
      </c>
      <c r="ER56" s="3">
        <f t="shared" si="173"/>
        <v>0</v>
      </c>
      <c r="ES56" s="3">
        <f t="shared" si="174"/>
        <v>0</v>
      </c>
      <c r="ET56" s="46">
        <f t="shared" si="175"/>
        <v>0</v>
      </c>
      <c r="EU56" s="46">
        <f t="shared" si="176"/>
        <v>0</v>
      </c>
      <c r="EV56" s="46">
        <f t="shared" si="177"/>
        <v>0</v>
      </c>
      <c r="EW56" s="46">
        <f t="shared" si="178"/>
        <v>0</v>
      </c>
      <c r="EX56" s="46">
        <f t="shared" si="179"/>
        <v>0</v>
      </c>
      <c r="EY56" s="46">
        <f t="shared" si="180"/>
        <v>0</v>
      </c>
      <c r="EZ56" s="3">
        <f t="shared" si="181"/>
        <v>0</v>
      </c>
      <c r="FA56" s="3" t="s">
        <v>70</v>
      </c>
      <c r="FB56" s="3">
        <f t="shared" si="182"/>
        <v>0</v>
      </c>
      <c r="FC56" s="3" t="s">
        <v>70</v>
      </c>
      <c r="FD56" s="46">
        <f t="shared" si="183"/>
        <v>0</v>
      </c>
      <c r="FE56" s="46">
        <f t="shared" si="184"/>
        <v>0</v>
      </c>
      <c r="FF56" s="46">
        <f t="shared" si="185"/>
        <v>0</v>
      </c>
      <c r="FG56" s="46">
        <f t="shared" si="186"/>
        <v>0</v>
      </c>
      <c r="FH56" s="46">
        <f t="shared" si="187"/>
        <v>0</v>
      </c>
      <c r="FI56" s="46">
        <f t="shared" si="188"/>
        <v>0</v>
      </c>
      <c r="FJ56" s="3">
        <f t="shared" si="189"/>
        <v>0</v>
      </c>
      <c r="FK56" s="46">
        <f t="shared" si="190"/>
        <v>0</v>
      </c>
      <c r="FM56" s="74">
        <f>EL56+'EXTRALABORAL B '!BH238</f>
        <v>0</v>
      </c>
      <c r="FN56" s="74">
        <f t="shared" si="191"/>
        <v>0</v>
      </c>
    </row>
    <row r="57" spans="1:170">
      <c r="A57" s="3">
        <v>54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3">
        <f t="shared" si="149"/>
        <v>0</v>
      </c>
      <c r="DP57" s="3">
        <f t="shared" si="150"/>
        <v>0</v>
      </c>
      <c r="DQ57" s="3">
        <f t="shared" si="151"/>
        <v>0</v>
      </c>
      <c r="DR57" s="3" t="s">
        <v>69</v>
      </c>
      <c r="DS57" s="3">
        <f t="shared" si="152"/>
        <v>0</v>
      </c>
      <c r="DT57" s="3">
        <f t="shared" si="153"/>
        <v>0</v>
      </c>
      <c r="DU57" s="3">
        <f t="shared" si="154"/>
        <v>0</v>
      </c>
      <c r="DV57" s="3">
        <f t="shared" si="155"/>
        <v>0</v>
      </c>
      <c r="DW57" s="3">
        <f t="shared" si="156"/>
        <v>0</v>
      </c>
      <c r="DX57" s="3">
        <f t="shared" si="157"/>
        <v>0</v>
      </c>
      <c r="DY57" s="3">
        <f t="shared" si="158"/>
        <v>0</v>
      </c>
      <c r="DZ57" s="3">
        <f t="shared" si="159"/>
        <v>0</v>
      </c>
      <c r="EA57" s="3">
        <f t="shared" si="160"/>
        <v>0</v>
      </c>
      <c r="EB57" s="3" t="s">
        <v>70</v>
      </c>
      <c r="EC57" s="3">
        <f t="shared" si="161"/>
        <v>0</v>
      </c>
      <c r="ED57" s="3" t="s">
        <v>70</v>
      </c>
      <c r="EE57" s="3">
        <f t="shared" si="162"/>
        <v>0</v>
      </c>
      <c r="EF57" s="3">
        <f t="shared" si="163"/>
        <v>0</v>
      </c>
      <c r="EG57" s="3">
        <f t="shared" si="164"/>
        <v>0</v>
      </c>
      <c r="EH57" s="3">
        <f t="shared" si="165"/>
        <v>0</v>
      </c>
      <c r="EI57" s="3">
        <f t="shared" si="166"/>
        <v>0</v>
      </c>
      <c r="EJ57" s="3">
        <f t="shared" si="167"/>
        <v>0</v>
      </c>
      <c r="EK57" s="3">
        <f t="shared" si="168"/>
        <v>0</v>
      </c>
      <c r="EL57" s="24">
        <f t="shared" si="169"/>
        <v>0</v>
      </c>
      <c r="EM57" s="24"/>
      <c r="EN57" s="46">
        <f t="shared" si="170"/>
        <v>0</v>
      </c>
      <c r="EO57" s="46">
        <f t="shared" si="171"/>
        <v>0</v>
      </c>
      <c r="EP57" s="47">
        <f t="shared" si="172"/>
        <v>0</v>
      </c>
      <c r="EQ57" s="3" t="s">
        <v>69</v>
      </c>
      <c r="ER57" s="3">
        <f t="shared" si="173"/>
        <v>0</v>
      </c>
      <c r="ES57" s="3">
        <f t="shared" si="174"/>
        <v>0</v>
      </c>
      <c r="ET57" s="46">
        <f t="shared" si="175"/>
        <v>0</v>
      </c>
      <c r="EU57" s="46">
        <f t="shared" si="176"/>
        <v>0</v>
      </c>
      <c r="EV57" s="46">
        <f t="shared" si="177"/>
        <v>0</v>
      </c>
      <c r="EW57" s="46">
        <f t="shared" si="178"/>
        <v>0</v>
      </c>
      <c r="EX57" s="46">
        <f t="shared" si="179"/>
        <v>0</v>
      </c>
      <c r="EY57" s="46">
        <f t="shared" si="180"/>
        <v>0</v>
      </c>
      <c r="EZ57" s="3">
        <f t="shared" si="181"/>
        <v>0</v>
      </c>
      <c r="FA57" s="3" t="s">
        <v>70</v>
      </c>
      <c r="FB57" s="3">
        <f t="shared" si="182"/>
        <v>0</v>
      </c>
      <c r="FC57" s="3" t="s">
        <v>70</v>
      </c>
      <c r="FD57" s="46">
        <f t="shared" si="183"/>
        <v>0</v>
      </c>
      <c r="FE57" s="46">
        <f t="shared" si="184"/>
        <v>0</v>
      </c>
      <c r="FF57" s="46">
        <f t="shared" si="185"/>
        <v>0</v>
      </c>
      <c r="FG57" s="46">
        <f t="shared" si="186"/>
        <v>0</v>
      </c>
      <c r="FH57" s="46">
        <f t="shared" si="187"/>
        <v>0</v>
      </c>
      <c r="FI57" s="46">
        <f t="shared" si="188"/>
        <v>0</v>
      </c>
      <c r="FJ57" s="3">
        <f t="shared" si="189"/>
        <v>0</v>
      </c>
      <c r="FK57" s="46">
        <f t="shared" si="190"/>
        <v>0</v>
      </c>
      <c r="FM57" s="74">
        <f>EL57+'EXTRALABORAL B '!BH239</f>
        <v>0</v>
      </c>
      <c r="FN57" s="74">
        <f t="shared" si="191"/>
        <v>0</v>
      </c>
    </row>
    <row r="58" spans="1:170">
      <c r="A58" s="3">
        <v>55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89"/>
      <c r="Q58" s="89"/>
      <c r="R58" s="3"/>
      <c r="S58" s="3"/>
      <c r="T58" s="3"/>
      <c r="U58" s="3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3">
        <f t="shared" si="149"/>
        <v>0</v>
      </c>
      <c r="DP58" s="3">
        <f t="shared" si="150"/>
        <v>0</v>
      </c>
      <c r="DQ58" s="3">
        <f t="shared" si="151"/>
        <v>0</v>
      </c>
      <c r="DR58" s="3" t="s">
        <v>69</v>
      </c>
      <c r="DS58" s="3">
        <f t="shared" si="152"/>
        <v>0</v>
      </c>
      <c r="DT58" s="3">
        <f t="shared" si="153"/>
        <v>0</v>
      </c>
      <c r="DU58" s="3">
        <f t="shared" si="154"/>
        <v>0</v>
      </c>
      <c r="DV58" s="3">
        <f t="shared" si="155"/>
        <v>0</v>
      </c>
      <c r="DW58" s="3">
        <f t="shared" si="156"/>
        <v>0</v>
      </c>
      <c r="DX58" s="3">
        <f t="shared" si="157"/>
        <v>0</v>
      </c>
      <c r="DY58" s="3">
        <f t="shared" si="158"/>
        <v>0</v>
      </c>
      <c r="DZ58" s="3">
        <f t="shared" si="159"/>
        <v>0</v>
      </c>
      <c r="EA58" s="3">
        <f t="shared" si="160"/>
        <v>0</v>
      </c>
      <c r="EB58" s="3" t="s">
        <v>70</v>
      </c>
      <c r="EC58" s="3">
        <f t="shared" si="161"/>
        <v>0</v>
      </c>
      <c r="ED58" s="3" t="s">
        <v>70</v>
      </c>
      <c r="EE58" s="3">
        <f t="shared" si="162"/>
        <v>0</v>
      </c>
      <c r="EF58" s="3">
        <f t="shared" si="163"/>
        <v>0</v>
      </c>
      <c r="EG58" s="3">
        <f t="shared" si="164"/>
        <v>0</v>
      </c>
      <c r="EH58" s="3">
        <f t="shared" si="165"/>
        <v>0</v>
      </c>
      <c r="EI58" s="3">
        <f t="shared" si="166"/>
        <v>0</v>
      </c>
      <c r="EJ58" s="3">
        <f t="shared" si="167"/>
        <v>0</v>
      </c>
      <c r="EK58" s="3">
        <f t="shared" si="168"/>
        <v>0</v>
      </c>
      <c r="EL58" s="24">
        <f t="shared" si="169"/>
        <v>0</v>
      </c>
      <c r="EM58" s="24"/>
      <c r="EN58" s="46">
        <f t="shared" si="170"/>
        <v>0</v>
      </c>
      <c r="EO58" s="46">
        <f t="shared" si="171"/>
        <v>0</v>
      </c>
      <c r="EP58" s="47">
        <f t="shared" si="172"/>
        <v>0</v>
      </c>
      <c r="EQ58" s="3" t="s">
        <v>69</v>
      </c>
      <c r="ER58" s="3">
        <f t="shared" si="173"/>
        <v>0</v>
      </c>
      <c r="ES58" s="3">
        <f t="shared" si="174"/>
        <v>0</v>
      </c>
      <c r="ET58" s="46">
        <f t="shared" si="175"/>
        <v>0</v>
      </c>
      <c r="EU58" s="46">
        <f t="shared" si="176"/>
        <v>0</v>
      </c>
      <c r="EV58" s="46">
        <f t="shared" si="177"/>
        <v>0</v>
      </c>
      <c r="EW58" s="46">
        <f t="shared" si="178"/>
        <v>0</v>
      </c>
      <c r="EX58" s="46">
        <f t="shared" si="179"/>
        <v>0</v>
      </c>
      <c r="EY58" s="46">
        <f t="shared" si="180"/>
        <v>0</v>
      </c>
      <c r="EZ58" s="3">
        <f t="shared" si="181"/>
        <v>0</v>
      </c>
      <c r="FA58" s="3" t="s">
        <v>70</v>
      </c>
      <c r="FB58" s="3">
        <f t="shared" si="182"/>
        <v>0</v>
      </c>
      <c r="FC58" s="3" t="s">
        <v>70</v>
      </c>
      <c r="FD58" s="46">
        <f t="shared" si="183"/>
        <v>0</v>
      </c>
      <c r="FE58" s="46">
        <f t="shared" si="184"/>
        <v>0</v>
      </c>
      <c r="FF58" s="46">
        <f t="shared" si="185"/>
        <v>0</v>
      </c>
      <c r="FG58" s="46">
        <f t="shared" si="186"/>
        <v>0</v>
      </c>
      <c r="FH58" s="46">
        <f t="shared" si="187"/>
        <v>0</v>
      </c>
      <c r="FI58" s="46">
        <f t="shared" si="188"/>
        <v>0</v>
      </c>
      <c r="FJ58" s="3">
        <f t="shared" si="189"/>
        <v>0</v>
      </c>
      <c r="FK58" s="46">
        <f t="shared" si="190"/>
        <v>0</v>
      </c>
      <c r="FM58" s="74">
        <f>EL58+'EXTRALABORAL B '!BH240</f>
        <v>0</v>
      </c>
      <c r="FN58" s="74">
        <f t="shared" si="191"/>
        <v>0</v>
      </c>
    </row>
    <row r="59" spans="1:170">
      <c r="A59" s="3">
        <v>56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3">
        <f t="shared" si="149"/>
        <v>0</v>
      </c>
      <c r="DP59" s="3">
        <f t="shared" si="150"/>
        <v>0</v>
      </c>
      <c r="DQ59" s="3">
        <f t="shared" si="151"/>
        <v>0</v>
      </c>
      <c r="DR59" s="3" t="s">
        <v>69</v>
      </c>
      <c r="DS59" s="3">
        <f t="shared" si="152"/>
        <v>0</v>
      </c>
      <c r="DT59" s="3">
        <f t="shared" si="153"/>
        <v>0</v>
      </c>
      <c r="DU59" s="3">
        <f t="shared" si="154"/>
        <v>0</v>
      </c>
      <c r="DV59" s="3">
        <f t="shared" si="155"/>
        <v>0</v>
      </c>
      <c r="DW59" s="3">
        <f t="shared" si="156"/>
        <v>0</v>
      </c>
      <c r="DX59" s="3">
        <f t="shared" si="157"/>
        <v>0</v>
      </c>
      <c r="DY59" s="3">
        <f t="shared" si="158"/>
        <v>0</v>
      </c>
      <c r="DZ59" s="3">
        <f t="shared" si="159"/>
        <v>0</v>
      </c>
      <c r="EA59" s="3">
        <f t="shared" si="160"/>
        <v>0</v>
      </c>
      <c r="EB59" s="3" t="s">
        <v>70</v>
      </c>
      <c r="EC59" s="3">
        <f t="shared" si="161"/>
        <v>0</v>
      </c>
      <c r="ED59" s="3" t="s">
        <v>70</v>
      </c>
      <c r="EE59" s="3">
        <f t="shared" si="162"/>
        <v>0</v>
      </c>
      <c r="EF59" s="3">
        <f t="shared" si="163"/>
        <v>0</v>
      </c>
      <c r="EG59" s="3">
        <f t="shared" si="164"/>
        <v>0</v>
      </c>
      <c r="EH59" s="3">
        <f t="shared" si="165"/>
        <v>0</v>
      </c>
      <c r="EI59" s="3">
        <f t="shared" si="166"/>
        <v>0</v>
      </c>
      <c r="EJ59" s="3">
        <f t="shared" si="167"/>
        <v>0</v>
      </c>
      <c r="EK59" s="3">
        <f t="shared" si="168"/>
        <v>0</v>
      </c>
      <c r="EL59" s="24">
        <f t="shared" si="169"/>
        <v>0</v>
      </c>
      <c r="EM59" s="24"/>
      <c r="EN59" s="46">
        <f t="shared" si="170"/>
        <v>0</v>
      </c>
      <c r="EO59" s="46">
        <f t="shared" si="171"/>
        <v>0</v>
      </c>
      <c r="EP59" s="47">
        <f t="shared" si="172"/>
        <v>0</v>
      </c>
      <c r="EQ59" s="3" t="s">
        <v>69</v>
      </c>
      <c r="ER59" s="3">
        <f t="shared" si="173"/>
        <v>0</v>
      </c>
      <c r="ES59" s="3">
        <f t="shared" si="174"/>
        <v>0</v>
      </c>
      <c r="ET59" s="46">
        <f t="shared" si="175"/>
        <v>0</v>
      </c>
      <c r="EU59" s="46">
        <f t="shared" si="176"/>
        <v>0</v>
      </c>
      <c r="EV59" s="46">
        <f t="shared" si="177"/>
        <v>0</v>
      </c>
      <c r="EW59" s="46">
        <f t="shared" si="178"/>
        <v>0</v>
      </c>
      <c r="EX59" s="46">
        <f t="shared" si="179"/>
        <v>0</v>
      </c>
      <c r="EY59" s="46">
        <f t="shared" si="180"/>
        <v>0</v>
      </c>
      <c r="EZ59" s="3">
        <f t="shared" si="181"/>
        <v>0</v>
      </c>
      <c r="FA59" s="3" t="s">
        <v>70</v>
      </c>
      <c r="FB59" s="3">
        <f t="shared" si="182"/>
        <v>0</v>
      </c>
      <c r="FC59" s="3" t="s">
        <v>70</v>
      </c>
      <c r="FD59" s="46">
        <f t="shared" si="183"/>
        <v>0</v>
      </c>
      <c r="FE59" s="46">
        <f t="shared" si="184"/>
        <v>0</v>
      </c>
      <c r="FF59" s="46">
        <f t="shared" si="185"/>
        <v>0</v>
      </c>
      <c r="FG59" s="46">
        <f t="shared" si="186"/>
        <v>0</v>
      </c>
      <c r="FH59" s="46">
        <f t="shared" si="187"/>
        <v>0</v>
      </c>
      <c r="FI59" s="46">
        <f t="shared" si="188"/>
        <v>0</v>
      </c>
      <c r="FJ59" s="3">
        <f t="shared" si="189"/>
        <v>0</v>
      </c>
      <c r="FK59" s="46">
        <f t="shared" si="190"/>
        <v>0</v>
      </c>
      <c r="FM59" s="74">
        <f>EL59+'EXTRALABORAL B '!BH241</f>
        <v>0</v>
      </c>
      <c r="FN59" s="74">
        <f t="shared" si="191"/>
        <v>0</v>
      </c>
    </row>
    <row r="60" spans="1:170">
      <c r="A60" s="3">
        <v>57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3">
        <f t="shared" si="149"/>
        <v>0</v>
      </c>
      <c r="DP60" s="3">
        <f t="shared" si="150"/>
        <v>0</v>
      </c>
      <c r="DQ60" s="3">
        <f t="shared" si="151"/>
        <v>0</v>
      </c>
      <c r="DR60" s="3" t="s">
        <v>69</v>
      </c>
      <c r="DS60" s="3">
        <f t="shared" si="152"/>
        <v>0</v>
      </c>
      <c r="DT60" s="3">
        <f t="shared" si="153"/>
        <v>0</v>
      </c>
      <c r="DU60" s="3">
        <f t="shared" si="154"/>
        <v>0</v>
      </c>
      <c r="DV60" s="3">
        <f t="shared" si="155"/>
        <v>0</v>
      </c>
      <c r="DW60" s="3">
        <f t="shared" si="156"/>
        <v>0</v>
      </c>
      <c r="DX60" s="3">
        <f t="shared" si="157"/>
        <v>0</v>
      </c>
      <c r="DY60" s="3">
        <f t="shared" si="158"/>
        <v>0</v>
      </c>
      <c r="DZ60" s="3">
        <f t="shared" si="159"/>
        <v>0</v>
      </c>
      <c r="EA60" s="3">
        <f t="shared" si="160"/>
        <v>0</v>
      </c>
      <c r="EB60" s="3" t="s">
        <v>70</v>
      </c>
      <c r="EC60" s="3">
        <f t="shared" si="161"/>
        <v>0</v>
      </c>
      <c r="ED60" s="3" t="s">
        <v>70</v>
      </c>
      <c r="EE60" s="3">
        <f t="shared" si="162"/>
        <v>0</v>
      </c>
      <c r="EF60" s="3">
        <f t="shared" si="163"/>
        <v>0</v>
      </c>
      <c r="EG60" s="3">
        <f t="shared" si="164"/>
        <v>0</v>
      </c>
      <c r="EH60" s="3">
        <f t="shared" si="165"/>
        <v>0</v>
      </c>
      <c r="EI60" s="3">
        <f t="shared" si="166"/>
        <v>0</v>
      </c>
      <c r="EJ60" s="3">
        <f t="shared" si="167"/>
        <v>0</v>
      </c>
      <c r="EK60" s="3">
        <f t="shared" si="168"/>
        <v>0</v>
      </c>
      <c r="EL60" s="24">
        <f t="shared" si="169"/>
        <v>0</v>
      </c>
      <c r="EM60" s="24"/>
      <c r="EN60" s="46">
        <f t="shared" si="170"/>
        <v>0</v>
      </c>
      <c r="EO60" s="46">
        <f t="shared" si="171"/>
        <v>0</v>
      </c>
      <c r="EP60" s="47">
        <f t="shared" si="172"/>
        <v>0</v>
      </c>
      <c r="EQ60" s="3" t="s">
        <v>69</v>
      </c>
      <c r="ER60" s="3">
        <f t="shared" si="173"/>
        <v>0</v>
      </c>
      <c r="ES60" s="3">
        <f t="shared" si="174"/>
        <v>0</v>
      </c>
      <c r="ET60" s="46">
        <f t="shared" si="175"/>
        <v>0</v>
      </c>
      <c r="EU60" s="46">
        <f t="shared" si="176"/>
        <v>0</v>
      </c>
      <c r="EV60" s="46">
        <f t="shared" si="177"/>
        <v>0</v>
      </c>
      <c r="EW60" s="46">
        <f t="shared" si="178"/>
        <v>0</v>
      </c>
      <c r="EX60" s="46">
        <f t="shared" si="179"/>
        <v>0</v>
      </c>
      <c r="EY60" s="46">
        <f t="shared" si="180"/>
        <v>0</v>
      </c>
      <c r="EZ60" s="3">
        <f t="shared" si="181"/>
        <v>0</v>
      </c>
      <c r="FA60" s="3" t="s">
        <v>70</v>
      </c>
      <c r="FB60" s="3">
        <f t="shared" si="182"/>
        <v>0</v>
      </c>
      <c r="FC60" s="3" t="s">
        <v>70</v>
      </c>
      <c r="FD60" s="46">
        <f t="shared" si="183"/>
        <v>0</v>
      </c>
      <c r="FE60" s="46">
        <f t="shared" si="184"/>
        <v>0</v>
      </c>
      <c r="FF60" s="46">
        <f t="shared" si="185"/>
        <v>0</v>
      </c>
      <c r="FG60" s="46">
        <f t="shared" si="186"/>
        <v>0</v>
      </c>
      <c r="FH60" s="46">
        <f t="shared" si="187"/>
        <v>0</v>
      </c>
      <c r="FI60" s="46">
        <f t="shared" si="188"/>
        <v>0</v>
      </c>
      <c r="FJ60" s="3">
        <f t="shared" si="189"/>
        <v>0</v>
      </c>
      <c r="FK60" s="46">
        <f t="shared" si="190"/>
        <v>0</v>
      </c>
      <c r="FM60" s="74">
        <f>EL60+'EXTRALABORAL B '!BH242</f>
        <v>0</v>
      </c>
      <c r="FN60" s="74">
        <f t="shared" si="191"/>
        <v>0</v>
      </c>
    </row>
    <row r="61" spans="1:170">
      <c r="A61" s="3">
        <v>58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3">
        <f t="shared" si="149"/>
        <v>0</v>
      </c>
      <c r="DP61" s="3">
        <f t="shared" si="150"/>
        <v>0</v>
      </c>
      <c r="DQ61" s="3">
        <f t="shared" si="151"/>
        <v>0</v>
      </c>
      <c r="DR61" s="3" t="s">
        <v>69</v>
      </c>
      <c r="DS61" s="3">
        <f t="shared" si="152"/>
        <v>0</v>
      </c>
      <c r="DT61" s="3">
        <f t="shared" si="153"/>
        <v>0</v>
      </c>
      <c r="DU61" s="3">
        <f t="shared" si="154"/>
        <v>0</v>
      </c>
      <c r="DV61" s="3">
        <f t="shared" si="155"/>
        <v>0</v>
      </c>
      <c r="DW61" s="3">
        <f t="shared" si="156"/>
        <v>0</v>
      </c>
      <c r="DX61" s="3">
        <f t="shared" si="157"/>
        <v>0</v>
      </c>
      <c r="DY61" s="3">
        <f t="shared" si="158"/>
        <v>0</v>
      </c>
      <c r="DZ61" s="3">
        <f t="shared" si="159"/>
        <v>0</v>
      </c>
      <c r="EA61" s="3">
        <f t="shared" si="160"/>
        <v>0</v>
      </c>
      <c r="EB61" s="3" t="s">
        <v>70</v>
      </c>
      <c r="EC61" s="3">
        <f t="shared" si="161"/>
        <v>0</v>
      </c>
      <c r="ED61" s="3" t="s">
        <v>70</v>
      </c>
      <c r="EE61" s="3">
        <f t="shared" si="162"/>
        <v>0</v>
      </c>
      <c r="EF61" s="3">
        <f t="shared" si="163"/>
        <v>0</v>
      </c>
      <c r="EG61" s="3">
        <f t="shared" si="164"/>
        <v>0</v>
      </c>
      <c r="EH61" s="3">
        <f t="shared" si="165"/>
        <v>0</v>
      </c>
      <c r="EI61" s="3">
        <f t="shared" si="166"/>
        <v>0</v>
      </c>
      <c r="EJ61" s="3">
        <f t="shared" si="167"/>
        <v>0</v>
      </c>
      <c r="EK61" s="3">
        <f t="shared" si="168"/>
        <v>0</v>
      </c>
      <c r="EL61" s="24">
        <f t="shared" si="169"/>
        <v>0</v>
      </c>
      <c r="EM61" s="24"/>
      <c r="EN61" s="46">
        <f t="shared" si="170"/>
        <v>0</v>
      </c>
      <c r="EO61" s="46">
        <f t="shared" si="171"/>
        <v>0</v>
      </c>
      <c r="EP61" s="47">
        <f t="shared" si="172"/>
        <v>0</v>
      </c>
      <c r="EQ61" s="3" t="s">
        <v>69</v>
      </c>
      <c r="ER61" s="3">
        <f t="shared" si="173"/>
        <v>0</v>
      </c>
      <c r="ES61" s="3">
        <f t="shared" si="174"/>
        <v>0</v>
      </c>
      <c r="ET61" s="46">
        <f t="shared" si="175"/>
        <v>0</v>
      </c>
      <c r="EU61" s="46">
        <f t="shared" si="176"/>
        <v>0</v>
      </c>
      <c r="EV61" s="46">
        <f t="shared" si="177"/>
        <v>0</v>
      </c>
      <c r="EW61" s="46">
        <f t="shared" si="178"/>
        <v>0</v>
      </c>
      <c r="EX61" s="46">
        <f t="shared" si="179"/>
        <v>0</v>
      </c>
      <c r="EY61" s="46">
        <f t="shared" si="180"/>
        <v>0</v>
      </c>
      <c r="EZ61" s="3">
        <f t="shared" si="181"/>
        <v>0</v>
      </c>
      <c r="FA61" s="3" t="s">
        <v>70</v>
      </c>
      <c r="FB61" s="3">
        <f t="shared" si="182"/>
        <v>0</v>
      </c>
      <c r="FC61" s="3" t="s">
        <v>70</v>
      </c>
      <c r="FD61" s="46">
        <f t="shared" si="183"/>
        <v>0</v>
      </c>
      <c r="FE61" s="46">
        <f t="shared" si="184"/>
        <v>0</v>
      </c>
      <c r="FF61" s="46">
        <f t="shared" si="185"/>
        <v>0</v>
      </c>
      <c r="FG61" s="46">
        <f t="shared" si="186"/>
        <v>0</v>
      </c>
      <c r="FH61" s="46">
        <f t="shared" si="187"/>
        <v>0</v>
      </c>
      <c r="FI61" s="46">
        <f t="shared" si="188"/>
        <v>0</v>
      </c>
      <c r="FJ61" s="3">
        <f t="shared" si="189"/>
        <v>0</v>
      </c>
      <c r="FK61" s="46">
        <f t="shared" si="190"/>
        <v>0</v>
      </c>
      <c r="FM61" s="74">
        <f>EL61+'EXTRALABORAL B '!BH243</f>
        <v>0</v>
      </c>
      <c r="FN61" s="74">
        <f t="shared" si="191"/>
        <v>0</v>
      </c>
    </row>
    <row r="62" spans="1:170">
      <c r="A62" s="3">
        <v>59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3">
        <f t="shared" si="149"/>
        <v>0</v>
      </c>
      <c r="DP62" s="3">
        <f t="shared" si="150"/>
        <v>0</v>
      </c>
      <c r="DQ62" s="3">
        <f t="shared" si="151"/>
        <v>0</v>
      </c>
      <c r="DR62" s="3" t="s">
        <v>69</v>
      </c>
      <c r="DS62" s="3">
        <f t="shared" si="152"/>
        <v>0</v>
      </c>
      <c r="DT62" s="3">
        <f t="shared" si="153"/>
        <v>0</v>
      </c>
      <c r="DU62" s="3">
        <f t="shared" si="154"/>
        <v>0</v>
      </c>
      <c r="DV62" s="3">
        <f t="shared" si="155"/>
        <v>0</v>
      </c>
      <c r="DW62" s="3">
        <f t="shared" si="156"/>
        <v>0</v>
      </c>
      <c r="DX62" s="3">
        <f t="shared" si="157"/>
        <v>0</v>
      </c>
      <c r="DY62" s="3">
        <f t="shared" si="158"/>
        <v>0</v>
      </c>
      <c r="DZ62" s="3">
        <f t="shared" si="159"/>
        <v>0</v>
      </c>
      <c r="EA62" s="3">
        <f t="shared" si="160"/>
        <v>0</v>
      </c>
      <c r="EB62" s="3" t="s">
        <v>70</v>
      </c>
      <c r="EC62" s="3">
        <f t="shared" si="161"/>
        <v>0</v>
      </c>
      <c r="ED62" s="3" t="s">
        <v>70</v>
      </c>
      <c r="EE62" s="3">
        <f t="shared" si="162"/>
        <v>0</v>
      </c>
      <c r="EF62" s="3">
        <f t="shared" si="163"/>
        <v>0</v>
      </c>
      <c r="EG62" s="3">
        <f t="shared" si="164"/>
        <v>0</v>
      </c>
      <c r="EH62" s="3">
        <f t="shared" si="165"/>
        <v>0</v>
      </c>
      <c r="EI62" s="3">
        <f t="shared" si="166"/>
        <v>0</v>
      </c>
      <c r="EJ62" s="3">
        <f t="shared" si="167"/>
        <v>0</v>
      </c>
      <c r="EK62" s="3">
        <f t="shared" si="168"/>
        <v>0</v>
      </c>
      <c r="EL62" s="24">
        <f t="shared" si="169"/>
        <v>0</v>
      </c>
      <c r="EM62" s="24"/>
      <c r="EN62" s="46">
        <f t="shared" si="170"/>
        <v>0</v>
      </c>
      <c r="EO62" s="46">
        <f t="shared" si="171"/>
        <v>0</v>
      </c>
      <c r="EP62" s="47">
        <f t="shared" si="172"/>
        <v>0</v>
      </c>
      <c r="EQ62" s="3" t="s">
        <v>69</v>
      </c>
      <c r="ER62" s="3">
        <f t="shared" si="173"/>
        <v>0</v>
      </c>
      <c r="ES62" s="3">
        <f t="shared" si="174"/>
        <v>0</v>
      </c>
      <c r="ET62" s="46">
        <f t="shared" si="175"/>
        <v>0</v>
      </c>
      <c r="EU62" s="46">
        <f t="shared" si="176"/>
        <v>0</v>
      </c>
      <c r="EV62" s="46">
        <f t="shared" si="177"/>
        <v>0</v>
      </c>
      <c r="EW62" s="46">
        <f t="shared" si="178"/>
        <v>0</v>
      </c>
      <c r="EX62" s="46">
        <f t="shared" si="179"/>
        <v>0</v>
      </c>
      <c r="EY62" s="46">
        <f t="shared" si="180"/>
        <v>0</v>
      </c>
      <c r="EZ62" s="3">
        <f t="shared" si="181"/>
        <v>0</v>
      </c>
      <c r="FA62" s="3" t="s">
        <v>70</v>
      </c>
      <c r="FB62" s="3">
        <f t="shared" si="182"/>
        <v>0</v>
      </c>
      <c r="FC62" s="3" t="s">
        <v>70</v>
      </c>
      <c r="FD62" s="46">
        <f t="shared" si="183"/>
        <v>0</v>
      </c>
      <c r="FE62" s="46">
        <f t="shared" si="184"/>
        <v>0</v>
      </c>
      <c r="FF62" s="46">
        <f t="shared" si="185"/>
        <v>0</v>
      </c>
      <c r="FG62" s="46">
        <f t="shared" si="186"/>
        <v>0</v>
      </c>
      <c r="FH62" s="46">
        <f t="shared" si="187"/>
        <v>0</v>
      </c>
      <c r="FI62" s="46">
        <f t="shared" si="188"/>
        <v>0</v>
      </c>
      <c r="FJ62" s="3">
        <f t="shared" si="189"/>
        <v>0</v>
      </c>
      <c r="FK62" s="46">
        <f t="shared" si="190"/>
        <v>0</v>
      </c>
      <c r="FM62" s="74">
        <f>EL62+'EXTRALABORAL B '!BH244</f>
        <v>0</v>
      </c>
      <c r="FN62" s="74">
        <f t="shared" si="191"/>
        <v>0</v>
      </c>
    </row>
    <row r="63" spans="1:170">
      <c r="A63" s="3">
        <v>60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3">
        <f t="shared" si="149"/>
        <v>0</v>
      </c>
      <c r="DP63" s="3">
        <f t="shared" si="150"/>
        <v>0</v>
      </c>
      <c r="DQ63" s="3">
        <f t="shared" si="151"/>
        <v>0</v>
      </c>
      <c r="DR63" s="3" t="s">
        <v>69</v>
      </c>
      <c r="DS63" s="3">
        <f t="shared" si="152"/>
        <v>0</v>
      </c>
      <c r="DT63" s="3">
        <f t="shared" si="153"/>
        <v>0</v>
      </c>
      <c r="DU63" s="3">
        <f t="shared" si="154"/>
        <v>0</v>
      </c>
      <c r="DV63" s="3">
        <f t="shared" si="155"/>
        <v>0</v>
      </c>
      <c r="DW63" s="3">
        <f t="shared" si="156"/>
        <v>0</v>
      </c>
      <c r="DX63" s="3">
        <f t="shared" si="157"/>
        <v>0</v>
      </c>
      <c r="DY63" s="3">
        <f t="shared" si="158"/>
        <v>0</v>
      </c>
      <c r="DZ63" s="3">
        <f t="shared" si="159"/>
        <v>0</v>
      </c>
      <c r="EA63" s="3">
        <f t="shared" si="160"/>
        <v>0</v>
      </c>
      <c r="EB63" s="3" t="s">
        <v>70</v>
      </c>
      <c r="EC63" s="3">
        <f t="shared" si="161"/>
        <v>0</v>
      </c>
      <c r="ED63" s="3" t="s">
        <v>70</v>
      </c>
      <c r="EE63" s="3">
        <f t="shared" si="162"/>
        <v>0</v>
      </c>
      <c r="EF63" s="3">
        <f t="shared" si="163"/>
        <v>0</v>
      </c>
      <c r="EG63" s="3">
        <f t="shared" si="164"/>
        <v>0</v>
      </c>
      <c r="EH63" s="3">
        <f t="shared" si="165"/>
        <v>0</v>
      </c>
      <c r="EI63" s="3">
        <f t="shared" si="166"/>
        <v>0</v>
      </c>
      <c r="EJ63" s="3">
        <f t="shared" si="167"/>
        <v>0</v>
      </c>
      <c r="EK63" s="3">
        <f t="shared" si="168"/>
        <v>0</v>
      </c>
      <c r="EL63" s="24">
        <f t="shared" si="169"/>
        <v>0</v>
      </c>
      <c r="EM63" s="24"/>
      <c r="EN63" s="46">
        <f t="shared" si="170"/>
        <v>0</v>
      </c>
      <c r="EO63" s="46">
        <f t="shared" si="171"/>
        <v>0</v>
      </c>
      <c r="EP63" s="47">
        <f t="shared" si="172"/>
        <v>0</v>
      </c>
      <c r="EQ63" s="3" t="s">
        <v>69</v>
      </c>
      <c r="ER63" s="3">
        <f t="shared" si="173"/>
        <v>0</v>
      </c>
      <c r="ES63" s="3">
        <f t="shared" si="174"/>
        <v>0</v>
      </c>
      <c r="ET63" s="46">
        <f t="shared" si="175"/>
        <v>0</v>
      </c>
      <c r="EU63" s="46">
        <f t="shared" si="176"/>
        <v>0</v>
      </c>
      <c r="EV63" s="46">
        <f t="shared" si="177"/>
        <v>0</v>
      </c>
      <c r="EW63" s="46">
        <f t="shared" si="178"/>
        <v>0</v>
      </c>
      <c r="EX63" s="46">
        <f t="shared" si="179"/>
        <v>0</v>
      </c>
      <c r="EY63" s="46">
        <f t="shared" si="180"/>
        <v>0</v>
      </c>
      <c r="EZ63" s="3">
        <f t="shared" si="181"/>
        <v>0</v>
      </c>
      <c r="FA63" s="3" t="s">
        <v>70</v>
      </c>
      <c r="FB63" s="3">
        <f t="shared" si="182"/>
        <v>0</v>
      </c>
      <c r="FC63" s="3" t="s">
        <v>70</v>
      </c>
      <c r="FD63" s="46">
        <f t="shared" si="183"/>
        <v>0</v>
      </c>
      <c r="FE63" s="46">
        <f t="shared" si="184"/>
        <v>0</v>
      </c>
      <c r="FF63" s="46">
        <f t="shared" si="185"/>
        <v>0</v>
      </c>
      <c r="FG63" s="46">
        <f t="shared" si="186"/>
        <v>0</v>
      </c>
      <c r="FH63" s="46">
        <f t="shared" si="187"/>
        <v>0</v>
      </c>
      <c r="FI63" s="46">
        <f t="shared" si="188"/>
        <v>0</v>
      </c>
      <c r="FJ63" s="3">
        <f t="shared" si="189"/>
        <v>0</v>
      </c>
      <c r="FK63" s="46">
        <f t="shared" si="190"/>
        <v>0</v>
      </c>
      <c r="FM63" s="74">
        <f>EL63+'EXTRALABORAL B '!BH245</f>
        <v>0</v>
      </c>
      <c r="FN63" s="74">
        <f t="shared" si="191"/>
        <v>0</v>
      </c>
    </row>
    <row r="64" spans="1:170">
      <c r="A64" s="3">
        <v>61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3">
        <f t="shared" si="149"/>
        <v>0</v>
      </c>
      <c r="DP64" s="3">
        <f t="shared" si="150"/>
        <v>0</v>
      </c>
      <c r="DQ64" s="3">
        <f t="shared" si="151"/>
        <v>0</v>
      </c>
      <c r="DR64" s="3" t="s">
        <v>69</v>
      </c>
      <c r="DS64" s="3">
        <f t="shared" si="152"/>
        <v>0</v>
      </c>
      <c r="DT64" s="3">
        <f t="shared" si="153"/>
        <v>0</v>
      </c>
      <c r="DU64" s="3">
        <f t="shared" si="154"/>
        <v>0</v>
      </c>
      <c r="DV64" s="3">
        <f t="shared" si="155"/>
        <v>0</v>
      </c>
      <c r="DW64" s="3">
        <f t="shared" si="156"/>
        <v>0</v>
      </c>
      <c r="DX64" s="3">
        <f t="shared" si="157"/>
        <v>0</v>
      </c>
      <c r="DY64" s="3">
        <f t="shared" si="158"/>
        <v>0</v>
      </c>
      <c r="DZ64" s="3">
        <f t="shared" si="159"/>
        <v>0</v>
      </c>
      <c r="EA64" s="3">
        <f t="shared" si="160"/>
        <v>0</v>
      </c>
      <c r="EB64" s="3" t="s">
        <v>70</v>
      </c>
      <c r="EC64" s="3">
        <f t="shared" si="161"/>
        <v>0</v>
      </c>
      <c r="ED64" s="3" t="s">
        <v>70</v>
      </c>
      <c r="EE64" s="3">
        <f t="shared" si="162"/>
        <v>0</v>
      </c>
      <c r="EF64" s="3">
        <f t="shared" si="163"/>
        <v>0</v>
      </c>
      <c r="EG64" s="3">
        <f t="shared" si="164"/>
        <v>0</v>
      </c>
      <c r="EH64" s="3">
        <f t="shared" si="165"/>
        <v>0</v>
      </c>
      <c r="EI64" s="3">
        <f t="shared" si="166"/>
        <v>0</v>
      </c>
      <c r="EJ64" s="3">
        <f t="shared" si="167"/>
        <v>0</v>
      </c>
      <c r="EK64" s="3">
        <f t="shared" si="168"/>
        <v>0</v>
      </c>
      <c r="EL64" s="24">
        <f t="shared" si="169"/>
        <v>0</v>
      </c>
      <c r="EM64" s="24"/>
      <c r="EN64" s="46">
        <f t="shared" si="170"/>
        <v>0</v>
      </c>
      <c r="EO64" s="46">
        <f t="shared" si="171"/>
        <v>0</v>
      </c>
      <c r="EP64" s="47">
        <f t="shared" si="172"/>
        <v>0</v>
      </c>
      <c r="EQ64" s="3" t="s">
        <v>69</v>
      </c>
      <c r="ER64" s="3">
        <f t="shared" si="173"/>
        <v>0</v>
      </c>
      <c r="ES64" s="3">
        <f t="shared" si="174"/>
        <v>0</v>
      </c>
      <c r="ET64" s="46">
        <f t="shared" si="175"/>
        <v>0</v>
      </c>
      <c r="EU64" s="46">
        <f t="shared" si="176"/>
        <v>0</v>
      </c>
      <c r="EV64" s="46">
        <f t="shared" si="177"/>
        <v>0</v>
      </c>
      <c r="EW64" s="46">
        <f t="shared" si="178"/>
        <v>0</v>
      </c>
      <c r="EX64" s="46">
        <f t="shared" si="179"/>
        <v>0</v>
      </c>
      <c r="EY64" s="46">
        <f t="shared" si="180"/>
        <v>0</v>
      </c>
      <c r="EZ64" s="3">
        <f t="shared" si="181"/>
        <v>0</v>
      </c>
      <c r="FA64" s="3" t="s">
        <v>70</v>
      </c>
      <c r="FB64" s="3">
        <f t="shared" si="182"/>
        <v>0</v>
      </c>
      <c r="FC64" s="3" t="s">
        <v>70</v>
      </c>
      <c r="FD64" s="46">
        <f t="shared" si="183"/>
        <v>0</v>
      </c>
      <c r="FE64" s="46">
        <f t="shared" si="184"/>
        <v>0</v>
      </c>
      <c r="FF64" s="46">
        <f t="shared" si="185"/>
        <v>0</v>
      </c>
      <c r="FG64" s="46">
        <f t="shared" si="186"/>
        <v>0</v>
      </c>
      <c r="FH64" s="46">
        <f t="shared" si="187"/>
        <v>0</v>
      </c>
      <c r="FI64" s="46">
        <f t="shared" si="188"/>
        <v>0</v>
      </c>
      <c r="FJ64" s="3">
        <f t="shared" si="189"/>
        <v>0</v>
      </c>
      <c r="FK64" s="46">
        <f t="shared" si="190"/>
        <v>0</v>
      </c>
      <c r="FM64" s="74">
        <f>EL64+'EXTRALABORAL B '!BH246</f>
        <v>0</v>
      </c>
      <c r="FN64" s="74">
        <f t="shared" si="191"/>
        <v>0</v>
      </c>
    </row>
    <row r="65" spans="1:170">
      <c r="A65" s="3">
        <v>62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3">
        <f>+SUM(BR65:CD65)</f>
        <v>0</v>
      </c>
      <c r="DP65" s="3">
        <f>+SUM(CE65:CP65)</f>
        <v>0</v>
      </c>
      <c r="DQ65" s="3">
        <f>+SUM(CQ65:CU65)</f>
        <v>0</v>
      </c>
      <c r="DR65" s="3" t="s">
        <v>69</v>
      </c>
      <c r="DS65" s="3">
        <f>+SUM(BJ65:BN65)</f>
        <v>0</v>
      </c>
      <c r="DT65" s="3">
        <f>+SUM(BO65:BQ65)</f>
        <v>0</v>
      </c>
      <c r="DU65" s="3">
        <f>+SUM(BG65:BI65)</f>
        <v>0</v>
      </c>
      <c r="DV65" s="3">
        <f>+SUM(AX65:BA65)</f>
        <v>0</v>
      </c>
      <c r="DW65" s="3">
        <f>+SUM(BC65:BE65)</f>
        <v>0</v>
      </c>
      <c r="DX65" s="3">
        <f>+SUM(V65:AG65)</f>
        <v>0</v>
      </c>
      <c r="DY65" s="3">
        <f>+SUM(DF65:DN65)</f>
        <v>0</v>
      </c>
      <c r="DZ65" s="3">
        <f>+SUM(AH65:AJ65)</f>
        <v>0</v>
      </c>
      <c r="EA65" s="3">
        <f>+SUM(AT65:AW65)</f>
        <v>0</v>
      </c>
      <c r="EB65" s="3" t="s">
        <v>70</v>
      </c>
      <c r="EC65" s="3">
        <f>+SUM(AK65:AO65)</f>
        <v>0</v>
      </c>
      <c r="ED65" s="3" t="s">
        <v>70</v>
      </c>
      <c r="EE65" s="3">
        <f>+SUM(AP65+AQ65+AR65+AS65+BB65+BF65)</f>
        <v>0</v>
      </c>
      <c r="EF65" s="3">
        <f>+SUM(DB65:DE65)</f>
        <v>0</v>
      </c>
      <c r="EG65" s="3">
        <f>+SUM(CV65:DA65)</f>
        <v>0</v>
      </c>
      <c r="EH65" s="3">
        <f>+SUM(DO65:DQ65)</f>
        <v>0</v>
      </c>
      <c r="EI65" s="3">
        <f>+SUM(DS65:DW65)</f>
        <v>0</v>
      </c>
      <c r="EJ65" s="3">
        <f>+SUM(DX65:EE65)</f>
        <v>0</v>
      </c>
      <c r="EK65" s="3">
        <f>+SUM(EF65:EG65)</f>
        <v>0</v>
      </c>
      <c r="EL65" s="24">
        <f>+SUM(EH65:EK65)</f>
        <v>0</v>
      </c>
      <c r="EM65" s="24"/>
      <c r="EN65" s="46">
        <f>+SUM(DO65/52)*100</f>
        <v>0</v>
      </c>
      <c r="EO65" s="46">
        <f>+SUM(DP65/48)*100</f>
        <v>0</v>
      </c>
      <c r="EP65" s="47">
        <f>+SUM(DQ65/20)*100</f>
        <v>0</v>
      </c>
      <c r="EQ65" s="3" t="s">
        <v>69</v>
      </c>
      <c r="ER65" s="3">
        <f>+SUM(DS65/20)*100</f>
        <v>0</v>
      </c>
      <c r="ES65" s="3">
        <f>+SUM(DT65/12)*100</f>
        <v>0</v>
      </c>
      <c r="ET65" s="46">
        <f>+SUM(DU65/12)*100</f>
        <v>0</v>
      </c>
      <c r="EU65" s="46">
        <f>+SUM(DV65/16)*100</f>
        <v>0</v>
      </c>
      <c r="EV65" s="46">
        <f>+SUM(DW65/12)*100</f>
        <v>0</v>
      </c>
      <c r="EW65" s="46">
        <f>+SUM(DX65/48)*100</f>
        <v>0</v>
      </c>
      <c r="EX65" s="46">
        <f>+SUM(DY65/36)*100</f>
        <v>0</v>
      </c>
      <c r="EY65" s="46">
        <f>+SUM(DZ65/12)*100</f>
        <v>0</v>
      </c>
      <c r="EZ65" s="3">
        <f>+SUM(EA65/16)*100</f>
        <v>0</v>
      </c>
      <c r="FA65" s="3" t="s">
        <v>70</v>
      </c>
      <c r="FB65" s="3">
        <f>+SUM(EC65/20)*100</f>
        <v>0</v>
      </c>
      <c r="FC65" s="3" t="s">
        <v>70</v>
      </c>
      <c r="FD65" s="46">
        <f>+SUM(EE65/24)*100</f>
        <v>0</v>
      </c>
      <c r="FE65" s="46">
        <f>+SUM(EF65/16)*100</f>
        <v>0</v>
      </c>
      <c r="FF65" s="46">
        <f>+SUM(EG65/24)*100</f>
        <v>0</v>
      </c>
      <c r="FG65" s="46">
        <f>+SUM(EH65/120)*100</f>
        <v>0</v>
      </c>
      <c r="FH65" s="46">
        <f>+SUM(EI65/72)*100</f>
        <v>0</v>
      </c>
      <c r="FI65" s="46">
        <f>+SUM(EJ65/156)*100</f>
        <v>0</v>
      </c>
      <c r="FJ65" s="3">
        <f>+SUM(EK65/40)*100</f>
        <v>0</v>
      </c>
      <c r="FK65" s="46">
        <f>+SUM(EL65/388)*100</f>
        <v>0</v>
      </c>
      <c r="FM65" s="74">
        <f>EL65+'EXTRALABORAL B '!BH247</f>
        <v>0</v>
      </c>
      <c r="FN65" s="74">
        <f>+(FM65/512)*100</f>
        <v>0</v>
      </c>
    </row>
    <row r="66" spans="1:170">
      <c r="A66" s="3">
        <v>63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3">
        <f t="shared" ref="DO66:DO80" si="192">+SUM(BR66:CD66)</f>
        <v>0</v>
      </c>
      <c r="DP66" s="3">
        <f t="shared" ref="DP66:DP80" si="193">+SUM(CE66:CP66)</f>
        <v>0</v>
      </c>
      <c r="DQ66" s="3">
        <f t="shared" ref="DQ66:DQ80" si="194">+SUM(CQ66:CU66)</f>
        <v>0</v>
      </c>
      <c r="DR66" s="3" t="s">
        <v>69</v>
      </c>
      <c r="DS66" s="3">
        <f t="shared" ref="DS66:DS80" si="195">+SUM(BJ66:BN66)</f>
        <v>0</v>
      </c>
      <c r="DT66" s="3">
        <f t="shared" ref="DT66:DT80" si="196">+SUM(BO66:BQ66)</f>
        <v>0</v>
      </c>
      <c r="DU66" s="3">
        <f t="shared" ref="DU66:DU80" si="197">+SUM(BG66:BI66)</f>
        <v>0</v>
      </c>
      <c r="DV66" s="3">
        <f t="shared" ref="DV66:DV80" si="198">+SUM(AX66:BA66)</f>
        <v>0</v>
      </c>
      <c r="DW66" s="3">
        <f t="shared" ref="DW66:DW80" si="199">+SUM(BC66:BE66)</f>
        <v>0</v>
      </c>
      <c r="DX66" s="3">
        <f t="shared" ref="DX66:DX80" si="200">+SUM(V66:AG66)</f>
        <v>0</v>
      </c>
      <c r="DY66" s="3">
        <f t="shared" ref="DY66:DY80" si="201">+SUM(DF66:DN66)</f>
        <v>0</v>
      </c>
      <c r="DZ66" s="3">
        <f t="shared" ref="DZ66:DZ80" si="202">+SUM(AH66:AJ66)</f>
        <v>0</v>
      </c>
      <c r="EA66" s="3">
        <f t="shared" ref="EA66:EA80" si="203">+SUM(AT66:AW66)</f>
        <v>0</v>
      </c>
      <c r="EB66" s="3" t="s">
        <v>70</v>
      </c>
      <c r="EC66" s="3">
        <f t="shared" ref="EC66:EC80" si="204">+SUM(AK66:AO66)</f>
        <v>0</v>
      </c>
      <c r="ED66" s="3" t="s">
        <v>70</v>
      </c>
      <c r="EE66" s="3">
        <f t="shared" ref="EE66:EE80" si="205">+SUM(AP66+AQ66+AR66+AS66+BB66+BF66)</f>
        <v>0</v>
      </c>
      <c r="EF66" s="3">
        <f t="shared" ref="EF66:EF80" si="206">+SUM(DB66:DE66)</f>
        <v>0</v>
      </c>
      <c r="EG66" s="3">
        <f t="shared" ref="EG66:EG80" si="207">+SUM(CV66:DA66)</f>
        <v>0</v>
      </c>
      <c r="EH66" s="3">
        <f t="shared" ref="EH66:EH80" si="208">+SUM(DO66:DQ66)</f>
        <v>0</v>
      </c>
      <c r="EI66" s="3">
        <f t="shared" ref="EI66:EI80" si="209">+SUM(DS66:DW66)</f>
        <v>0</v>
      </c>
      <c r="EJ66" s="3">
        <f t="shared" ref="EJ66:EJ80" si="210">+SUM(DX66:EE66)</f>
        <v>0</v>
      </c>
      <c r="EK66" s="3">
        <f t="shared" ref="EK66:EK80" si="211">+SUM(EF66:EG66)</f>
        <v>0</v>
      </c>
      <c r="EL66" s="24">
        <f t="shared" ref="EL66:EL80" si="212">+SUM(EH66:EK66)</f>
        <v>0</v>
      </c>
      <c r="EM66" s="24"/>
      <c r="EN66" s="46">
        <f t="shared" ref="EN66:EN80" si="213">+SUM(DO66/52)*100</f>
        <v>0</v>
      </c>
      <c r="EO66" s="46">
        <f t="shared" ref="EO66:EO80" si="214">+SUM(DP66/48)*100</f>
        <v>0</v>
      </c>
      <c r="EP66" s="47">
        <f t="shared" ref="EP66:EP80" si="215">+SUM(DQ66/20)*100</f>
        <v>0</v>
      </c>
      <c r="EQ66" s="3" t="s">
        <v>69</v>
      </c>
      <c r="ER66" s="3">
        <f t="shared" ref="ER66:ER80" si="216">+SUM(DS66/20)*100</f>
        <v>0</v>
      </c>
      <c r="ES66" s="3">
        <f t="shared" ref="ES66:ES80" si="217">+SUM(DT66/12)*100</f>
        <v>0</v>
      </c>
      <c r="ET66" s="46">
        <f t="shared" ref="ET66:ET80" si="218">+SUM(DU66/12)*100</f>
        <v>0</v>
      </c>
      <c r="EU66" s="46">
        <f t="shared" ref="EU66:EU80" si="219">+SUM(DV66/16)*100</f>
        <v>0</v>
      </c>
      <c r="EV66" s="46">
        <f t="shared" ref="EV66:EV80" si="220">+SUM(DW66/12)*100</f>
        <v>0</v>
      </c>
      <c r="EW66" s="46">
        <f t="shared" ref="EW66:EW80" si="221">+SUM(DX66/48)*100</f>
        <v>0</v>
      </c>
      <c r="EX66" s="46">
        <f t="shared" ref="EX66:EX80" si="222">+SUM(DY66/36)*100</f>
        <v>0</v>
      </c>
      <c r="EY66" s="46">
        <f t="shared" ref="EY66:EY80" si="223">+SUM(DZ66/12)*100</f>
        <v>0</v>
      </c>
      <c r="EZ66" s="3">
        <f t="shared" ref="EZ66:EZ80" si="224">+SUM(EA66/16)*100</f>
        <v>0</v>
      </c>
      <c r="FA66" s="3" t="s">
        <v>70</v>
      </c>
      <c r="FB66" s="3">
        <f t="shared" ref="FB66:FB80" si="225">+SUM(EC66/20)*100</f>
        <v>0</v>
      </c>
      <c r="FC66" s="3" t="s">
        <v>70</v>
      </c>
      <c r="FD66" s="46">
        <f t="shared" ref="FD66:FD80" si="226">+SUM(EE66/24)*100</f>
        <v>0</v>
      </c>
      <c r="FE66" s="46">
        <f t="shared" ref="FE66:FE80" si="227">+SUM(EF66/16)*100</f>
        <v>0</v>
      </c>
      <c r="FF66" s="46">
        <f t="shared" ref="FF66:FF80" si="228">+SUM(EG66/24)*100</f>
        <v>0</v>
      </c>
      <c r="FG66" s="46">
        <f t="shared" ref="FG66:FG80" si="229">+SUM(EH66/120)*100</f>
        <v>0</v>
      </c>
      <c r="FH66" s="46">
        <f t="shared" ref="FH66:FH80" si="230">+SUM(EI66/72)*100</f>
        <v>0</v>
      </c>
      <c r="FI66" s="46">
        <f t="shared" ref="FI66:FI80" si="231">+SUM(EJ66/156)*100</f>
        <v>0</v>
      </c>
      <c r="FJ66" s="3">
        <f t="shared" ref="FJ66:FJ80" si="232">+SUM(EK66/40)*100</f>
        <v>0</v>
      </c>
      <c r="FK66" s="46">
        <f t="shared" ref="FK66:FK80" si="233">+SUM(EL66/388)*100</f>
        <v>0</v>
      </c>
      <c r="FM66" s="74">
        <f>EL66+'EXTRALABORAL B '!BH248</f>
        <v>0</v>
      </c>
      <c r="FN66" s="74">
        <f t="shared" ref="FN66:FN80" si="234">+(FM66/512)*100</f>
        <v>0</v>
      </c>
    </row>
    <row r="67" spans="1:170">
      <c r="A67" s="3">
        <v>64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3">
        <f t="shared" si="192"/>
        <v>0</v>
      </c>
      <c r="DP67" s="3">
        <f t="shared" si="193"/>
        <v>0</v>
      </c>
      <c r="DQ67" s="3">
        <f t="shared" si="194"/>
        <v>0</v>
      </c>
      <c r="DR67" s="3" t="s">
        <v>69</v>
      </c>
      <c r="DS67" s="3">
        <f t="shared" si="195"/>
        <v>0</v>
      </c>
      <c r="DT67" s="3">
        <f t="shared" si="196"/>
        <v>0</v>
      </c>
      <c r="DU67" s="3">
        <f t="shared" si="197"/>
        <v>0</v>
      </c>
      <c r="DV67" s="3">
        <f t="shared" si="198"/>
        <v>0</v>
      </c>
      <c r="DW67" s="3">
        <f t="shared" si="199"/>
        <v>0</v>
      </c>
      <c r="DX67" s="3">
        <f t="shared" si="200"/>
        <v>0</v>
      </c>
      <c r="DY67" s="3">
        <f t="shared" si="201"/>
        <v>0</v>
      </c>
      <c r="DZ67" s="3">
        <f t="shared" si="202"/>
        <v>0</v>
      </c>
      <c r="EA67" s="3">
        <f t="shared" si="203"/>
        <v>0</v>
      </c>
      <c r="EB67" s="3" t="s">
        <v>70</v>
      </c>
      <c r="EC67" s="3">
        <f t="shared" si="204"/>
        <v>0</v>
      </c>
      <c r="ED67" s="3" t="s">
        <v>70</v>
      </c>
      <c r="EE67" s="3">
        <f t="shared" si="205"/>
        <v>0</v>
      </c>
      <c r="EF67" s="3">
        <f t="shared" si="206"/>
        <v>0</v>
      </c>
      <c r="EG67" s="3">
        <f t="shared" si="207"/>
        <v>0</v>
      </c>
      <c r="EH67" s="3">
        <f t="shared" si="208"/>
        <v>0</v>
      </c>
      <c r="EI67" s="3">
        <f t="shared" si="209"/>
        <v>0</v>
      </c>
      <c r="EJ67" s="3">
        <f t="shared" si="210"/>
        <v>0</v>
      </c>
      <c r="EK67" s="3">
        <f t="shared" si="211"/>
        <v>0</v>
      </c>
      <c r="EL67" s="24">
        <f t="shared" si="212"/>
        <v>0</v>
      </c>
      <c r="EM67" s="24"/>
      <c r="EN67" s="46">
        <f t="shared" si="213"/>
        <v>0</v>
      </c>
      <c r="EO67" s="46">
        <f t="shared" si="214"/>
        <v>0</v>
      </c>
      <c r="EP67" s="47">
        <f t="shared" si="215"/>
        <v>0</v>
      </c>
      <c r="EQ67" s="3" t="s">
        <v>69</v>
      </c>
      <c r="ER67" s="3">
        <f t="shared" si="216"/>
        <v>0</v>
      </c>
      <c r="ES67" s="3">
        <f t="shared" si="217"/>
        <v>0</v>
      </c>
      <c r="ET67" s="46">
        <f t="shared" si="218"/>
        <v>0</v>
      </c>
      <c r="EU67" s="46">
        <f t="shared" si="219"/>
        <v>0</v>
      </c>
      <c r="EV67" s="46">
        <f t="shared" si="220"/>
        <v>0</v>
      </c>
      <c r="EW67" s="46">
        <f t="shared" si="221"/>
        <v>0</v>
      </c>
      <c r="EX67" s="46">
        <f t="shared" si="222"/>
        <v>0</v>
      </c>
      <c r="EY67" s="46">
        <f t="shared" si="223"/>
        <v>0</v>
      </c>
      <c r="EZ67" s="3">
        <f t="shared" si="224"/>
        <v>0</v>
      </c>
      <c r="FA67" s="3" t="s">
        <v>70</v>
      </c>
      <c r="FB67" s="3">
        <f t="shared" si="225"/>
        <v>0</v>
      </c>
      <c r="FC67" s="3" t="s">
        <v>70</v>
      </c>
      <c r="FD67" s="46">
        <f t="shared" si="226"/>
        <v>0</v>
      </c>
      <c r="FE67" s="46">
        <f t="shared" si="227"/>
        <v>0</v>
      </c>
      <c r="FF67" s="46">
        <f t="shared" si="228"/>
        <v>0</v>
      </c>
      <c r="FG67" s="46">
        <f t="shared" si="229"/>
        <v>0</v>
      </c>
      <c r="FH67" s="46">
        <f t="shared" si="230"/>
        <v>0</v>
      </c>
      <c r="FI67" s="46">
        <f t="shared" si="231"/>
        <v>0</v>
      </c>
      <c r="FJ67" s="3">
        <f t="shared" si="232"/>
        <v>0</v>
      </c>
      <c r="FK67" s="46">
        <f t="shared" si="233"/>
        <v>0</v>
      </c>
      <c r="FM67" s="74">
        <f>EL67+'EXTRALABORAL B '!BH249</f>
        <v>0</v>
      </c>
      <c r="FN67" s="74">
        <f t="shared" si="234"/>
        <v>0</v>
      </c>
    </row>
    <row r="68" spans="1:170">
      <c r="A68" s="3">
        <v>65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3">
        <f t="shared" si="192"/>
        <v>0</v>
      </c>
      <c r="DP68" s="3">
        <f t="shared" si="193"/>
        <v>0</v>
      </c>
      <c r="DQ68" s="3">
        <f t="shared" si="194"/>
        <v>0</v>
      </c>
      <c r="DR68" s="3" t="s">
        <v>69</v>
      </c>
      <c r="DS68" s="3">
        <f t="shared" si="195"/>
        <v>0</v>
      </c>
      <c r="DT68" s="3">
        <f t="shared" si="196"/>
        <v>0</v>
      </c>
      <c r="DU68" s="3">
        <f t="shared" si="197"/>
        <v>0</v>
      </c>
      <c r="DV68" s="3">
        <f t="shared" si="198"/>
        <v>0</v>
      </c>
      <c r="DW68" s="3">
        <f t="shared" si="199"/>
        <v>0</v>
      </c>
      <c r="DX68" s="3">
        <f t="shared" si="200"/>
        <v>0</v>
      </c>
      <c r="DY68" s="3">
        <f t="shared" si="201"/>
        <v>0</v>
      </c>
      <c r="DZ68" s="3">
        <f t="shared" si="202"/>
        <v>0</v>
      </c>
      <c r="EA68" s="3">
        <f t="shared" si="203"/>
        <v>0</v>
      </c>
      <c r="EB68" s="3" t="s">
        <v>70</v>
      </c>
      <c r="EC68" s="3">
        <f t="shared" si="204"/>
        <v>0</v>
      </c>
      <c r="ED68" s="3" t="s">
        <v>70</v>
      </c>
      <c r="EE68" s="3">
        <f t="shared" si="205"/>
        <v>0</v>
      </c>
      <c r="EF68" s="3">
        <f t="shared" si="206"/>
        <v>0</v>
      </c>
      <c r="EG68" s="3">
        <f t="shared" si="207"/>
        <v>0</v>
      </c>
      <c r="EH68" s="3">
        <f t="shared" si="208"/>
        <v>0</v>
      </c>
      <c r="EI68" s="3">
        <f t="shared" si="209"/>
        <v>0</v>
      </c>
      <c r="EJ68" s="3">
        <f t="shared" si="210"/>
        <v>0</v>
      </c>
      <c r="EK68" s="3">
        <f t="shared" si="211"/>
        <v>0</v>
      </c>
      <c r="EL68" s="24">
        <f t="shared" si="212"/>
        <v>0</v>
      </c>
      <c r="EM68" s="24"/>
      <c r="EN68" s="46">
        <f t="shared" si="213"/>
        <v>0</v>
      </c>
      <c r="EO68" s="46">
        <f t="shared" si="214"/>
        <v>0</v>
      </c>
      <c r="EP68" s="47">
        <f t="shared" si="215"/>
        <v>0</v>
      </c>
      <c r="EQ68" s="3" t="s">
        <v>69</v>
      </c>
      <c r="ER68" s="3">
        <f t="shared" si="216"/>
        <v>0</v>
      </c>
      <c r="ES68" s="3">
        <f t="shared" si="217"/>
        <v>0</v>
      </c>
      <c r="ET68" s="46">
        <f t="shared" si="218"/>
        <v>0</v>
      </c>
      <c r="EU68" s="46">
        <f t="shared" si="219"/>
        <v>0</v>
      </c>
      <c r="EV68" s="46">
        <f t="shared" si="220"/>
        <v>0</v>
      </c>
      <c r="EW68" s="46">
        <f t="shared" si="221"/>
        <v>0</v>
      </c>
      <c r="EX68" s="46">
        <f t="shared" si="222"/>
        <v>0</v>
      </c>
      <c r="EY68" s="46">
        <f t="shared" si="223"/>
        <v>0</v>
      </c>
      <c r="EZ68" s="3">
        <f t="shared" si="224"/>
        <v>0</v>
      </c>
      <c r="FA68" s="3" t="s">
        <v>70</v>
      </c>
      <c r="FB68" s="3">
        <f t="shared" si="225"/>
        <v>0</v>
      </c>
      <c r="FC68" s="3" t="s">
        <v>70</v>
      </c>
      <c r="FD68" s="46">
        <f t="shared" si="226"/>
        <v>0</v>
      </c>
      <c r="FE68" s="46">
        <f t="shared" si="227"/>
        <v>0</v>
      </c>
      <c r="FF68" s="46">
        <f t="shared" si="228"/>
        <v>0</v>
      </c>
      <c r="FG68" s="46">
        <f t="shared" si="229"/>
        <v>0</v>
      </c>
      <c r="FH68" s="46">
        <f t="shared" si="230"/>
        <v>0</v>
      </c>
      <c r="FI68" s="46">
        <f t="shared" si="231"/>
        <v>0</v>
      </c>
      <c r="FJ68" s="3">
        <f t="shared" si="232"/>
        <v>0</v>
      </c>
      <c r="FK68" s="46">
        <f t="shared" si="233"/>
        <v>0</v>
      </c>
      <c r="FM68" s="74">
        <f>EL68+'EXTRALABORAL B '!BH250</f>
        <v>0</v>
      </c>
      <c r="FN68" s="74">
        <f t="shared" si="234"/>
        <v>0</v>
      </c>
    </row>
    <row r="69" spans="1:170">
      <c r="A69" s="3">
        <v>66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3">
        <f t="shared" si="192"/>
        <v>0</v>
      </c>
      <c r="DP69" s="3">
        <f t="shared" si="193"/>
        <v>0</v>
      </c>
      <c r="DQ69" s="3">
        <f t="shared" si="194"/>
        <v>0</v>
      </c>
      <c r="DR69" s="3" t="s">
        <v>69</v>
      </c>
      <c r="DS69" s="3">
        <f t="shared" si="195"/>
        <v>0</v>
      </c>
      <c r="DT69" s="3">
        <f t="shared" si="196"/>
        <v>0</v>
      </c>
      <c r="DU69" s="3">
        <f t="shared" si="197"/>
        <v>0</v>
      </c>
      <c r="DV69" s="3">
        <f t="shared" si="198"/>
        <v>0</v>
      </c>
      <c r="DW69" s="3">
        <f t="shared" si="199"/>
        <v>0</v>
      </c>
      <c r="DX69" s="3">
        <f t="shared" si="200"/>
        <v>0</v>
      </c>
      <c r="DY69" s="3">
        <f t="shared" si="201"/>
        <v>0</v>
      </c>
      <c r="DZ69" s="3">
        <f t="shared" si="202"/>
        <v>0</v>
      </c>
      <c r="EA69" s="3">
        <f t="shared" si="203"/>
        <v>0</v>
      </c>
      <c r="EB69" s="3" t="s">
        <v>70</v>
      </c>
      <c r="EC69" s="3">
        <f t="shared" si="204"/>
        <v>0</v>
      </c>
      <c r="ED69" s="3" t="s">
        <v>70</v>
      </c>
      <c r="EE69" s="3">
        <f t="shared" si="205"/>
        <v>0</v>
      </c>
      <c r="EF69" s="3">
        <f t="shared" si="206"/>
        <v>0</v>
      </c>
      <c r="EG69" s="3">
        <f t="shared" si="207"/>
        <v>0</v>
      </c>
      <c r="EH69" s="3">
        <f t="shared" si="208"/>
        <v>0</v>
      </c>
      <c r="EI69" s="3">
        <f t="shared" si="209"/>
        <v>0</v>
      </c>
      <c r="EJ69" s="3">
        <f t="shared" si="210"/>
        <v>0</v>
      </c>
      <c r="EK69" s="3">
        <f t="shared" si="211"/>
        <v>0</v>
      </c>
      <c r="EL69" s="24">
        <f t="shared" si="212"/>
        <v>0</v>
      </c>
      <c r="EM69" s="24"/>
      <c r="EN69" s="46">
        <f t="shared" si="213"/>
        <v>0</v>
      </c>
      <c r="EO69" s="46">
        <f t="shared" si="214"/>
        <v>0</v>
      </c>
      <c r="EP69" s="47">
        <f t="shared" si="215"/>
        <v>0</v>
      </c>
      <c r="EQ69" s="3" t="s">
        <v>69</v>
      </c>
      <c r="ER69" s="3">
        <f t="shared" si="216"/>
        <v>0</v>
      </c>
      <c r="ES69" s="3">
        <f t="shared" si="217"/>
        <v>0</v>
      </c>
      <c r="ET69" s="46">
        <f t="shared" si="218"/>
        <v>0</v>
      </c>
      <c r="EU69" s="46">
        <f t="shared" si="219"/>
        <v>0</v>
      </c>
      <c r="EV69" s="46">
        <f t="shared" si="220"/>
        <v>0</v>
      </c>
      <c r="EW69" s="46">
        <f t="shared" si="221"/>
        <v>0</v>
      </c>
      <c r="EX69" s="46">
        <f t="shared" si="222"/>
        <v>0</v>
      </c>
      <c r="EY69" s="46">
        <f t="shared" si="223"/>
        <v>0</v>
      </c>
      <c r="EZ69" s="3">
        <f t="shared" si="224"/>
        <v>0</v>
      </c>
      <c r="FA69" s="3" t="s">
        <v>70</v>
      </c>
      <c r="FB69" s="3">
        <f t="shared" si="225"/>
        <v>0</v>
      </c>
      <c r="FC69" s="3" t="s">
        <v>70</v>
      </c>
      <c r="FD69" s="46">
        <f t="shared" si="226"/>
        <v>0</v>
      </c>
      <c r="FE69" s="46">
        <f t="shared" si="227"/>
        <v>0</v>
      </c>
      <c r="FF69" s="46">
        <f t="shared" si="228"/>
        <v>0</v>
      </c>
      <c r="FG69" s="46">
        <f t="shared" si="229"/>
        <v>0</v>
      </c>
      <c r="FH69" s="46">
        <f t="shared" si="230"/>
        <v>0</v>
      </c>
      <c r="FI69" s="46">
        <f t="shared" si="231"/>
        <v>0</v>
      </c>
      <c r="FJ69" s="3">
        <f t="shared" si="232"/>
        <v>0</v>
      </c>
      <c r="FK69" s="46">
        <f t="shared" si="233"/>
        <v>0</v>
      </c>
      <c r="FM69" s="74">
        <f>EL69+'EXTRALABORAL B '!BH251</f>
        <v>0</v>
      </c>
      <c r="FN69" s="74">
        <f t="shared" si="234"/>
        <v>0</v>
      </c>
    </row>
    <row r="70" spans="1:170">
      <c r="A70" s="3">
        <v>67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3">
        <f t="shared" si="192"/>
        <v>0</v>
      </c>
      <c r="DP70" s="3">
        <f t="shared" si="193"/>
        <v>0</v>
      </c>
      <c r="DQ70" s="3">
        <f t="shared" si="194"/>
        <v>0</v>
      </c>
      <c r="DR70" s="3" t="s">
        <v>69</v>
      </c>
      <c r="DS70" s="3">
        <f t="shared" si="195"/>
        <v>0</v>
      </c>
      <c r="DT70" s="3">
        <f t="shared" si="196"/>
        <v>0</v>
      </c>
      <c r="DU70" s="3">
        <f t="shared" si="197"/>
        <v>0</v>
      </c>
      <c r="DV70" s="3">
        <f t="shared" si="198"/>
        <v>0</v>
      </c>
      <c r="DW70" s="3">
        <f t="shared" si="199"/>
        <v>0</v>
      </c>
      <c r="DX70" s="3">
        <f t="shared" si="200"/>
        <v>0</v>
      </c>
      <c r="DY70" s="3">
        <f t="shared" si="201"/>
        <v>0</v>
      </c>
      <c r="DZ70" s="3">
        <f t="shared" si="202"/>
        <v>0</v>
      </c>
      <c r="EA70" s="3">
        <f t="shared" si="203"/>
        <v>0</v>
      </c>
      <c r="EB70" s="3" t="s">
        <v>70</v>
      </c>
      <c r="EC70" s="3">
        <f t="shared" si="204"/>
        <v>0</v>
      </c>
      <c r="ED70" s="3" t="s">
        <v>70</v>
      </c>
      <c r="EE70" s="3">
        <f t="shared" si="205"/>
        <v>0</v>
      </c>
      <c r="EF70" s="3">
        <f t="shared" si="206"/>
        <v>0</v>
      </c>
      <c r="EG70" s="3">
        <f t="shared" si="207"/>
        <v>0</v>
      </c>
      <c r="EH70" s="3">
        <f t="shared" si="208"/>
        <v>0</v>
      </c>
      <c r="EI70" s="3">
        <f t="shared" si="209"/>
        <v>0</v>
      </c>
      <c r="EJ70" s="3">
        <f t="shared" si="210"/>
        <v>0</v>
      </c>
      <c r="EK70" s="3">
        <f t="shared" si="211"/>
        <v>0</v>
      </c>
      <c r="EL70" s="24">
        <f t="shared" si="212"/>
        <v>0</v>
      </c>
      <c r="EM70" s="24"/>
      <c r="EN70" s="46">
        <f t="shared" si="213"/>
        <v>0</v>
      </c>
      <c r="EO70" s="46">
        <f t="shared" si="214"/>
        <v>0</v>
      </c>
      <c r="EP70" s="47">
        <f t="shared" si="215"/>
        <v>0</v>
      </c>
      <c r="EQ70" s="3" t="s">
        <v>69</v>
      </c>
      <c r="ER70" s="3">
        <f t="shared" si="216"/>
        <v>0</v>
      </c>
      <c r="ES70" s="3">
        <f t="shared" si="217"/>
        <v>0</v>
      </c>
      <c r="ET70" s="46">
        <f t="shared" si="218"/>
        <v>0</v>
      </c>
      <c r="EU70" s="46">
        <f t="shared" si="219"/>
        <v>0</v>
      </c>
      <c r="EV70" s="46">
        <f t="shared" si="220"/>
        <v>0</v>
      </c>
      <c r="EW70" s="46">
        <f t="shared" si="221"/>
        <v>0</v>
      </c>
      <c r="EX70" s="46">
        <f t="shared" si="222"/>
        <v>0</v>
      </c>
      <c r="EY70" s="46">
        <f t="shared" si="223"/>
        <v>0</v>
      </c>
      <c r="EZ70" s="3">
        <f t="shared" si="224"/>
        <v>0</v>
      </c>
      <c r="FA70" s="3" t="s">
        <v>70</v>
      </c>
      <c r="FB70" s="3">
        <f t="shared" si="225"/>
        <v>0</v>
      </c>
      <c r="FC70" s="3" t="s">
        <v>70</v>
      </c>
      <c r="FD70" s="46">
        <f t="shared" si="226"/>
        <v>0</v>
      </c>
      <c r="FE70" s="46">
        <f t="shared" si="227"/>
        <v>0</v>
      </c>
      <c r="FF70" s="46">
        <f t="shared" si="228"/>
        <v>0</v>
      </c>
      <c r="FG70" s="46">
        <f t="shared" si="229"/>
        <v>0</v>
      </c>
      <c r="FH70" s="46">
        <f t="shared" si="230"/>
        <v>0</v>
      </c>
      <c r="FI70" s="46">
        <f t="shared" si="231"/>
        <v>0</v>
      </c>
      <c r="FJ70" s="3">
        <f t="shared" si="232"/>
        <v>0</v>
      </c>
      <c r="FK70" s="46">
        <f t="shared" si="233"/>
        <v>0</v>
      </c>
      <c r="FM70" s="74">
        <f>EL70+'EXTRALABORAL B '!BH252</f>
        <v>0</v>
      </c>
      <c r="FN70" s="74">
        <f t="shared" si="234"/>
        <v>0</v>
      </c>
    </row>
    <row r="71" spans="1:170">
      <c r="A71" s="3">
        <v>68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3">
        <f t="shared" si="192"/>
        <v>0</v>
      </c>
      <c r="DP71" s="3">
        <f t="shared" si="193"/>
        <v>0</v>
      </c>
      <c r="DQ71" s="3">
        <f t="shared" si="194"/>
        <v>0</v>
      </c>
      <c r="DR71" s="3" t="s">
        <v>69</v>
      </c>
      <c r="DS71" s="3">
        <f t="shared" si="195"/>
        <v>0</v>
      </c>
      <c r="DT71" s="3">
        <f t="shared" si="196"/>
        <v>0</v>
      </c>
      <c r="DU71" s="3">
        <f t="shared" si="197"/>
        <v>0</v>
      </c>
      <c r="DV71" s="3">
        <f t="shared" si="198"/>
        <v>0</v>
      </c>
      <c r="DW71" s="3">
        <f t="shared" si="199"/>
        <v>0</v>
      </c>
      <c r="DX71" s="3">
        <f t="shared" si="200"/>
        <v>0</v>
      </c>
      <c r="DY71" s="3">
        <f t="shared" si="201"/>
        <v>0</v>
      </c>
      <c r="DZ71" s="3">
        <f t="shared" si="202"/>
        <v>0</v>
      </c>
      <c r="EA71" s="3">
        <f t="shared" si="203"/>
        <v>0</v>
      </c>
      <c r="EB71" s="3" t="s">
        <v>70</v>
      </c>
      <c r="EC71" s="3">
        <f t="shared" si="204"/>
        <v>0</v>
      </c>
      <c r="ED71" s="3" t="s">
        <v>70</v>
      </c>
      <c r="EE71" s="3">
        <f t="shared" si="205"/>
        <v>0</v>
      </c>
      <c r="EF71" s="3">
        <f t="shared" si="206"/>
        <v>0</v>
      </c>
      <c r="EG71" s="3">
        <f t="shared" si="207"/>
        <v>0</v>
      </c>
      <c r="EH71" s="3">
        <f t="shared" si="208"/>
        <v>0</v>
      </c>
      <c r="EI71" s="3">
        <f t="shared" si="209"/>
        <v>0</v>
      </c>
      <c r="EJ71" s="3">
        <f t="shared" si="210"/>
        <v>0</v>
      </c>
      <c r="EK71" s="3">
        <f t="shared" si="211"/>
        <v>0</v>
      </c>
      <c r="EL71" s="24">
        <f t="shared" si="212"/>
        <v>0</v>
      </c>
      <c r="EM71" s="24"/>
      <c r="EN71" s="46">
        <f t="shared" si="213"/>
        <v>0</v>
      </c>
      <c r="EO71" s="46">
        <f t="shared" si="214"/>
        <v>0</v>
      </c>
      <c r="EP71" s="47">
        <f t="shared" si="215"/>
        <v>0</v>
      </c>
      <c r="EQ71" s="3" t="s">
        <v>69</v>
      </c>
      <c r="ER71" s="3">
        <f t="shared" si="216"/>
        <v>0</v>
      </c>
      <c r="ES71" s="3">
        <f t="shared" si="217"/>
        <v>0</v>
      </c>
      <c r="ET71" s="46">
        <f t="shared" si="218"/>
        <v>0</v>
      </c>
      <c r="EU71" s="46">
        <f t="shared" si="219"/>
        <v>0</v>
      </c>
      <c r="EV71" s="46">
        <f t="shared" si="220"/>
        <v>0</v>
      </c>
      <c r="EW71" s="46">
        <f t="shared" si="221"/>
        <v>0</v>
      </c>
      <c r="EX71" s="46">
        <f t="shared" si="222"/>
        <v>0</v>
      </c>
      <c r="EY71" s="46">
        <f t="shared" si="223"/>
        <v>0</v>
      </c>
      <c r="EZ71" s="3">
        <f t="shared" si="224"/>
        <v>0</v>
      </c>
      <c r="FA71" s="3" t="s">
        <v>70</v>
      </c>
      <c r="FB71" s="3">
        <f t="shared" si="225"/>
        <v>0</v>
      </c>
      <c r="FC71" s="3" t="s">
        <v>70</v>
      </c>
      <c r="FD71" s="46">
        <f t="shared" si="226"/>
        <v>0</v>
      </c>
      <c r="FE71" s="46">
        <f t="shared" si="227"/>
        <v>0</v>
      </c>
      <c r="FF71" s="46">
        <f t="shared" si="228"/>
        <v>0</v>
      </c>
      <c r="FG71" s="46">
        <f t="shared" si="229"/>
        <v>0</v>
      </c>
      <c r="FH71" s="46">
        <f t="shared" si="230"/>
        <v>0</v>
      </c>
      <c r="FI71" s="46">
        <f t="shared" si="231"/>
        <v>0</v>
      </c>
      <c r="FJ71" s="3">
        <f t="shared" si="232"/>
        <v>0</v>
      </c>
      <c r="FK71" s="46">
        <f t="shared" si="233"/>
        <v>0</v>
      </c>
      <c r="FM71" s="74">
        <f>EL71+'EXTRALABORAL B '!BH253</f>
        <v>0</v>
      </c>
      <c r="FN71" s="74">
        <f t="shared" si="234"/>
        <v>0</v>
      </c>
    </row>
    <row r="72" spans="1:170">
      <c r="A72" s="3">
        <v>69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3">
        <f t="shared" si="192"/>
        <v>0</v>
      </c>
      <c r="DP72" s="3">
        <f t="shared" si="193"/>
        <v>0</v>
      </c>
      <c r="DQ72" s="3">
        <f t="shared" si="194"/>
        <v>0</v>
      </c>
      <c r="DR72" s="3" t="s">
        <v>69</v>
      </c>
      <c r="DS72" s="3">
        <f t="shared" si="195"/>
        <v>0</v>
      </c>
      <c r="DT72" s="3">
        <f t="shared" si="196"/>
        <v>0</v>
      </c>
      <c r="DU72" s="3">
        <f t="shared" si="197"/>
        <v>0</v>
      </c>
      <c r="DV72" s="3">
        <f t="shared" si="198"/>
        <v>0</v>
      </c>
      <c r="DW72" s="3">
        <f t="shared" si="199"/>
        <v>0</v>
      </c>
      <c r="DX72" s="3">
        <f t="shared" si="200"/>
        <v>0</v>
      </c>
      <c r="DY72" s="3">
        <f t="shared" si="201"/>
        <v>0</v>
      </c>
      <c r="DZ72" s="3">
        <f t="shared" si="202"/>
        <v>0</v>
      </c>
      <c r="EA72" s="3">
        <f t="shared" si="203"/>
        <v>0</v>
      </c>
      <c r="EB72" s="3" t="s">
        <v>70</v>
      </c>
      <c r="EC72" s="3">
        <f t="shared" si="204"/>
        <v>0</v>
      </c>
      <c r="ED72" s="3" t="s">
        <v>70</v>
      </c>
      <c r="EE72" s="3">
        <f t="shared" si="205"/>
        <v>0</v>
      </c>
      <c r="EF72" s="3">
        <f t="shared" si="206"/>
        <v>0</v>
      </c>
      <c r="EG72" s="3">
        <f t="shared" si="207"/>
        <v>0</v>
      </c>
      <c r="EH72" s="3">
        <f t="shared" si="208"/>
        <v>0</v>
      </c>
      <c r="EI72" s="3">
        <f t="shared" si="209"/>
        <v>0</v>
      </c>
      <c r="EJ72" s="3">
        <f t="shared" si="210"/>
        <v>0</v>
      </c>
      <c r="EK72" s="3">
        <f t="shared" si="211"/>
        <v>0</v>
      </c>
      <c r="EL72" s="24">
        <f t="shared" si="212"/>
        <v>0</v>
      </c>
      <c r="EM72" s="24"/>
      <c r="EN72" s="46">
        <f t="shared" si="213"/>
        <v>0</v>
      </c>
      <c r="EO72" s="46">
        <f t="shared" si="214"/>
        <v>0</v>
      </c>
      <c r="EP72" s="47">
        <f t="shared" si="215"/>
        <v>0</v>
      </c>
      <c r="EQ72" s="3" t="s">
        <v>69</v>
      </c>
      <c r="ER72" s="3">
        <f t="shared" si="216"/>
        <v>0</v>
      </c>
      <c r="ES72" s="3">
        <f t="shared" si="217"/>
        <v>0</v>
      </c>
      <c r="ET72" s="46">
        <f t="shared" si="218"/>
        <v>0</v>
      </c>
      <c r="EU72" s="46">
        <f t="shared" si="219"/>
        <v>0</v>
      </c>
      <c r="EV72" s="46">
        <f t="shared" si="220"/>
        <v>0</v>
      </c>
      <c r="EW72" s="46">
        <f t="shared" si="221"/>
        <v>0</v>
      </c>
      <c r="EX72" s="46">
        <f t="shared" si="222"/>
        <v>0</v>
      </c>
      <c r="EY72" s="46">
        <f t="shared" si="223"/>
        <v>0</v>
      </c>
      <c r="EZ72" s="3">
        <f t="shared" si="224"/>
        <v>0</v>
      </c>
      <c r="FA72" s="3" t="s">
        <v>70</v>
      </c>
      <c r="FB72" s="3">
        <f t="shared" si="225"/>
        <v>0</v>
      </c>
      <c r="FC72" s="3" t="s">
        <v>70</v>
      </c>
      <c r="FD72" s="46">
        <f t="shared" si="226"/>
        <v>0</v>
      </c>
      <c r="FE72" s="46">
        <f t="shared" si="227"/>
        <v>0</v>
      </c>
      <c r="FF72" s="46">
        <f t="shared" si="228"/>
        <v>0</v>
      </c>
      <c r="FG72" s="46">
        <f t="shared" si="229"/>
        <v>0</v>
      </c>
      <c r="FH72" s="46">
        <f t="shared" si="230"/>
        <v>0</v>
      </c>
      <c r="FI72" s="46">
        <f t="shared" si="231"/>
        <v>0</v>
      </c>
      <c r="FJ72" s="3">
        <f t="shared" si="232"/>
        <v>0</v>
      </c>
      <c r="FK72" s="46">
        <f t="shared" si="233"/>
        <v>0</v>
      </c>
      <c r="FM72" s="74">
        <f>EL72+'EXTRALABORAL B '!BH254</f>
        <v>0</v>
      </c>
      <c r="FN72" s="74">
        <f t="shared" si="234"/>
        <v>0</v>
      </c>
    </row>
    <row r="73" spans="1:170">
      <c r="A73" s="3">
        <v>70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3">
        <f t="shared" si="192"/>
        <v>0</v>
      </c>
      <c r="DP73" s="3">
        <f t="shared" si="193"/>
        <v>0</v>
      </c>
      <c r="DQ73" s="3">
        <f t="shared" si="194"/>
        <v>0</v>
      </c>
      <c r="DR73" s="3" t="s">
        <v>69</v>
      </c>
      <c r="DS73" s="3">
        <f t="shared" si="195"/>
        <v>0</v>
      </c>
      <c r="DT73" s="3">
        <f t="shared" si="196"/>
        <v>0</v>
      </c>
      <c r="DU73" s="3">
        <f t="shared" si="197"/>
        <v>0</v>
      </c>
      <c r="DV73" s="3">
        <f t="shared" si="198"/>
        <v>0</v>
      </c>
      <c r="DW73" s="3">
        <f t="shared" si="199"/>
        <v>0</v>
      </c>
      <c r="DX73" s="3">
        <f t="shared" si="200"/>
        <v>0</v>
      </c>
      <c r="DY73" s="3">
        <f t="shared" si="201"/>
        <v>0</v>
      </c>
      <c r="DZ73" s="3">
        <f t="shared" si="202"/>
        <v>0</v>
      </c>
      <c r="EA73" s="3">
        <f t="shared" si="203"/>
        <v>0</v>
      </c>
      <c r="EB73" s="3" t="s">
        <v>70</v>
      </c>
      <c r="EC73" s="3">
        <f t="shared" si="204"/>
        <v>0</v>
      </c>
      <c r="ED73" s="3" t="s">
        <v>70</v>
      </c>
      <c r="EE73" s="3">
        <f t="shared" si="205"/>
        <v>0</v>
      </c>
      <c r="EF73" s="3">
        <f t="shared" si="206"/>
        <v>0</v>
      </c>
      <c r="EG73" s="3">
        <f t="shared" si="207"/>
        <v>0</v>
      </c>
      <c r="EH73" s="3">
        <f t="shared" si="208"/>
        <v>0</v>
      </c>
      <c r="EI73" s="3">
        <f t="shared" si="209"/>
        <v>0</v>
      </c>
      <c r="EJ73" s="3">
        <f t="shared" si="210"/>
        <v>0</v>
      </c>
      <c r="EK73" s="3">
        <f t="shared" si="211"/>
        <v>0</v>
      </c>
      <c r="EL73" s="24">
        <f t="shared" si="212"/>
        <v>0</v>
      </c>
      <c r="EM73" s="24"/>
      <c r="EN73" s="46">
        <f t="shared" si="213"/>
        <v>0</v>
      </c>
      <c r="EO73" s="46">
        <f t="shared" si="214"/>
        <v>0</v>
      </c>
      <c r="EP73" s="47">
        <f t="shared" si="215"/>
        <v>0</v>
      </c>
      <c r="EQ73" s="3" t="s">
        <v>69</v>
      </c>
      <c r="ER73" s="3">
        <f t="shared" si="216"/>
        <v>0</v>
      </c>
      <c r="ES73" s="3">
        <f t="shared" si="217"/>
        <v>0</v>
      </c>
      <c r="ET73" s="46">
        <f t="shared" si="218"/>
        <v>0</v>
      </c>
      <c r="EU73" s="46">
        <f t="shared" si="219"/>
        <v>0</v>
      </c>
      <c r="EV73" s="46">
        <f t="shared" si="220"/>
        <v>0</v>
      </c>
      <c r="EW73" s="46">
        <f t="shared" si="221"/>
        <v>0</v>
      </c>
      <c r="EX73" s="46">
        <f t="shared" si="222"/>
        <v>0</v>
      </c>
      <c r="EY73" s="46">
        <f t="shared" si="223"/>
        <v>0</v>
      </c>
      <c r="EZ73" s="3">
        <f t="shared" si="224"/>
        <v>0</v>
      </c>
      <c r="FA73" s="3" t="s">
        <v>70</v>
      </c>
      <c r="FB73" s="3">
        <f t="shared" si="225"/>
        <v>0</v>
      </c>
      <c r="FC73" s="3" t="s">
        <v>70</v>
      </c>
      <c r="FD73" s="46">
        <f t="shared" si="226"/>
        <v>0</v>
      </c>
      <c r="FE73" s="46">
        <f t="shared" si="227"/>
        <v>0</v>
      </c>
      <c r="FF73" s="46">
        <f t="shared" si="228"/>
        <v>0</v>
      </c>
      <c r="FG73" s="46">
        <f t="shared" si="229"/>
        <v>0</v>
      </c>
      <c r="FH73" s="46">
        <f t="shared" si="230"/>
        <v>0</v>
      </c>
      <c r="FI73" s="46">
        <f t="shared" si="231"/>
        <v>0</v>
      </c>
      <c r="FJ73" s="3">
        <f t="shared" si="232"/>
        <v>0</v>
      </c>
      <c r="FK73" s="46">
        <f t="shared" si="233"/>
        <v>0</v>
      </c>
      <c r="FM73" s="74">
        <f>EL73+'EXTRALABORAL B '!BH255</f>
        <v>0</v>
      </c>
      <c r="FN73" s="74">
        <f t="shared" si="234"/>
        <v>0</v>
      </c>
    </row>
    <row r="74" spans="1:170">
      <c r="A74" s="3">
        <v>71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3">
        <f t="shared" si="192"/>
        <v>0</v>
      </c>
      <c r="DP74" s="3">
        <f t="shared" si="193"/>
        <v>0</v>
      </c>
      <c r="DQ74" s="3">
        <f t="shared" si="194"/>
        <v>0</v>
      </c>
      <c r="DR74" s="3" t="s">
        <v>69</v>
      </c>
      <c r="DS74" s="3">
        <f t="shared" si="195"/>
        <v>0</v>
      </c>
      <c r="DT74" s="3">
        <f t="shared" si="196"/>
        <v>0</v>
      </c>
      <c r="DU74" s="3">
        <f t="shared" si="197"/>
        <v>0</v>
      </c>
      <c r="DV74" s="3">
        <f t="shared" si="198"/>
        <v>0</v>
      </c>
      <c r="DW74" s="3">
        <f t="shared" si="199"/>
        <v>0</v>
      </c>
      <c r="DX74" s="3">
        <f t="shared" si="200"/>
        <v>0</v>
      </c>
      <c r="DY74" s="3">
        <f t="shared" si="201"/>
        <v>0</v>
      </c>
      <c r="DZ74" s="3">
        <f t="shared" si="202"/>
        <v>0</v>
      </c>
      <c r="EA74" s="3">
        <f t="shared" si="203"/>
        <v>0</v>
      </c>
      <c r="EB74" s="3" t="s">
        <v>70</v>
      </c>
      <c r="EC74" s="3">
        <f t="shared" si="204"/>
        <v>0</v>
      </c>
      <c r="ED74" s="3" t="s">
        <v>70</v>
      </c>
      <c r="EE74" s="3">
        <f t="shared" si="205"/>
        <v>0</v>
      </c>
      <c r="EF74" s="3">
        <f t="shared" si="206"/>
        <v>0</v>
      </c>
      <c r="EG74" s="3">
        <f t="shared" si="207"/>
        <v>0</v>
      </c>
      <c r="EH74" s="3">
        <f t="shared" si="208"/>
        <v>0</v>
      </c>
      <c r="EI74" s="3">
        <f t="shared" si="209"/>
        <v>0</v>
      </c>
      <c r="EJ74" s="3">
        <f t="shared" si="210"/>
        <v>0</v>
      </c>
      <c r="EK74" s="3">
        <f t="shared" si="211"/>
        <v>0</v>
      </c>
      <c r="EL74" s="24">
        <f t="shared" si="212"/>
        <v>0</v>
      </c>
      <c r="EM74" s="24"/>
      <c r="EN74" s="46">
        <f t="shared" si="213"/>
        <v>0</v>
      </c>
      <c r="EO74" s="46">
        <f t="shared" si="214"/>
        <v>0</v>
      </c>
      <c r="EP74" s="47">
        <f t="shared" si="215"/>
        <v>0</v>
      </c>
      <c r="EQ74" s="3" t="s">
        <v>69</v>
      </c>
      <c r="ER74" s="3">
        <f t="shared" si="216"/>
        <v>0</v>
      </c>
      <c r="ES74" s="3">
        <f t="shared" si="217"/>
        <v>0</v>
      </c>
      <c r="ET74" s="46">
        <f t="shared" si="218"/>
        <v>0</v>
      </c>
      <c r="EU74" s="46">
        <f t="shared" si="219"/>
        <v>0</v>
      </c>
      <c r="EV74" s="46">
        <f t="shared" si="220"/>
        <v>0</v>
      </c>
      <c r="EW74" s="46">
        <f t="shared" si="221"/>
        <v>0</v>
      </c>
      <c r="EX74" s="46">
        <f t="shared" si="222"/>
        <v>0</v>
      </c>
      <c r="EY74" s="46">
        <f t="shared" si="223"/>
        <v>0</v>
      </c>
      <c r="EZ74" s="3">
        <f t="shared" si="224"/>
        <v>0</v>
      </c>
      <c r="FA74" s="3" t="s">
        <v>70</v>
      </c>
      <c r="FB74" s="3">
        <f t="shared" si="225"/>
        <v>0</v>
      </c>
      <c r="FC74" s="3" t="s">
        <v>70</v>
      </c>
      <c r="FD74" s="46">
        <f t="shared" si="226"/>
        <v>0</v>
      </c>
      <c r="FE74" s="46">
        <f t="shared" si="227"/>
        <v>0</v>
      </c>
      <c r="FF74" s="46">
        <f t="shared" si="228"/>
        <v>0</v>
      </c>
      <c r="FG74" s="46">
        <f t="shared" si="229"/>
        <v>0</v>
      </c>
      <c r="FH74" s="46">
        <f t="shared" si="230"/>
        <v>0</v>
      </c>
      <c r="FI74" s="46">
        <f t="shared" si="231"/>
        <v>0</v>
      </c>
      <c r="FJ74" s="3">
        <f t="shared" si="232"/>
        <v>0</v>
      </c>
      <c r="FK74" s="46">
        <f t="shared" si="233"/>
        <v>0</v>
      </c>
      <c r="FM74" s="74">
        <f>EL74+'EXTRALABORAL B '!BH256</f>
        <v>0</v>
      </c>
      <c r="FN74" s="74">
        <f t="shared" si="234"/>
        <v>0</v>
      </c>
    </row>
    <row r="75" spans="1:170">
      <c r="A75" s="3">
        <v>72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3">
        <f t="shared" si="192"/>
        <v>0</v>
      </c>
      <c r="DP75" s="3">
        <f t="shared" si="193"/>
        <v>0</v>
      </c>
      <c r="DQ75" s="3">
        <f t="shared" si="194"/>
        <v>0</v>
      </c>
      <c r="DR75" s="3" t="s">
        <v>69</v>
      </c>
      <c r="DS75" s="3">
        <f t="shared" si="195"/>
        <v>0</v>
      </c>
      <c r="DT75" s="3">
        <f t="shared" si="196"/>
        <v>0</v>
      </c>
      <c r="DU75" s="3">
        <f t="shared" si="197"/>
        <v>0</v>
      </c>
      <c r="DV75" s="3">
        <f t="shared" si="198"/>
        <v>0</v>
      </c>
      <c r="DW75" s="3">
        <f t="shared" si="199"/>
        <v>0</v>
      </c>
      <c r="DX75" s="3">
        <f t="shared" si="200"/>
        <v>0</v>
      </c>
      <c r="DY75" s="3">
        <f t="shared" si="201"/>
        <v>0</v>
      </c>
      <c r="DZ75" s="3">
        <f t="shared" si="202"/>
        <v>0</v>
      </c>
      <c r="EA75" s="3">
        <f t="shared" si="203"/>
        <v>0</v>
      </c>
      <c r="EB75" s="3" t="s">
        <v>70</v>
      </c>
      <c r="EC75" s="3">
        <f t="shared" si="204"/>
        <v>0</v>
      </c>
      <c r="ED75" s="3" t="s">
        <v>70</v>
      </c>
      <c r="EE75" s="3">
        <f t="shared" si="205"/>
        <v>0</v>
      </c>
      <c r="EF75" s="3">
        <f t="shared" si="206"/>
        <v>0</v>
      </c>
      <c r="EG75" s="3">
        <f t="shared" si="207"/>
        <v>0</v>
      </c>
      <c r="EH75" s="3">
        <f t="shared" si="208"/>
        <v>0</v>
      </c>
      <c r="EI75" s="3">
        <f t="shared" si="209"/>
        <v>0</v>
      </c>
      <c r="EJ75" s="3">
        <f t="shared" si="210"/>
        <v>0</v>
      </c>
      <c r="EK75" s="3">
        <f t="shared" si="211"/>
        <v>0</v>
      </c>
      <c r="EL75" s="24">
        <f t="shared" si="212"/>
        <v>0</v>
      </c>
      <c r="EM75" s="24"/>
      <c r="EN75" s="46">
        <f t="shared" si="213"/>
        <v>0</v>
      </c>
      <c r="EO75" s="46">
        <f t="shared" si="214"/>
        <v>0</v>
      </c>
      <c r="EP75" s="47">
        <f t="shared" si="215"/>
        <v>0</v>
      </c>
      <c r="EQ75" s="3" t="s">
        <v>69</v>
      </c>
      <c r="ER75" s="3">
        <f t="shared" si="216"/>
        <v>0</v>
      </c>
      <c r="ES75" s="3">
        <f t="shared" si="217"/>
        <v>0</v>
      </c>
      <c r="ET75" s="46">
        <f t="shared" si="218"/>
        <v>0</v>
      </c>
      <c r="EU75" s="46">
        <f t="shared" si="219"/>
        <v>0</v>
      </c>
      <c r="EV75" s="46">
        <f t="shared" si="220"/>
        <v>0</v>
      </c>
      <c r="EW75" s="46">
        <f t="shared" si="221"/>
        <v>0</v>
      </c>
      <c r="EX75" s="46">
        <f t="shared" si="222"/>
        <v>0</v>
      </c>
      <c r="EY75" s="46">
        <f t="shared" si="223"/>
        <v>0</v>
      </c>
      <c r="EZ75" s="3">
        <f t="shared" si="224"/>
        <v>0</v>
      </c>
      <c r="FA75" s="3" t="s">
        <v>70</v>
      </c>
      <c r="FB75" s="3">
        <f t="shared" si="225"/>
        <v>0</v>
      </c>
      <c r="FC75" s="3" t="s">
        <v>70</v>
      </c>
      <c r="FD75" s="46">
        <f t="shared" si="226"/>
        <v>0</v>
      </c>
      <c r="FE75" s="46">
        <f t="shared" si="227"/>
        <v>0</v>
      </c>
      <c r="FF75" s="46">
        <f t="shared" si="228"/>
        <v>0</v>
      </c>
      <c r="FG75" s="46">
        <f t="shared" si="229"/>
        <v>0</v>
      </c>
      <c r="FH75" s="46">
        <f t="shared" si="230"/>
        <v>0</v>
      </c>
      <c r="FI75" s="46">
        <f t="shared" si="231"/>
        <v>0</v>
      </c>
      <c r="FJ75" s="3">
        <f t="shared" si="232"/>
        <v>0</v>
      </c>
      <c r="FK75" s="46">
        <f t="shared" si="233"/>
        <v>0</v>
      </c>
      <c r="FM75" s="74">
        <f>EL75+'EXTRALABORAL B '!BH257</f>
        <v>0</v>
      </c>
      <c r="FN75" s="74">
        <f t="shared" si="234"/>
        <v>0</v>
      </c>
    </row>
    <row r="76" spans="1:170">
      <c r="A76" s="3">
        <v>73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3">
        <f t="shared" si="192"/>
        <v>0</v>
      </c>
      <c r="DP76" s="3">
        <f t="shared" si="193"/>
        <v>0</v>
      </c>
      <c r="DQ76" s="3">
        <f t="shared" si="194"/>
        <v>0</v>
      </c>
      <c r="DR76" s="3" t="s">
        <v>69</v>
      </c>
      <c r="DS76" s="3">
        <f t="shared" si="195"/>
        <v>0</v>
      </c>
      <c r="DT76" s="3">
        <f t="shared" si="196"/>
        <v>0</v>
      </c>
      <c r="DU76" s="3">
        <f t="shared" si="197"/>
        <v>0</v>
      </c>
      <c r="DV76" s="3">
        <f t="shared" si="198"/>
        <v>0</v>
      </c>
      <c r="DW76" s="3">
        <f t="shared" si="199"/>
        <v>0</v>
      </c>
      <c r="DX76" s="3">
        <f t="shared" si="200"/>
        <v>0</v>
      </c>
      <c r="DY76" s="3">
        <f t="shared" si="201"/>
        <v>0</v>
      </c>
      <c r="DZ76" s="3">
        <f t="shared" si="202"/>
        <v>0</v>
      </c>
      <c r="EA76" s="3">
        <f t="shared" si="203"/>
        <v>0</v>
      </c>
      <c r="EB76" s="3" t="s">
        <v>70</v>
      </c>
      <c r="EC76" s="3">
        <f t="shared" si="204"/>
        <v>0</v>
      </c>
      <c r="ED76" s="3" t="s">
        <v>70</v>
      </c>
      <c r="EE76" s="3">
        <f t="shared" si="205"/>
        <v>0</v>
      </c>
      <c r="EF76" s="3">
        <f t="shared" si="206"/>
        <v>0</v>
      </c>
      <c r="EG76" s="3">
        <f t="shared" si="207"/>
        <v>0</v>
      </c>
      <c r="EH76" s="3">
        <f t="shared" si="208"/>
        <v>0</v>
      </c>
      <c r="EI76" s="3">
        <f t="shared" si="209"/>
        <v>0</v>
      </c>
      <c r="EJ76" s="3">
        <f t="shared" si="210"/>
        <v>0</v>
      </c>
      <c r="EK76" s="3">
        <f t="shared" si="211"/>
        <v>0</v>
      </c>
      <c r="EL76" s="24">
        <f t="shared" si="212"/>
        <v>0</v>
      </c>
      <c r="EM76" s="24"/>
      <c r="EN76" s="46">
        <f t="shared" si="213"/>
        <v>0</v>
      </c>
      <c r="EO76" s="46">
        <f t="shared" si="214"/>
        <v>0</v>
      </c>
      <c r="EP76" s="47">
        <f t="shared" si="215"/>
        <v>0</v>
      </c>
      <c r="EQ76" s="3" t="s">
        <v>69</v>
      </c>
      <c r="ER76" s="3">
        <f t="shared" si="216"/>
        <v>0</v>
      </c>
      <c r="ES76" s="3">
        <f t="shared" si="217"/>
        <v>0</v>
      </c>
      <c r="ET76" s="46">
        <f t="shared" si="218"/>
        <v>0</v>
      </c>
      <c r="EU76" s="46">
        <f t="shared" si="219"/>
        <v>0</v>
      </c>
      <c r="EV76" s="46">
        <f t="shared" si="220"/>
        <v>0</v>
      </c>
      <c r="EW76" s="46">
        <f t="shared" si="221"/>
        <v>0</v>
      </c>
      <c r="EX76" s="46">
        <f t="shared" si="222"/>
        <v>0</v>
      </c>
      <c r="EY76" s="46">
        <f t="shared" si="223"/>
        <v>0</v>
      </c>
      <c r="EZ76" s="3">
        <f t="shared" si="224"/>
        <v>0</v>
      </c>
      <c r="FA76" s="3" t="s">
        <v>70</v>
      </c>
      <c r="FB76" s="3">
        <f t="shared" si="225"/>
        <v>0</v>
      </c>
      <c r="FC76" s="3" t="s">
        <v>70</v>
      </c>
      <c r="FD76" s="46">
        <f t="shared" si="226"/>
        <v>0</v>
      </c>
      <c r="FE76" s="46">
        <f t="shared" si="227"/>
        <v>0</v>
      </c>
      <c r="FF76" s="46">
        <f t="shared" si="228"/>
        <v>0</v>
      </c>
      <c r="FG76" s="46">
        <f t="shared" si="229"/>
        <v>0</v>
      </c>
      <c r="FH76" s="46">
        <f t="shared" si="230"/>
        <v>0</v>
      </c>
      <c r="FI76" s="46">
        <f t="shared" si="231"/>
        <v>0</v>
      </c>
      <c r="FJ76" s="3">
        <f t="shared" si="232"/>
        <v>0</v>
      </c>
      <c r="FK76" s="46">
        <f t="shared" si="233"/>
        <v>0</v>
      </c>
      <c r="FM76" s="74">
        <f>EL76+'EXTRALABORAL B '!BH258</f>
        <v>0</v>
      </c>
      <c r="FN76" s="74">
        <f t="shared" si="234"/>
        <v>0</v>
      </c>
    </row>
    <row r="77" spans="1:170">
      <c r="A77" s="3">
        <v>74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3">
        <f t="shared" si="192"/>
        <v>0</v>
      </c>
      <c r="DP77" s="3">
        <f t="shared" si="193"/>
        <v>0</v>
      </c>
      <c r="DQ77" s="3">
        <f t="shared" si="194"/>
        <v>0</v>
      </c>
      <c r="DR77" s="3" t="s">
        <v>69</v>
      </c>
      <c r="DS77" s="3">
        <f t="shared" si="195"/>
        <v>0</v>
      </c>
      <c r="DT77" s="3">
        <f t="shared" si="196"/>
        <v>0</v>
      </c>
      <c r="DU77" s="3">
        <f t="shared" si="197"/>
        <v>0</v>
      </c>
      <c r="DV77" s="3">
        <f t="shared" si="198"/>
        <v>0</v>
      </c>
      <c r="DW77" s="3">
        <f t="shared" si="199"/>
        <v>0</v>
      </c>
      <c r="DX77" s="3">
        <f t="shared" si="200"/>
        <v>0</v>
      </c>
      <c r="DY77" s="3">
        <f t="shared" si="201"/>
        <v>0</v>
      </c>
      <c r="DZ77" s="3">
        <f t="shared" si="202"/>
        <v>0</v>
      </c>
      <c r="EA77" s="3">
        <f t="shared" si="203"/>
        <v>0</v>
      </c>
      <c r="EB77" s="3" t="s">
        <v>70</v>
      </c>
      <c r="EC77" s="3">
        <f t="shared" si="204"/>
        <v>0</v>
      </c>
      <c r="ED77" s="3" t="s">
        <v>70</v>
      </c>
      <c r="EE77" s="3">
        <f t="shared" si="205"/>
        <v>0</v>
      </c>
      <c r="EF77" s="3">
        <f t="shared" si="206"/>
        <v>0</v>
      </c>
      <c r="EG77" s="3">
        <f t="shared" si="207"/>
        <v>0</v>
      </c>
      <c r="EH77" s="3">
        <f t="shared" si="208"/>
        <v>0</v>
      </c>
      <c r="EI77" s="3">
        <f t="shared" si="209"/>
        <v>0</v>
      </c>
      <c r="EJ77" s="3">
        <f t="shared" si="210"/>
        <v>0</v>
      </c>
      <c r="EK77" s="3">
        <f t="shared" si="211"/>
        <v>0</v>
      </c>
      <c r="EL77" s="24">
        <f t="shared" si="212"/>
        <v>0</v>
      </c>
      <c r="EM77" s="24"/>
      <c r="EN77" s="46">
        <f t="shared" si="213"/>
        <v>0</v>
      </c>
      <c r="EO77" s="46">
        <f t="shared" si="214"/>
        <v>0</v>
      </c>
      <c r="EP77" s="47">
        <f t="shared" si="215"/>
        <v>0</v>
      </c>
      <c r="EQ77" s="3" t="s">
        <v>69</v>
      </c>
      <c r="ER77" s="3">
        <f t="shared" si="216"/>
        <v>0</v>
      </c>
      <c r="ES77" s="3">
        <f t="shared" si="217"/>
        <v>0</v>
      </c>
      <c r="ET77" s="46">
        <f t="shared" si="218"/>
        <v>0</v>
      </c>
      <c r="EU77" s="46">
        <f t="shared" si="219"/>
        <v>0</v>
      </c>
      <c r="EV77" s="46">
        <f t="shared" si="220"/>
        <v>0</v>
      </c>
      <c r="EW77" s="46">
        <f t="shared" si="221"/>
        <v>0</v>
      </c>
      <c r="EX77" s="46">
        <f t="shared" si="222"/>
        <v>0</v>
      </c>
      <c r="EY77" s="46">
        <f t="shared" si="223"/>
        <v>0</v>
      </c>
      <c r="EZ77" s="3">
        <f t="shared" si="224"/>
        <v>0</v>
      </c>
      <c r="FA77" s="3" t="s">
        <v>70</v>
      </c>
      <c r="FB77" s="3">
        <f t="shared" si="225"/>
        <v>0</v>
      </c>
      <c r="FC77" s="3" t="s">
        <v>70</v>
      </c>
      <c r="FD77" s="46">
        <f t="shared" si="226"/>
        <v>0</v>
      </c>
      <c r="FE77" s="46">
        <f t="shared" si="227"/>
        <v>0</v>
      </c>
      <c r="FF77" s="46">
        <f t="shared" si="228"/>
        <v>0</v>
      </c>
      <c r="FG77" s="46">
        <f t="shared" si="229"/>
        <v>0</v>
      </c>
      <c r="FH77" s="46">
        <f t="shared" si="230"/>
        <v>0</v>
      </c>
      <c r="FI77" s="46">
        <f t="shared" si="231"/>
        <v>0</v>
      </c>
      <c r="FJ77" s="3">
        <f t="shared" si="232"/>
        <v>0</v>
      </c>
      <c r="FK77" s="46">
        <f t="shared" si="233"/>
        <v>0</v>
      </c>
      <c r="FM77" s="74">
        <f>EL77+'EXTRALABORAL B '!BH259</f>
        <v>0</v>
      </c>
      <c r="FN77" s="74">
        <f t="shared" si="234"/>
        <v>0</v>
      </c>
    </row>
    <row r="78" spans="1:170">
      <c r="A78" s="3">
        <v>75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3">
        <f t="shared" si="192"/>
        <v>0</v>
      </c>
      <c r="DP78" s="3">
        <f t="shared" si="193"/>
        <v>0</v>
      </c>
      <c r="DQ78" s="3">
        <f t="shared" si="194"/>
        <v>0</v>
      </c>
      <c r="DR78" s="3" t="s">
        <v>69</v>
      </c>
      <c r="DS78" s="3">
        <f t="shared" si="195"/>
        <v>0</v>
      </c>
      <c r="DT78" s="3">
        <f t="shared" si="196"/>
        <v>0</v>
      </c>
      <c r="DU78" s="3">
        <f t="shared" si="197"/>
        <v>0</v>
      </c>
      <c r="DV78" s="3">
        <f t="shared" si="198"/>
        <v>0</v>
      </c>
      <c r="DW78" s="3">
        <f t="shared" si="199"/>
        <v>0</v>
      </c>
      <c r="DX78" s="3">
        <f t="shared" si="200"/>
        <v>0</v>
      </c>
      <c r="DY78" s="3">
        <f t="shared" si="201"/>
        <v>0</v>
      </c>
      <c r="DZ78" s="3">
        <f t="shared" si="202"/>
        <v>0</v>
      </c>
      <c r="EA78" s="3">
        <f t="shared" si="203"/>
        <v>0</v>
      </c>
      <c r="EB78" s="3" t="s">
        <v>70</v>
      </c>
      <c r="EC78" s="3">
        <f t="shared" si="204"/>
        <v>0</v>
      </c>
      <c r="ED78" s="3" t="s">
        <v>70</v>
      </c>
      <c r="EE78" s="3">
        <f t="shared" si="205"/>
        <v>0</v>
      </c>
      <c r="EF78" s="3">
        <f t="shared" si="206"/>
        <v>0</v>
      </c>
      <c r="EG78" s="3">
        <f t="shared" si="207"/>
        <v>0</v>
      </c>
      <c r="EH78" s="3">
        <f t="shared" si="208"/>
        <v>0</v>
      </c>
      <c r="EI78" s="3">
        <f t="shared" si="209"/>
        <v>0</v>
      </c>
      <c r="EJ78" s="3">
        <f t="shared" si="210"/>
        <v>0</v>
      </c>
      <c r="EK78" s="3">
        <f t="shared" si="211"/>
        <v>0</v>
      </c>
      <c r="EL78" s="24">
        <f t="shared" si="212"/>
        <v>0</v>
      </c>
      <c r="EM78" s="24"/>
      <c r="EN78" s="46">
        <f t="shared" si="213"/>
        <v>0</v>
      </c>
      <c r="EO78" s="46">
        <f t="shared" si="214"/>
        <v>0</v>
      </c>
      <c r="EP78" s="47">
        <f t="shared" si="215"/>
        <v>0</v>
      </c>
      <c r="EQ78" s="3" t="s">
        <v>69</v>
      </c>
      <c r="ER78" s="3">
        <f t="shared" si="216"/>
        <v>0</v>
      </c>
      <c r="ES78" s="3">
        <f t="shared" si="217"/>
        <v>0</v>
      </c>
      <c r="ET78" s="46">
        <f t="shared" si="218"/>
        <v>0</v>
      </c>
      <c r="EU78" s="46">
        <f t="shared" si="219"/>
        <v>0</v>
      </c>
      <c r="EV78" s="46">
        <f t="shared" si="220"/>
        <v>0</v>
      </c>
      <c r="EW78" s="46">
        <f t="shared" si="221"/>
        <v>0</v>
      </c>
      <c r="EX78" s="46">
        <f t="shared" si="222"/>
        <v>0</v>
      </c>
      <c r="EY78" s="46">
        <f t="shared" si="223"/>
        <v>0</v>
      </c>
      <c r="EZ78" s="3">
        <f t="shared" si="224"/>
        <v>0</v>
      </c>
      <c r="FA78" s="3" t="s">
        <v>70</v>
      </c>
      <c r="FB78" s="3">
        <f t="shared" si="225"/>
        <v>0</v>
      </c>
      <c r="FC78" s="3" t="s">
        <v>70</v>
      </c>
      <c r="FD78" s="46">
        <f t="shared" si="226"/>
        <v>0</v>
      </c>
      <c r="FE78" s="46">
        <f t="shared" si="227"/>
        <v>0</v>
      </c>
      <c r="FF78" s="46">
        <f t="shared" si="228"/>
        <v>0</v>
      </c>
      <c r="FG78" s="46">
        <f t="shared" si="229"/>
        <v>0</v>
      </c>
      <c r="FH78" s="46">
        <f t="shared" si="230"/>
        <v>0</v>
      </c>
      <c r="FI78" s="46">
        <f t="shared" si="231"/>
        <v>0</v>
      </c>
      <c r="FJ78" s="3">
        <f t="shared" si="232"/>
        <v>0</v>
      </c>
      <c r="FK78" s="46">
        <f t="shared" si="233"/>
        <v>0</v>
      </c>
      <c r="FM78" s="74">
        <f>EL78+'EXTRALABORAL B '!BH260</f>
        <v>0</v>
      </c>
      <c r="FN78" s="74">
        <f t="shared" si="234"/>
        <v>0</v>
      </c>
    </row>
    <row r="79" spans="1:170">
      <c r="A79" s="3">
        <v>76</v>
      </c>
      <c r="B79" s="3"/>
      <c r="C79" s="3"/>
      <c r="D79" s="3"/>
      <c r="E79" s="89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3">
        <f t="shared" si="192"/>
        <v>0</v>
      </c>
      <c r="DP79" s="3">
        <f t="shared" si="193"/>
        <v>0</v>
      </c>
      <c r="DQ79" s="3">
        <f t="shared" si="194"/>
        <v>0</v>
      </c>
      <c r="DR79" s="3" t="s">
        <v>69</v>
      </c>
      <c r="DS79" s="3">
        <f t="shared" si="195"/>
        <v>0</v>
      </c>
      <c r="DT79" s="3">
        <f t="shared" si="196"/>
        <v>0</v>
      </c>
      <c r="DU79" s="3">
        <f t="shared" si="197"/>
        <v>0</v>
      </c>
      <c r="DV79" s="3">
        <f t="shared" si="198"/>
        <v>0</v>
      </c>
      <c r="DW79" s="3">
        <f t="shared" si="199"/>
        <v>0</v>
      </c>
      <c r="DX79" s="3">
        <f t="shared" si="200"/>
        <v>0</v>
      </c>
      <c r="DY79" s="3">
        <f t="shared" si="201"/>
        <v>0</v>
      </c>
      <c r="DZ79" s="3">
        <f t="shared" si="202"/>
        <v>0</v>
      </c>
      <c r="EA79" s="3">
        <f t="shared" si="203"/>
        <v>0</v>
      </c>
      <c r="EB79" s="3" t="s">
        <v>70</v>
      </c>
      <c r="EC79" s="3">
        <f t="shared" si="204"/>
        <v>0</v>
      </c>
      <c r="ED79" s="3" t="s">
        <v>70</v>
      </c>
      <c r="EE79" s="3">
        <f t="shared" si="205"/>
        <v>0</v>
      </c>
      <c r="EF79" s="3">
        <f t="shared" si="206"/>
        <v>0</v>
      </c>
      <c r="EG79" s="3">
        <f t="shared" si="207"/>
        <v>0</v>
      </c>
      <c r="EH79" s="3">
        <f t="shared" si="208"/>
        <v>0</v>
      </c>
      <c r="EI79" s="3">
        <f t="shared" si="209"/>
        <v>0</v>
      </c>
      <c r="EJ79" s="3">
        <f t="shared" si="210"/>
        <v>0</v>
      </c>
      <c r="EK79" s="3">
        <f t="shared" si="211"/>
        <v>0</v>
      </c>
      <c r="EL79" s="24">
        <f t="shared" si="212"/>
        <v>0</v>
      </c>
      <c r="EM79" s="24"/>
      <c r="EN79" s="46">
        <f t="shared" si="213"/>
        <v>0</v>
      </c>
      <c r="EO79" s="46">
        <f t="shared" si="214"/>
        <v>0</v>
      </c>
      <c r="EP79" s="47">
        <f t="shared" si="215"/>
        <v>0</v>
      </c>
      <c r="EQ79" s="3" t="s">
        <v>69</v>
      </c>
      <c r="ER79" s="3">
        <f t="shared" si="216"/>
        <v>0</v>
      </c>
      <c r="ES79" s="3">
        <f t="shared" si="217"/>
        <v>0</v>
      </c>
      <c r="ET79" s="46">
        <f t="shared" si="218"/>
        <v>0</v>
      </c>
      <c r="EU79" s="46">
        <f t="shared" si="219"/>
        <v>0</v>
      </c>
      <c r="EV79" s="46">
        <f t="shared" si="220"/>
        <v>0</v>
      </c>
      <c r="EW79" s="46">
        <f t="shared" si="221"/>
        <v>0</v>
      </c>
      <c r="EX79" s="46">
        <f t="shared" si="222"/>
        <v>0</v>
      </c>
      <c r="EY79" s="46">
        <f t="shared" si="223"/>
        <v>0</v>
      </c>
      <c r="EZ79" s="3">
        <f t="shared" si="224"/>
        <v>0</v>
      </c>
      <c r="FA79" s="3" t="s">
        <v>70</v>
      </c>
      <c r="FB79" s="3">
        <f t="shared" si="225"/>
        <v>0</v>
      </c>
      <c r="FC79" s="3" t="s">
        <v>70</v>
      </c>
      <c r="FD79" s="46">
        <f t="shared" si="226"/>
        <v>0</v>
      </c>
      <c r="FE79" s="46">
        <f t="shared" si="227"/>
        <v>0</v>
      </c>
      <c r="FF79" s="46">
        <f t="shared" si="228"/>
        <v>0</v>
      </c>
      <c r="FG79" s="46">
        <f t="shared" si="229"/>
        <v>0</v>
      </c>
      <c r="FH79" s="46">
        <f t="shared" si="230"/>
        <v>0</v>
      </c>
      <c r="FI79" s="46">
        <f t="shared" si="231"/>
        <v>0</v>
      </c>
      <c r="FJ79" s="3">
        <f t="shared" si="232"/>
        <v>0</v>
      </c>
      <c r="FK79" s="46">
        <f t="shared" si="233"/>
        <v>0</v>
      </c>
      <c r="FM79" s="74">
        <f>EL79+'EXTRALABORAL B '!BH261</f>
        <v>0</v>
      </c>
      <c r="FN79" s="74">
        <f t="shared" si="234"/>
        <v>0</v>
      </c>
    </row>
    <row r="80" spans="1:170">
      <c r="A80" s="3">
        <v>77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3">
        <f t="shared" si="192"/>
        <v>0</v>
      </c>
      <c r="DP80" s="3">
        <f t="shared" si="193"/>
        <v>0</v>
      </c>
      <c r="DQ80" s="3">
        <f t="shared" si="194"/>
        <v>0</v>
      </c>
      <c r="DR80" s="3" t="s">
        <v>69</v>
      </c>
      <c r="DS80" s="3">
        <f t="shared" si="195"/>
        <v>0</v>
      </c>
      <c r="DT80" s="3">
        <f t="shared" si="196"/>
        <v>0</v>
      </c>
      <c r="DU80" s="3">
        <f t="shared" si="197"/>
        <v>0</v>
      </c>
      <c r="DV80" s="3">
        <f t="shared" si="198"/>
        <v>0</v>
      </c>
      <c r="DW80" s="3">
        <f t="shared" si="199"/>
        <v>0</v>
      </c>
      <c r="DX80" s="3">
        <f t="shared" si="200"/>
        <v>0</v>
      </c>
      <c r="DY80" s="3">
        <f t="shared" si="201"/>
        <v>0</v>
      </c>
      <c r="DZ80" s="3">
        <f t="shared" si="202"/>
        <v>0</v>
      </c>
      <c r="EA80" s="3">
        <f t="shared" si="203"/>
        <v>0</v>
      </c>
      <c r="EB80" s="3" t="s">
        <v>70</v>
      </c>
      <c r="EC80" s="3">
        <f t="shared" si="204"/>
        <v>0</v>
      </c>
      <c r="ED80" s="3" t="s">
        <v>70</v>
      </c>
      <c r="EE80" s="3">
        <f t="shared" si="205"/>
        <v>0</v>
      </c>
      <c r="EF80" s="3">
        <f t="shared" si="206"/>
        <v>0</v>
      </c>
      <c r="EG80" s="3">
        <f t="shared" si="207"/>
        <v>0</v>
      </c>
      <c r="EH80" s="3">
        <f t="shared" si="208"/>
        <v>0</v>
      </c>
      <c r="EI80" s="3">
        <f t="shared" si="209"/>
        <v>0</v>
      </c>
      <c r="EJ80" s="3">
        <f t="shared" si="210"/>
        <v>0</v>
      </c>
      <c r="EK80" s="3">
        <f t="shared" si="211"/>
        <v>0</v>
      </c>
      <c r="EL80" s="24">
        <f t="shared" si="212"/>
        <v>0</v>
      </c>
      <c r="EM80" s="24"/>
      <c r="EN80" s="46">
        <f t="shared" si="213"/>
        <v>0</v>
      </c>
      <c r="EO80" s="46">
        <f t="shared" si="214"/>
        <v>0</v>
      </c>
      <c r="EP80" s="47">
        <f t="shared" si="215"/>
        <v>0</v>
      </c>
      <c r="EQ80" s="3" t="s">
        <v>69</v>
      </c>
      <c r="ER80" s="3">
        <f t="shared" si="216"/>
        <v>0</v>
      </c>
      <c r="ES80" s="3">
        <f t="shared" si="217"/>
        <v>0</v>
      </c>
      <c r="ET80" s="46">
        <f t="shared" si="218"/>
        <v>0</v>
      </c>
      <c r="EU80" s="46">
        <f t="shared" si="219"/>
        <v>0</v>
      </c>
      <c r="EV80" s="46">
        <f t="shared" si="220"/>
        <v>0</v>
      </c>
      <c r="EW80" s="46">
        <f t="shared" si="221"/>
        <v>0</v>
      </c>
      <c r="EX80" s="46">
        <f t="shared" si="222"/>
        <v>0</v>
      </c>
      <c r="EY80" s="46">
        <f t="shared" si="223"/>
        <v>0</v>
      </c>
      <c r="EZ80" s="3">
        <f t="shared" si="224"/>
        <v>0</v>
      </c>
      <c r="FA80" s="3" t="s">
        <v>70</v>
      </c>
      <c r="FB80" s="3">
        <f t="shared" si="225"/>
        <v>0</v>
      </c>
      <c r="FC80" s="3" t="s">
        <v>70</v>
      </c>
      <c r="FD80" s="46">
        <f t="shared" si="226"/>
        <v>0</v>
      </c>
      <c r="FE80" s="46">
        <f t="shared" si="227"/>
        <v>0</v>
      </c>
      <c r="FF80" s="46">
        <f t="shared" si="228"/>
        <v>0</v>
      </c>
      <c r="FG80" s="46">
        <f t="shared" si="229"/>
        <v>0</v>
      </c>
      <c r="FH80" s="46">
        <f t="shared" si="230"/>
        <v>0</v>
      </c>
      <c r="FI80" s="46">
        <f t="shared" si="231"/>
        <v>0</v>
      </c>
      <c r="FJ80" s="3">
        <f t="shared" si="232"/>
        <v>0</v>
      </c>
      <c r="FK80" s="46">
        <f t="shared" si="233"/>
        <v>0</v>
      </c>
      <c r="FM80" s="74">
        <f>EL80+'EXTRALABORAL B '!BH262</f>
        <v>0</v>
      </c>
      <c r="FN80" s="74">
        <f t="shared" si="234"/>
        <v>0</v>
      </c>
    </row>
    <row r="81" spans="1:170">
      <c r="A81" s="3">
        <v>78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3">
        <f>+SUM(BR81:CD81)</f>
        <v>0</v>
      </c>
      <c r="DP81" s="3">
        <f>+SUM(CE81:CP81)</f>
        <v>0</v>
      </c>
      <c r="DQ81" s="3">
        <f>+SUM(CQ81:CU81)</f>
        <v>0</v>
      </c>
      <c r="DR81" s="3" t="s">
        <v>69</v>
      </c>
      <c r="DS81" s="3">
        <f>+SUM(BJ81:BN81)</f>
        <v>0</v>
      </c>
      <c r="DT81" s="3">
        <f>+SUM(BO81:BQ81)</f>
        <v>0</v>
      </c>
      <c r="DU81" s="3">
        <f>+SUM(BG81:BI81)</f>
        <v>0</v>
      </c>
      <c r="DV81" s="3">
        <f>+SUM(AX81:BA81)</f>
        <v>0</v>
      </c>
      <c r="DW81" s="3">
        <f>+SUM(BC81:BE81)</f>
        <v>0</v>
      </c>
      <c r="DX81" s="3">
        <f>+SUM(V81:AG81)</f>
        <v>0</v>
      </c>
      <c r="DY81" s="3">
        <f>+SUM(DF81:DN81)</f>
        <v>0</v>
      </c>
      <c r="DZ81" s="3">
        <f>+SUM(AH81:AJ81)</f>
        <v>0</v>
      </c>
      <c r="EA81" s="3">
        <f>+SUM(AT81:AW81)</f>
        <v>0</v>
      </c>
      <c r="EB81" s="3" t="s">
        <v>70</v>
      </c>
      <c r="EC81" s="3">
        <f>+SUM(AK81:AO81)</f>
        <v>0</v>
      </c>
      <c r="ED81" s="3" t="s">
        <v>70</v>
      </c>
      <c r="EE81" s="3">
        <f>+SUM(AP81+AQ81+AR81+AS81+BB81+BF81)</f>
        <v>0</v>
      </c>
      <c r="EF81" s="3">
        <f>+SUM(DB81:DE81)</f>
        <v>0</v>
      </c>
      <c r="EG81" s="3">
        <f>+SUM(CV81:DA81)</f>
        <v>0</v>
      </c>
      <c r="EH81" s="3">
        <f>+SUM(DO81:DQ81)</f>
        <v>0</v>
      </c>
      <c r="EI81" s="3">
        <f>+SUM(DS81:DW81)</f>
        <v>0</v>
      </c>
      <c r="EJ81" s="3">
        <f>+SUM(DX81:EE81)</f>
        <v>0</v>
      </c>
      <c r="EK81" s="3">
        <f>+SUM(EF81:EG81)</f>
        <v>0</v>
      </c>
      <c r="EL81" s="24">
        <f>+SUM(EH81:EK81)</f>
        <v>0</v>
      </c>
      <c r="EM81" s="24"/>
      <c r="EN81" s="46">
        <f>+SUM(DO81/52)*100</f>
        <v>0</v>
      </c>
      <c r="EO81" s="46">
        <f>+SUM(DP81/48)*100</f>
        <v>0</v>
      </c>
      <c r="EP81" s="47">
        <f>+SUM(DQ81/20)*100</f>
        <v>0</v>
      </c>
      <c r="EQ81" s="3" t="s">
        <v>69</v>
      </c>
      <c r="ER81" s="3">
        <f>+SUM(DS81/20)*100</f>
        <v>0</v>
      </c>
      <c r="ES81" s="3">
        <f>+SUM(DT81/12)*100</f>
        <v>0</v>
      </c>
      <c r="ET81" s="46">
        <f>+SUM(DU81/12)*100</f>
        <v>0</v>
      </c>
      <c r="EU81" s="46">
        <f>+SUM(DV81/16)*100</f>
        <v>0</v>
      </c>
      <c r="EV81" s="46">
        <f>+SUM(DW81/12)*100</f>
        <v>0</v>
      </c>
      <c r="EW81" s="46">
        <f>+SUM(DX81/48)*100</f>
        <v>0</v>
      </c>
      <c r="EX81" s="46">
        <f>+SUM(DY81/36)*100</f>
        <v>0</v>
      </c>
      <c r="EY81" s="46">
        <f>+SUM(DZ81/12)*100</f>
        <v>0</v>
      </c>
      <c r="EZ81" s="3">
        <f>+SUM(EA81/16)*100</f>
        <v>0</v>
      </c>
      <c r="FA81" s="3" t="s">
        <v>70</v>
      </c>
      <c r="FB81" s="3">
        <f>+SUM(EC81/20)*100</f>
        <v>0</v>
      </c>
      <c r="FC81" s="3" t="s">
        <v>70</v>
      </c>
      <c r="FD81" s="46">
        <f>+SUM(EE81/24)*100</f>
        <v>0</v>
      </c>
      <c r="FE81" s="46">
        <f>+SUM(EF81/16)*100</f>
        <v>0</v>
      </c>
      <c r="FF81" s="46">
        <f>+SUM(EG81/24)*100</f>
        <v>0</v>
      </c>
      <c r="FG81" s="46">
        <f>+SUM(EH81/120)*100</f>
        <v>0</v>
      </c>
      <c r="FH81" s="46">
        <f>+SUM(EI81/72)*100</f>
        <v>0</v>
      </c>
      <c r="FI81" s="46">
        <f>+SUM(EJ81/156)*100</f>
        <v>0</v>
      </c>
      <c r="FJ81" s="3">
        <f>+SUM(EK81/40)*100</f>
        <v>0</v>
      </c>
      <c r="FK81" s="46">
        <f>+SUM(EL81/388)*100</f>
        <v>0</v>
      </c>
      <c r="FM81" s="74">
        <f>EL81+'EXTRALABORAL B '!BH263</f>
        <v>0</v>
      </c>
      <c r="FN81" s="74">
        <f>+(FM81/512)*100</f>
        <v>0</v>
      </c>
    </row>
    <row r="82" spans="1:170">
      <c r="A82" s="3">
        <v>79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3">
        <f t="shared" ref="DO82:DO89" si="235">+SUM(BR82:CD82)</f>
        <v>0</v>
      </c>
      <c r="DP82" s="3">
        <f t="shared" ref="DP82:DP89" si="236">+SUM(CE82:CP82)</f>
        <v>0</v>
      </c>
      <c r="DQ82" s="3">
        <f t="shared" ref="DQ82:DQ89" si="237">+SUM(CQ82:CU82)</f>
        <v>0</v>
      </c>
      <c r="DR82" s="3" t="s">
        <v>69</v>
      </c>
      <c r="DS82" s="3">
        <f t="shared" ref="DS82:DS89" si="238">+SUM(BJ82:BN82)</f>
        <v>0</v>
      </c>
      <c r="DT82" s="3">
        <f t="shared" ref="DT82:DT89" si="239">+SUM(BO82:BQ82)</f>
        <v>0</v>
      </c>
      <c r="DU82" s="3">
        <f t="shared" ref="DU82:DU89" si="240">+SUM(BG82:BI82)</f>
        <v>0</v>
      </c>
      <c r="DV82" s="3">
        <f t="shared" ref="DV82:DV89" si="241">+SUM(AX82:BA82)</f>
        <v>0</v>
      </c>
      <c r="DW82" s="3">
        <f t="shared" ref="DW82:DW89" si="242">+SUM(BC82:BE82)</f>
        <v>0</v>
      </c>
      <c r="DX82" s="3">
        <f t="shared" ref="DX82:DX89" si="243">+SUM(V82:AG82)</f>
        <v>0</v>
      </c>
      <c r="DY82" s="3">
        <f t="shared" ref="DY82:DY89" si="244">+SUM(DF82:DN82)</f>
        <v>0</v>
      </c>
      <c r="DZ82" s="3">
        <f t="shared" ref="DZ82:DZ89" si="245">+SUM(AH82:AJ82)</f>
        <v>0</v>
      </c>
      <c r="EA82" s="3">
        <f t="shared" ref="EA82:EA89" si="246">+SUM(AT82:AW82)</f>
        <v>0</v>
      </c>
      <c r="EB82" s="3" t="s">
        <v>70</v>
      </c>
      <c r="EC82" s="3">
        <f t="shared" ref="EC82:EC89" si="247">+SUM(AK82:AO82)</f>
        <v>0</v>
      </c>
      <c r="ED82" s="3" t="s">
        <v>70</v>
      </c>
      <c r="EE82" s="3">
        <f t="shared" ref="EE82:EE89" si="248">+SUM(AP82+AQ82+AR82+AS82+BB82+BF82)</f>
        <v>0</v>
      </c>
      <c r="EF82" s="3">
        <f t="shared" ref="EF82:EF89" si="249">+SUM(DB82:DE82)</f>
        <v>0</v>
      </c>
      <c r="EG82" s="3">
        <f t="shared" ref="EG82:EG89" si="250">+SUM(CV82:DA82)</f>
        <v>0</v>
      </c>
      <c r="EH82" s="3">
        <f t="shared" ref="EH82:EH89" si="251">+SUM(DO82:DQ82)</f>
        <v>0</v>
      </c>
      <c r="EI82" s="3">
        <f t="shared" ref="EI82:EI89" si="252">+SUM(DS82:DW82)</f>
        <v>0</v>
      </c>
      <c r="EJ82" s="3">
        <f t="shared" ref="EJ82:EJ89" si="253">+SUM(DX82:EE82)</f>
        <v>0</v>
      </c>
      <c r="EK82" s="3">
        <f t="shared" ref="EK82:EK89" si="254">+SUM(EF82:EG82)</f>
        <v>0</v>
      </c>
      <c r="EL82" s="24">
        <f t="shared" ref="EL82:EL89" si="255">+SUM(EH82:EK82)</f>
        <v>0</v>
      </c>
      <c r="EM82" s="24"/>
      <c r="EN82" s="46">
        <f t="shared" ref="EN82:EN89" si="256">+SUM(DO82/52)*100</f>
        <v>0</v>
      </c>
      <c r="EO82" s="46">
        <f t="shared" ref="EO82:EO89" si="257">+SUM(DP82/48)*100</f>
        <v>0</v>
      </c>
      <c r="EP82" s="47">
        <f t="shared" ref="EP82:EP89" si="258">+SUM(DQ82/20)*100</f>
        <v>0</v>
      </c>
      <c r="EQ82" s="3" t="s">
        <v>69</v>
      </c>
      <c r="ER82" s="3">
        <f t="shared" ref="ER82:ER89" si="259">+SUM(DS82/20)*100</f>
        <v>0</v>
      </c>
      <c r="ES82" s="3">
        <f t="shared" ref="ES82:ES89" si="260">+SUM(DT82/12)*100</f>
        <v>0</v>
      </c>
      <c r="ET82" s="46">
        <f t="shared" ref="ET82:ET89" si="261">+SUM(DU82/12)*100</f>
        <v>0</v>
      </c>
      <c r="EU82" s="46">
        <f t="shared" ref="EU82:EU89" si="262">+SUM(DV82/16)*100</f>
        <v>0</v>
      </c>
      <c r="EV82" s="46">
        <f t="shared" ref="EV82:EV89" si="263">+SUM(DW82/12)*100</f>
        <v>0</v>
      </c>
      <c r="EW82" s="46">
        <f t="shared" ref="EW82:EW89" si="264">+SUM(DX82/48)*100</f>
        <v>0</v>
      </c>
      <c r="EX82" s="46">
        <f t="shared" ref="EX82:EX89" si="265">+SUM(DY82/36)*100</f>
        <v>0</v>
      </c>
      <c r="EY82" s="46">
        <f t="shared" ref="EY82:EY89" si="266">+SUM(DZ82/12)*100</f>
        <v>0</v>
      </c>
      <c r="EZ82" s="3">
        <f t="shared" ref="EZ82:EZ89" si="267">+SUM(EA82/16)*100</f>
        <v>0</v>
      </c>
      <c r="FA82" s="3" t="s">
        <v>70</v>
      </c>
      <c r="FB82" s="3">
        <f t="shared" ref="FB82:FB89" si="268">+SUM(EC82/20)*100</f>
        <v>0</v>
      </c>
      <c r="FC82" s="3" t="s">
        <v>70</v>
      </c>
      <c r="FD82" s="46">
        <f t="shared" ref="FD82:FD89" si="269">+SUM(EE82/24)*100</f>
        <v>0</v>
      </c>
      <c r="FE82" s="46">
        <f t="shared" ref="FE82:FE89" si="270">+SUM(EF82/16)*100</f>
        <v>0</v>
      </c>
      <c r="FF82" s="46">
        <f t="shared" ref="FF82:FF89" si="271">+SUM(EG82/24)*100</f>
        <v>0</v>
      </c>
      <c r="FG82" s="46">
        <f t="shared" ref="FG82:FG89" si="272">+SUM(EH82/120)*100</f>
        <v>0</v>
      </c>
      <c r="FH82" s="46">
        <f t="shared" ref="FH82:FH89" si="273">+SUM(EI82/72)*100</f>
        <v>0</v>
      </c>
      <c r="FI82" s="46">
        <f t="shared" ref="FI82:FI89" si="274">+SUM(EJ82/156)*100</f>
        <v>0</v>
      </c>
      <c r="FJ82" s="3">
        <f t="shared" ref="FJ82:FJ89" si="275">+SUM(EK82/40)*100</f>
        <v>0</v>
      </c>
      <c r="FK82" s="46">
        <f t="shared" ref="FK82:FK89" si="276">+SUM(EL82/388)*100</f>
        <v>0</v>
      </c>
      <c r="FM82" s="74">
        <f>EL82+'EXTRALABORAL B '!BH264</f>
        <v>0</v>
      </c>
      <c r="FN82" s="74">
        <f t="shared" ref="FN82:FN89" si="277">+(FM82/512)*100</f>
        <v>0</v>
      </c>
    </row>
    <row r="83" spans="1:170">
      <c r="A83" s="3">
        <v>80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3">
        <f t="shared" si="235"/>
        <v>0</v>
      </c>
      <c r="DP83" s="3">
        <f t="shared" si="236"/>
        <v>0</v>
      </c>
      <c r="DQ83" s="3">
        <f t="shared" si="237"/>
        <v>0</v>
      </c>
      <c r="DR83" s="3" t="s">
        <v>69</v>
      </c>
      <c r="DS83" s="3">
        <f t="shared" si="238"/>
        <v>0</v>
      </c>
      <c r="DT83" s="3">
        <f t="shared" si="239"/>
        <v>0</v>
      </c>
      <c r="DU83" s="3">
        <f t="shared" si="240"/>
        <v>0</v>
      </c>
      <c r="DV83" s="3">
        <f t="shared" si="241"/>
        <v>0</v>
      </c>
      <c r="DW83" s="3">
        <f t="shared" si="242"/>
        <v>0</v>
      </c>
      <c r="DX83" s="3">
        <f t="shared" si="243"/>
        <v>0</v>
      </c>
      <c r="DY83" s="3">
        <f t="shared" si="244"/>
        <v>0</v>
      </c>
      <c r="DZ83" s="3">
        <f t="shared" si="245"/>
        <v>0</v>
      </c>
      <c r="EA83" s="3">
        <f t="shared" si="246"/>
        <v>0</v>
      </c>
      <c r="EB83" s="3" t="s">
        <v>70</v>
      </c>
      <c r="EC83" s="3">
        <f t="shared" si="247"/>
        <v>0</v>
      </c>
      <c r="ED83" s="3" t="s">
        <v>70</v>
      </c>
      <c r="EE83" s="3">
        <f t="shared" si="248"/>
        <v>0</v>
      </c>
      <c r="EF83" s="3">
        <f t="shared" si="249"/>
        <v>0</v>
      </c>
      <c r="EG83" s="3">
        <f t="shared" si="250"/>
        <v>0</v>
      </c>
      <c r="EH83" s="3">
        <f t="shared" si="251"/>
        <v>0</v>
      </c>
      <c r="EI83" s="3">
        <f t="shared" si="252"/>
        <v>0</v>
      </c>
      <c r="EJ83" s="3">
        <f t="shared" si="253"/>
        <v>0</v>
      </c>
      <c r="EK83" s="3">
        <f t="shared" si="254"/>
        <v>0</v>
      </c>
      <c r="EL83" s="24">
        <f t="shared" si="255"/>
        <v>0</v>
      </c>
      <c r="EM83" s="24"/>
      <c r="EN83" s="46">
        <f t="shared" si="256"/>
        <v>0</v>
      </c>
      <c r="EO83" s="46">
        <f t="shared" si="257"/>
        <v>0</v>
      </c>
      <c r="EP83" s="47">
        <f t="shared" si="258"/>
        <v>0</v>
      </c>
      <c r="EQ83" s="3" t="s">
        <v>69</v>
      </c>
      <c r="ER83" s="3">
        <f t="shared" si="259"/>
        <v>0</v>
      </c>
      <c r="ES83" s="3">
        <f t="shared" si="260"/>
        <v>0</v>
      </c>
      <c r="ET83" s="46">
        <f t="shared" si="261"/>
        <v>0</v>
      </c>
      <c r="EU83" s="46">
        <f t="shared" si="262"/>
        <v>0</v>
      </c>
      <c r="EV83" s="46">
        <f t="shared" si="263"/>
        <v>0</v>
      </c>
      <c r="EW83" s="46">
        <f t="shared" si="264"/>
        <v>0</v>
      </c>
      <c r="EX83" s="46">
        <f t="shared" si="265"/>
        <v>0</v>
      </c>
      <c r="EY83" s="46">
        <f t="shared" si="266"/>
        <v>0</v>
      </c>
      <c r="EZ83" s="3">
        <f t="shared" si="267"/>
        <v>0</v>
      </c>
      <c r="FA83" s="3" t="s">
        <v>70</v>
      </c>
      <c r="FB83" s="3">
        <f t="shared" si="268"/>
        <v>0</v>
      </c>
      <c r="FC83" s="3" t="s">
        <v>70</v>
      </c>
      <c r="FD83" s="46">
        <f t="shared" si="269"/>
        <v>0</v>
      </c>
      <c r="FE83" s="46">
        <f t="shared" si="270"/>
        <v>0</v>
      </c>
      <c r="FF83" s="46">
        <f t="shared" si="271"/>
        <v>0</v>
      </c>
      <c r="FG83" s="46">
        <f t="shared" si="272"/>
        <v>0</v>
      </c>
      <c r="FH83" s="46">
        <f t="shared" si="273"/>
        <v>0</v>
      </c>
      <c r="FI83" s="46">
        <f t="shared" si="274"/>
        <v>0</v>
      </c>
      <c r="FJ83" s="3">
        <f t="shared" si="275"/>
        <v>0</v>
      </c>
      <c r="FK83" s="46">
        <f t="shared" si="276"/>
        <v>0</v>
      </c>
      <c r="FM83" s="74">
        <f>EL83+'EXTRALABORAL B '!BH265</f>
        <v>0</v>
      </c>
      <c r="FN83" s="74">
        <f t="shared" si="277"/>
        <v>0</v>
      </c>
    </row>
    <row r="84" spans="1:170">
      <c r="A84" s="3">
        <v>81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3">
        <f t="shared" si="235"/>
        <v>0</v>
      </c>
      <c r="DP84" s="3">
        <f t="shared" si="236"/>
        <v>0</v>
      </c>
      <c r="DQ84" s="3">
        <f t="shared" si="237"/>
        <v>0</v>
      </c>
      <c r="DR84" s="3" t="s">
        <v>69</v>
      </c>
      <c r="DS84" s="3">
        <f t="shared" si="238"/>
        <v>0</v>
      </c>
      <c r="DT84" s="3">
        <f t="shared" si="239"/>
        <v>0</v>
      </c>
      <c r="DU84" s="3">
        <f t="shared" si="240"/>
        <v>0</v>
      </c>
      <c r="DV84" s="3">
        <f t="shared" si="241"/>
        <v>0</v>
      </c>
      <c r="DW84" s="3">
        <f t="shared" si="242"/>
        <v>0</v>
      </c>
      <c r="DX84" s="3">
        <f t="shared" si="243"/>
        <v>0</v>
      </c>
      <c r="DY84" s="3">
        <f t="shared" si="244"/>
        <v>0</v>
      </c>
      <c r="DZ84" s="3">
        <f t="shared" si="245"/>
        <v>0</v>
      </c>
      <c r="EA84" s="3">
        <f t="shared" si="246"/>
        <v>0</v>
      </c>
      <c r="EB84" s="3" t="s">
        <v>70</v>
      </c>
      <c r="EC84" s="3">
        <f t="shared" si="247"/>
        <v>0</v>
      </c>
      <c r="ED84" s="3" t="s">
        <v>70</v>
      </c>
      <c r="EE84" s="3">
        <f t="shared" si="248"/>
        <v>0</v>
      </c>
      <c r="EF84" s="3">
        <f t="shared" si="249"/>
        <v>0</v>
      </c>
      <c r="EG84" s="3">
        <f t="shared" si="250"/>
        <v>0</v>
      </c>
      <c r="EH84" s="3">
        <f t="shared" si="251"/>
        <v>0</v>
      </c>
      <c r="EI84" s="3">
        <f t="shared" si="252"/>
        <v>0</v>
      </c>
      <c r="EJ84" s="3">
        <f t="shared" si="253"/>
        <v>0</v>
      </c>
      <c r="EK84" s="3">
        <f t="shared" si="254"/>
        <v>0</v>
      </c>
      <c r="EL84" s="24">
        <f t="shared" si="255"/>
        <v>0</v>
      </c>
      <c r="EM84" s="24"/>
      <c r="EN84" s="46">
        <f t="shared" si="256"/>
        <v>0</v>
      </c>
      <c r="EO84" s="46">
        <f t="shared" si="257"/>
        <v>0</v>
      </c>
      <c r="EP84" s="47">
        <f t="shared" si="258"/>
        <v>0</v>
      </c>
      <c r="EQ84" s="3" t="s">
        <v>69</v>
      </c>
      <c r="ER84" s="3">
        <f t="shared" si="259"/>
        <v>0</v>
      </c>
      <c r="ES84" s="3">
        <f t="shared" si="260"/>
        <v>0</v>
      </c>
      <c r="ET84" s="46">
        <f t="shared" si="261"/>
        <v>0</v>
      </c>
      <c r="EU84" s="46">
        <f t="shared" si="262"/>
        <v>0</v>
      </c>
      <c r="EV84" s="46">
        <f t="shared" si="263"/>
        <v>0</v>
      </c>
      <c r="EW84" s="46">
        <f t="shared" si="264"/>
        <v>0</v>
      </c>
      <c r="EX84" s="46">
        <f t="shared" si="265"/>
        <v>0</v>
      </c>
      <c r="EY84" s="46">
        <f t="shared" si="266"/>
        <v>0</v>
      </c>
      <c r="EZ84" s="3">
        <f t="shared" si="267"/>
        <v>0</v>
      </c>
      <c r="FA84" s="3" t="s">
        <v>70</v>
      </c>
      <c r="FB84" s="3">
        <f t="shared" si="268"/>
        <v>0</v>
      </c>
      <c r="FC84" s="3" t="s">
        <v>70</v>
      </c>
      <c r="FD84" s="46">
        <f t="shared" si="269"/>
        <v>0</v>
      </c>
      <c r="FE84" s="46">
        <f t="shared" si="270"/>
        <v>0</v>
      </c>
      <c r="FF84" s="46">
        <f t="shared" si="271"/>
        <v>0</v>
      </c>
      <c r="FG84" s="46">
        <f t="shared" si="272"/>
        <v>0</v>
      </c>
      <c r="FH84" s="46">
        <f t="shared" si="273"/>
        <v>0</v>
      </c>
      <c r="FI84" s="46">
        <f t="shared" si="274"/>
        <v>0</v>
      </c>
      <c r="FJ84" s="3">
        <f t="shared" si="275"/>
        <v>0</v>
      </c>
      <c r="FK84" s="46">
        <f t="shared" si="276"/>
        <v>0</v>
      </c>
      <c r="FM84" s="74">
        <f>EL84+'EXTRALABORAL B '!BH266</f>
        <v>0</v>
      </c>
      <c r="FN84" s="74">
        <f t="shared" si="277"/>
        <v>0</v>
      </c>
    </row>
    <row r="85" spans="1:170">
      <c r="A85" s="3">
        <v>82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3">
        <f t="shared" si="235"/>
        <v>0</v>
      </c>
      <c r="DP85" s="3">
        <f t="shared" si="236"/>
        <v>0</v>
      </c>
      <c r="DQ85" s="3">
        <f t="shared" si="237"/>
        <v>0</v>
      </c>
      <c r="DR85" s="3" t="s">
        <v>69</v>
      </c>
      <c r="DS85" s="3">
        <f t="shared" si="238"/>
        <v>0</v>
      </c>
      <c r="DT85" s="3">
        <f t="shared" si="239"/>
        <v>0</v>
      </c>
      <c r="DU85" s="3">
        <f t="shared" si="240"/>
        <v>0</v>
      </c>
      <c r="DV85" s="3">
        <f t="shared" si="241"/>
        <v>0</v>
      </c>
      <c r="DW85" s="3">
        <f t="shared" si="242"/>
        <v>0</v>
      </c>
      <c r="DX85" s="3">
        <f t="shared" si="243"/>
        <v>0</v>
      </c>
      <c r="DY85" s="3">
        <f t="shared" si="244"/>
        <v>0</v>
      </c>
      <c r="DZ85" s="3">
        <f t="shared" si="245"/>
        <v>0</v>
      </c>
      <c r="EA85" s="3">
        <f t="shared" si="246"/>
        <v>0</v>
      </c>
      <c r="EB85" s="3" t="s">
        <v>70</v>
      </c>
      <c r="EC85" s="3">
        <f t="shared" si="247"/>
        <v>0</v>
      </c>
      <c r="ED85" s="3" t="s">
        <v>70</v>
      </c>
      <c r="EE85" s="3">
        <f t="shared" si="248"/>
        <v>0</v>
      </c>
      <c r="EF85" s="3">
        <f t="shared" si="249"/>
        <v>0</v>
      </c>
      <c r="EG85" s="3">
        <f t="shared" si="250"/>
        <v>0</v>
      </c>
      <c r="EH85" s="3">
        <f t="shared" si="251"/>
        <v>0</v>
      </c>
      <c r="EI85" s="3">
        <f t="shared" si="252"/>
        <v>0</v>
      </c>
      <c r="EJ85" s="3">
        <f t="shared" si="253"/>
        <v>0</v>
      </c>
      <c r="EK85" s="3">
        <f t="shared" si="254"/>
        <v>0</v>
      </c>
      <c r="EL85" s="24">
        <f t="shared" si="255"/>
        <v>0</v>
      </c>
      <c r="EM85" s="24"/>
      <c r="EN85" s="46">
        <f t="shared" si="256"/>
        <v>0</v>
      </c>
      <c r="EO85" s="46">
        <f t="shared" si="257"/>
        <v>0</v>
      </c>
      <c r="EP85" s="47">
        <f t="shared" si="258"/>
        <v>0</v>
      </c>
      <c r="EQ85" s="3" t="s">
        <v>69</v>
      </c>
      <c r="ER85" s="3">
        <f t="shared" si="259"/>
        <v>0</v>
      </c>
      <c r="ES85" s="3">
        <f t="shared" si="260"/>
        <v>0</v>
      </c>
      <c r="ET85" s="46">
        <f t="shared" si="261"/>
        <v>0</v>
      </c>
      <c r="EU85" s="46">
        <f t="shared" si="262"/>
        <v>0</v>
      </c>
      <c r="EV85" s="46">
        <f t="shared" si="263"/>
        <v>0</v>
      </c>
      <c r="EW85" s="46">
        <f t="shared" si="264"/>
        <v>0</v>
      </c>
      <c r="EX85" s="46">
        <f t="shared" si="265"/>
        <v>0</v>
      </c>
      <c r="EY85" s="46">
        <f t="shared" si="266"/>
        <v>0</v>
      </c>
      <c r="EZ85" s="3">
        <f t="shared" si="267"/>
        <v>0</v>
      </c>
      <c r="FA85" s="3" t="s">
        <v>70</v>
      </c>
      <c r="FB85" s="3">
        <f t="shared" si="268"/>
        <v>0</v>
      </c>
      <c r="FC85" s="3" t="s">
        <v>70</v>
      </c>
      <c r="FD85" s="46">
        <f t="shared" si="269"/>
        <v>0</v>
      </c>
      <c r="FE85" s="46">
        <f t="shared" si="270"/>
        <v>0</v>
      </c>
      <c r="FF85" s="46">
        <f t="shared" si="271"/>
        <v>0</v>
      </c>
      <c r="FG85" s="46">
        <f t="shared" si="272"/>
        <v>0</v>
      </c>
      <c r="FH85" s="46">
        <f t="shared" si="273"/>
        <v>0</v>
      </c>
      <c r="FI85" s="46">
        <f t="shared" si="274"/>
        <v>0</v>
      </c>
      <c r="FJ85" s="3">
        <f t="shared" si="275"/>
        <v>0</v>
      </c>
      <c r="FK85" s="46">
        <f t="shared" si="276"/>
        <v>0</v>
      </c>
      <c r="FM85" s="74">
        <f>EL85+'EXTRALABORAL B '!BH267</f>
        <v>0</v>
      </c>
      <c r="FN85" s="74">
        <f t="shared" si="277"/>
        <v>0</v>
      </c>
    </row>
    <row r="86" spans="1:170">
      <c r="A86" s="3">
        <v>83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3">
        <f t="shared" si="235"/>
        <v>0</v>
      </c>
      <c r="DP86" s="3">
        <f t="shared" si="236"/>
        <v>0</v>
      </c>
      <c r="DQ86" s="3">
        <f t="shared" si="237"/>
        <v>0</v>
      </c>
      <c r="DR86" s="3" t="s">
        <v>69</v>
      </c>
      <c r="DS86" s="3">
        <f t="shared" si="238"/>
        <v>0</v>
      </c>
      <c r="DT86" s="3">
        <f t="shared" si="239"/>
        <v>0</v>
      </c>
      <c r="DU86" s="3">
        <f t="shared" si="240"/>
        <v>0</v>
      </c>
      <c r="DV86" s="3">
        <f t="shared" si="241"/>
        <v>0</v>
      </c>
      <c r="DW86" s="3">
        <f t="shared" si="242"/>
        <v>0</v>
      </c>
      <c r="DX86" s="3">
        <f t="shared" si="243"/>
        <v>0</v>
      </c>
      <c r="DY86" s="3">
        <f t="shared" si="244"/>
        <v>0</v>
      </c>
      <c r="DZ86" s="3">
        <f t="shared" si="245"/>
        <v>0</v>
      </c>
      <c r="EA86" s="3">
        <f t="shared" si="246"/>
        <v>0</v>
      </c>
      <c r="EB86" s="3" t="s">
        <v>70</v>
      </c>
      <c r="EC86" s="3">
        <f t="shared" si="247"/>
        <v>0</v>
      </c>
      <c r="ED86" s="3" t="s">
        <v>70</v>
      </c>
      <c r="EE86" s="3">
        <f t="shared" si="248"/>
        <v>0</v>
      </c>
      <c r="EF86" s="3">
        <f t="shared" si="249"/>
        <v>0</v>
      </c>
      <c r="EG86" s="3">
        <f t="shared" si="250"/>
        <v>0</v>
      </c>
      <c r="EH86" s="3">
        <f t="shared" si="251"/>
        <v>0</v>
      </c>
      <c r="EI86" s="3">
        <f t="shared" si="252"/>
        <v>0</v>
      </c>
      <c r="EJ86" s="3">
        <f t="shared" si="253"/>
        <v>0</v>
      </c>
      <c r="EK86" s="3">
        <f t="shared" si="254"/>
        <v>0</v>
      </c>
      <c r="EL86" s="24">
        <f t="shared" si="255"/>
        <v>0</v>
      </c>
      <c r="EM86" s="24"/>
      <c r="EN86" s="46">
        <f t="shared" si="256"/>
        <v>0</v>
      </c>
      <c r="EO86" s="46">
        <f t="shared" si="257"/>
        <v>0</v>
      </c>
      <c r="EP86" s="47">
        <f t="shared" si="258"/>
        <v>0</v>
      </c>
      <c r="EQ86" s="3" t="s">
        <v>69</v>
      </c>
      <c r="ER86" s="3">
        <f t="shared" si="259"/>
        <v>0</v>
      </c>
      <c r="ES86" s="3">
        <f t="shared" si="260"/>
        <v>0</v>
      </c>
      <c r="ET86" s="46">
        <f t="shared" si="261"/>
        <v>0</v>
      </c>
      <c r="EU86" s="46">
        <f t="shared" si="262"/>
        <v>0</v>
      </c>
      <c r="EV86" s="46">
        <f t="shared" si="263"/>
        <v>0</v>
      </c>
      <c r="EW86" s="46">
        <f t="shared" si="264"/>
        <v>0</v>
      </c>
      <c r="EX86" s="46">
        <f t="shared" si="265"/>
        <v>0</v>
      </c>
      <c r="EY86" s="46">
        <f t="shared" si="266"/>
        <v>0</v>
      </c>
      <c r="EZ86" s="3">
        <f t="shared" si="267"/>
        <v>0</v>
      </c>
      <c r="FA86" s="3" t="s">
        <v>70</v>
      </c>
      <c r="FB86" s="3">
        <f t="shared" si="268"/>
        <v>0</v>
      </c>
      <c r="FC86" s="3" t="s">
        <v>70</v>
      </c>
      <c r="FD86" s="46">
        <f t="shared" si="269"/>
        <v>0</v>
      </c>
      <c r="FE86" s="46">
        <f t="shared" si="270"/>
        <v>0</v>
      </c>
      <c r="FF86" s="46">
        <f t="shared" si="271"/>
        <v>0</v>
      </c>
      <c r="FG86" s="46">
        <f t="shared" si="272"/>
        <v>0</v>
      </c>
      <c r="FH86" s="46">
        <f t="shared" si="273"/>
        <v>0</v>
      </c>
      <c r="FI86" s="46">
        <f t="shared" si="274"/>
        <v>0</v>
      </c>
      <c r="FJ86" s="3">
        <f t="shared" si="275"/>
        <v>0</v>
      </c>
      <c r="FK86" s="46">
        <f t="shared" si="276"/>
        <v>0</v>
      </c>
      <c r="FM86" s="74">
        <f>EL86+'EXTRALABORAL B '!BH268</f>
        <v>0</v>
      </c>
      <c r="FN86" s="74">
        <f t="shared" si="277"/>
        <v>0</v>
      </c>
    </row>
    <row r="87" spans="1:170">
      <c r="A87" s="3">
        <v>84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3">
        <f t="shared" si="235"/>
        <v>0</v>
      </c>
      <c r="DP87" s="3">
        <f t="shared" si="236"/>
        <v>0</v>
      </c>
      <c r="DQ87" s="3">
        <f t="shared" si="237"/>
        <v>0</v>
      </c>
      <c r="DR87" s="3" t="s">
        <v>69</v>
      </c>
      <c r="DS87" s="3">
        <f t="shared" si="238"/>
        <v>0</v>
      </c>
      <c r="DT87" s="3">
        <f t="shared" si="239"/>
        <v>0</v>
      </c>
      <c r="DU87" s="3">
        <f t="shared" si="240"/>
        <v>0</v>
      </c>
      <c r="DV87" s="3">
        <f t="shared" si="241"/>
        <v>0</v>
      </c>
      <c r="DW87" s="3">
        <f t="shared" si="242"/>
        <v>0</v>
      </c>
      <c r="DX87" s="3">
        <f t="shared" si="243"/>
        <v>0</v>
      </c>
      <c r="DY87" s="3">
        <f t="shared" si="244"/>
        <v>0</v>
      </c>
      <c r="DZ87" s="3">
        <f t="shared" si="245"/>
        <v>0</v>
      </c>
      <c r="EA87" s="3">
        <f t="shared" si="246"/>
        <v>0</v>
      </c>
      <c r="EB87" s="3" t="s">
        <v>70</v>
      </c>
      <c r="EC87" s="3">
        <f t="shared" si="247"/>
        <v>0</v>
      </c>
      <c r="ED87" s="3" t="s">
        <v>70</v>
      </c>
      <c r="EE87" s="3">
        <f t="shared" si="248"/>
        <v>0</v>
      </c>
      <c r="EF87" s="3">
        <f t="shared" si="249"/>
        <v>0</v>
      </c>
      <c r="EG87" s="3">
        <f t="shared" si="250"/>
        <v>0</v>
      </c>
      <c r="EH87" s="3">
        <f t="shared" si="251"/>
        <v>0</v>
      </c>
      <c r="EI87" s="3">
        <f t="shared" si="252"/>
        <v>0</v>
      </c>
      <c r="EJ87" s="3">
        <f t="shared" si="253"/>
        <v>0</v>
      </c>
      <c r="EK87" s="3">
        <f t="shared" si="254"/>
        <v>0</v>
      </c>
      <c r="EL87" s="24">
        <f t="shared" si="255"/>
        <v>0</v>
      </c>
      <c r="EM87" s="24"/>
      <c r="EN87" s="46">
        <f t="shared" si="256"/>
        <v>0</v>
      </c>
      <c r="EO87" s="46">
        <f t="shared" si="257"/>
        <v>0</v>
      </c>
      <c r="EP87" s="47">
        <f t="shared" si="258"/>
        <v>0</v>
      </c>
      <c r="EQ87" s="3" t="s">
        <v>69</v>
      </c>
      <c r="ER87" s="3">
        <f t="shared" si="259"/>
        <v>0</v>
      </c>
      <c r="ES87" s="3">
        <f t="shared" si="260"/>
        <v>0</v>
      </c>
      <c r="ET87" s="46">
        <f t="shared" si="261"/>
        <v>0</v>
      </c>
      <c r="EU87" s="46">
        <f t="shared" si="262"/>
        <v>0</v>
      </c>
      <c r="EV87" s="46">
        <f t="shared" si="263"/>
        <v>0</v>
      </c>
      <c r="EW87" s="46">
        <f t="shared" si="264"/>
        <v>0</v>
      </c>
      <c r="EX87" s="46">
        <f t="shared" si="265"/>
        <v>0</v>
      </c>
      <c r="EY87" s="46">
        <f t="shared" si="266"/>
        <v>0</v>
      </c>
      <c r="EZ87" s="3">
        <f t="shared" si="267"/>
        <v>0</v>
      </c>
      <c r="FA87" s="3" t="s">
        <v>70</v>
      </c>
      <c r="FB87" s="3">
        <f t="shared" si="268"/>
        <v>0</v>
      </c>
      <c r="FC87" s="3" t="s">
        <v>70</v>
      </c>
      <c r="FD87" s="46">
        <f t="shared" si="269"/>
        <v>0</v>
      </c>
      <c r="FE87" s="46">
        <f t="shared" si="270"/>
        <v>0</v>
      </c>
      <c r="FF87" s="46">
        <f t="shared" si="271"/>
        <v>0</v>
      </c>
      <c r="FG87" s="46">
        <f t="shared" si="272"/>
        <v>0</v>
      </c>
      <c r="FH87" s="46">
        <f t="shared" si="273"/>
        <v>0</v>
      </c>
      <c r="FI87" s="46">
        <f t="shared" si="274"/>
        <v>0</v>
      </c>
      <c r="FJ87" s="3">
        <f t="shared" si="275"/>
        <v>0</v>
      </c>
      <c r="FK87" s="46">
        <f t="shared" si="276"/>
        <v>0</v>
      </c>
      <c r="FM87" s="74">
        <f>EL87+'EXTRALABORAL B '!BH269</f>
        <v>0</v>
      </c>
      <c r="FN87" s="74">
        <f t="shared" si="277"/>
        <v>0</v>
      </c>
    </row>
    <row r="88" spans="1:170">
      <c r="A88" s="3">
        <v>85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3">
        <f t="shared" si="235"/>
        <v>0</v>
      </c>
      <c r="DP88" s="3">
        <f t="shared" si="236"/>
        <v>0</v>
      </c>
      <c r="DQ88" s="3">
        <f t="shared" si="237"/>
        <v>0</v>
      </c>
      <c r="DR88" s="3" t="s">
        <v>69</v>
      </c>
      <c r="DS88" s="3">
        <f t="shared" si="238"/>
        <v>0</v>
      </c>
      <c r="DT88" s="3">
        <f t="shared" si="239"/>
        <v>0</v>
      </c>
      <c r="DU88" s="3">
        <f t="shared" si="240"/>
        <v>0</v>
      </c>
      <c r="DV88" s="3">
        <f t="shared" si="241"/>
        <v>0</v>
      </c>
      <c r="DW88" s="3">
        <f t="shared" si="242"/>
        <v>0</v>
      </c>
      <c r="DX88" s="3">
        <f t="shared" si="243"/>
        <v>0</v>
      </c>
      <c r="DY88" s="3">
        <f t="shared" si="244"/>
        <v>0</v>
      </c>
      <c r="DZ88" s="3">
        <f t="shared" si="245"/>
        <v>0</v>
      </c>
      <c r="EA88" s="3">
        <f t="shared" si="246"/>
        <v>0</v>
      </c>
      <c r="EB88" s="3" t="s">
        <v>70</v>
      </c>
      <c r="EC88" s="3">
        <f t="shared" si="247"/>
        <v>0</v>
      </c>
      <c r="ED88" s="3" t="s">
        <v>70</v>
      </c>
      <c r="EE88" s="3">
        <f t="shared" si="248"/>
        <v>0</v>
      </c>
      <c r="EF88" s="3">
        <f t="shared" si="249"/>
        <v>0</v>
      </c>
      <c r="EG88" s="3">
        <f t="shared" si="250"/>
        <v>0</v>
      </c>
      <c r="EH88" s="3">
        <f t="shared" si="251"/>
        <v>0</v>
      </c>
      <c r="EI88" s="3">
        <f t="shared" si="252"/>
        <v>0</v>
      </c>
      <c r="EJ88" s="3">
        <f t="shared" si="253"/>
        <v>0</v>
      </c>
      <c r="EK88" s="3">
        <f t="shared" si="254"/>
        <v>0</v>
      </c>
      <c r="EL88" s="24">
        <f t="shared" si="255"/>
        <v>0</v>
      </c>
      <c r="EM88" s="24"/>
      <c r="EN88" s="46">
        <f t="shared" si="256"/>
        <v>0</v>
      </c>
      <c r="EO88" s="46">
        <f t="shared" si="257"/>
        <v>0</v>
      </c>
      <c r="EP88" s="47">
        <f t="shared" si="258"/>
        <v>0</v>
      </c>
      <c r="EQ88" s="3" t="s">
        <v>69</v>
      </c>
      <c r="ER88" s="3">
        <f t="shared" si="259"/>
        <v>0</v>
      </c>
      <c r="ES88" s="3">
        <f t="shared" si="260"/>
        <v>0</v>
      </c>
      <c r="ET88" s="46">
        <f t="shared" si="261"/>
        <v>0</v>
      </c>
      <c r="EU88" s="46">
        <f t="shared" si="262"/>
        <v>0</v>
      </c>
      <c r="EV88" s="46">
        <f t="shared" si="263"/>
        <v>0</v>
      </c>
      <c r="EW88" s="46">
        <f t="shared" si="264"/>
        <v>0</v>
      </c>
      <c r="EX88" s="46">
        <f t="shared" si="265"/>
        <v>0</v>
      </c>
      <c r="EY88" s="46">
        <f t="shared" si="266"/>
        <v>0</v>
      </c>
      <c r="EZ88" s="3">
        <f t="shared" si="267"/>
        <v>0</v>
      </c>
      <c r="FA88" s="3" t="s">
        <v>70</v>
      </c>
      <c r="FB88" s="3">
        <f t="shared" si="268"/>
        <v>0</v>
      </c>
      <c r="FC88" s="3" t="s">
        <v>70</v>
      </c>
      <c r="FD88" s="46">
        <f t="shared" si="269"/>
        <v>0</v>
      </c>
      <c r="FE88" s="46">
        <f t="shared" si="270"/>
        <v>0</v>
      </c>
      <c r="FF88" s="46">
        <f t="shared" si="271"/>
        <v>0</v>
      </c>
      <c r="FG88" s="46">
        <f t="shared" si="272"/>
        <v>0</v>
      </c>
      <c r="FH88" s="46">
        <f t="shared" si="273"/>
        <v>0</v>
      </c>
      <c r="FI88" s="46">
        <f t="shared" si="274"/>
        <v>0</v>
      </c>
      <c r="FJ88" s="3">
        <f t="shared" si="275"/>
        <v>0</v>
      </c>
      <c r="FK88" s="46">
        <f t="shared" si="276"/>
        <v>0</v>
      </c>
      <c r="FM88" s="74">
        <f>EL88+'EXTRALABORAL B '!BH270</f>
        <v>0</v>
      </c>
      <c r="FN88" s="74">
        <f t="shared" si="277"/>
        <v>0</v>
      </c>
    </row>
    <row r="89" spans="1:170">
      <c r="A89" s="92">
        <v>86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3">
        <f t="shared" si="235"/>
        <v>0</v>
      </c>
      <c r="DP89" s="3">
        <f t="shared" si="236"/>
        <v>0</v>
      </c>
      <c r="DQ89" s="3">
        <f t="shared" si="237"/>
        <v>0</v>
      </c>
      <c r="DR89" s="3" t="s">
        <v>69</v>
      </c>
      <c r="DS89" s="3">
        <f t="shared" si="238"/>
        <v>0</v>
      </c>
      <c r="DT89" s="3">
        <f t="shared" si="239"/>
        <v>0</v>
      </c>
      <c r="DU89" s="3">
        <f t="shared" si="240"/>
        <v>0</v>
      </c>
      <c r="DV89" s="3">
        <f t="shared" si="241"/>
        <v>0</v>
      </c>
      <c r="DW89" s="3">
        <f t="shared" si="242"/>
        <v>0</v>
      </c>
      <c r="DX89" s="3">
        <f t="shared" si="243"/>
        <v>0</v>
      </c>
      <c r="DY89" s="3">
        <f t="shared" si="244"/>
        <v>0</v>
      </c>
      <c r="DZ89" s="3">
        <f t="shared" si="245"/>
        <v>0</v>
      </c>
      <c r="EA89" s="3">
        <f t="shared" si="246"/>
        <v>0</v>
      </c>
      <c r="EB89" s="3" t="s">
        <v>70</v>
      </c>
      <c r="EC89" s="3">
        <f t="shared" si="247"/>
        <v>0</v>
      </c>
      <c r="ED89" s="3" t="s">
        <v>70</v>
      </c>
      <c r="EE89" s="3">
        <f t="shared" si="248"/>
        <v>0</v>
      </c>
      <c r="EF89" s="3">
        <f t="shared" si="249"/>
        <v>0</v>
      </c>
      <c r="EG89" s="3">
        <f t="shared" si="250"/>
        <v>0</v>
      </c>
      <c r="EH89" s="3">
        <f t="shared" si="251"/>
        <v>0</v>
      </c>
      <c r="EI89" s="3">
        <f t="shared" si="252"/>
        <v>0</v>
      </c>
      <c r="EJ89" s="3">
        <f t="shared" si="253"/>
        <v>0</v>
      </c>
      <c r="EK89" s="3">
        <f t="shared" si="254"/>
        <v>0</v>
      </c>
      <c r="EL89" s="24">
        <f t="shared" si="255"/>
        <v>0</v>
      </c>
      <c r="EM89" s="24"/>
      <c r="EN89" s="46">
        <f t="shared" si="256"/>
        <v>0</v>
      </c>
      <c r="EO89" s="46">
        <f t="shared" si="257"/>
        <v>0</v>
      </c>
      <c r="EP89" s="47">
        <f t="shared" si="258"/>
        <v>0</v>
      </c>
      <c r="EQ89" s="3" t="s">
        <v>69</v>
      </c>
      <c r="ER89" s="3">
        <f t="shared" si="259"/>
        <v>0</v>
      </c>
      <c r="ES89" s="3">
        <f t="shared" si="260"/>
        <v>0</v>
      </c>
      <c r="ET89" s="46">
        <f t="shared" si="261"/>
        <v>0</v>
      </c>
      <c r="EU89" s="46">
        <f t="shared" si="262"/>
        <v>0</v>
      </c>
      <c r="EV89" s="46">
        <f t="shared" si="263"/>
        <v>0</v>
      </c>
      <c r="EW89" s="46">
        <f t="shared" si="264"/>
        <v>0</v>
      </c>
      <c r="EX89" s="46">
        <f t="shared" si="265"/>
        <v>0</v>
      </c>
      <c r="EY89" s="46">
        <f t="shared" si="266"/>
        <v>0</v>
      </c>
      <c r="EZ89" s="3">
        <f t="shared" si="267"/>
        <v>0</v>
      </c>
      <c r="FA89" s="3" t="s">
        <v>70</v>
      </c>
      <c r="FB89" s="3">
        <f t="shared" si="268"/>
        <v>0</v>
      </c>
      <c r="FC89" s="3" t="s">
        <v>70</v>
      </c>
      <c r="FD89" s="46">
        <f t="shared" si="269"/>
        <v>0</v>
      </c>
      <c r="FE89" s="46">
        <f t="shared" si="270"/>
        <v>0</v>
      </c>
      <c r="FF89" s="46">
        <f t="shared" si="271"/>
        <v>0</v>
      </c>
      <c r="FG89" s="46">
        <f t="shared" si="272"/>
        <v>0</v>
      </c>
      <c r="FH89" s="46">
        <f t="shared" si="273"/>
        <v>0</v>
      </c>
      <c r="FI89" s="46">
        <f t="shared" si="274"/>
        <v>0</v>
      </c>
      <c r="FJ89" s="3">
        <f t="shared" si="275"/>
        <v>0</v>
      </c>
      <c r="FK89" s="46">
        <f t="shared" si="276"/>
        <v>0</v>
      </c>
      <c r="FM89" s="74">
        <f>EL89+'EXTRALABORAL B '!BH271</f>
        <v>0</v>
      </c>
      <c r="FN89" s="74">
        <f t="shared" si="277"/>
        <v>0</v>
      </c>
    </row>
    <row r="90" spans="1:170">
      <c r="A90" s="3">
        <v>87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3">
        <f t="shared" ref="DO90:DO114" si="278">+SUM(BR90:CD90)</f>
        <v>0</v>
      </c>
      <c r="DP90" s="3">
        <f t="shared" ref="DP90:DP114" si="279">+SUM(CE90:CP90)</f>
        <v>0</v>
      </c>
      <c r="DQ90" s="3">
        <f t="shared" ref="DQ90:DQ114" si="280">+SUM(CQ90:CU90)</f>
        <v>0</v>
      </c>
      <c r="DR90" s="3" t="s">
        <v>69</v>
      </c>
      <c r="DS90" s="3">
        <f t="shared" ref="DS90:DS114" si="281">+SUM(BJ90:BN90)</f>
        <v>0</v>
      </c>
      <c r="DT90" s="3">
        <f t="shared" ref="DT90:DT114" si="282">+SUM(BO90:BQ90)</f>
        <v>0</v>
      </c>
      <c r="DU90" s="3">
        <f t="shared" ref="DU90:DU114" si="283">+SUM(BG90:BI90)</f>
        <v>0</v>
      </c>
      <c r="DV90" s="3">
        <f t="shared" ref="DV90:DV114" si="284">+SUM(AX90:BA90)</f>
        <v>0</v>
      </c>
      <c r="DW90" s="3">
        <f t="shared" ref="DW90:DW114" si="285">+SUM(BC90:BE90)</f>
        <v>0</v>
      </c>
      <c r="DX90" s="3">
        <f t="shared" ref="DX90:DX114" si="286">+SUM(V90:AG90)</f>
        <v>0</v>
      </c>
      <c r="DY90" s="3">
        <f t="shared" ref="DY90:DY114" si="287">+SUM(DF90:DN90)</f>
        <v>0</v>
      </c>
      <c r="DZ90" s="3">
        <f t="shared" ref="DZ90:DZ114" si="288">+SUM(AH90:AJ90)</f>
        <v>0</v>
      </c>
      <c r="EA90" s="3">
        <f t="shared" ref="EA90:EA114" si="289">+SUM(AT90:AW90)</f>
        <v>0</v>
      </c>
      <c r="EB90" s="3" t="s">
        <v>70</v>
      </c>
      <c r="EC90" s="3">
        <f t="shared" ref="EC90:EC114" si="290">+SUM(AK90:AO90)</f>
        <v>0</v>
      </c>
      <c r="ED90" s="3" t="s">
        <v>70</v>
      </c>
      <c r="EE90" s="3">
        <f t="shared" ref="EE90:EE114" si="291">+SUM(AP90+AQ90+AR90+AS90+BB90+BF90)</f>
        <v>0</v>
      </c>
      <c r="EF90" s="3">
        <f t="shared" ref="EF90:EF114" si="292">+SUM(DB90:DE90)</f>
        <v>0</v>
      </c>
      <c r="EG90" s="3">
        <f t="shared" ref="EG90:EG114" si="293">+SUM(CV90:DA90)</f>
        <v>0</v>
      </c>
      <c r="EH90" s="3">
        <f t="shared" ref="EH90:EH114" si="294">+SUM(DO90:DQ90)</f>
        <v>0</v>
      </c>
      <c r="EI90" s="3">
        <f t="shared" ref="EI90:EI114" si="295">+SUM(DS90:DW90)</f>
        <v>0</v>
      </c>
      <c r="EJ90" s="3">
        <f t="shared" ref="EJ90:EJ114" si="296">+SUM(DX90:EE90)</f>
        <v>0</v>
      </c>
      <c r="EK90" s="3">
        <f t="shared" ref="EK90:EK114" si="297">+SUM(EF90:EG90)</f>
        <v>0</v>
      </c>
      <c r="EL90" s="24">
        <f t="shared" ref="EL90:EL114" si="298">+SUM(EH90:EK90)</f>
        <v>0</v>
      </c>
      <c r="EM90" s="24"/>
      <c r="EN90" s="46">
        <f t="shared" ref="EN90:EN114" si="299">+SUM(DO90/52)*100</f>
        <v>0</v>
      </c>
      <c r="EO90" s="46">
        <f t="shared" ref="EO90:EO114" si="300">+SUM(DP90/48)*100</f>
        <v>0</v>
      </c>
      <c r="EP90" s="47">
        <f t="shared" ref="EP90:EP114" si="301">+SUM(DQ90/20)*100</f>
        <v>0</v>
      </c>
      <c r="EQ90" s="3" t="s">
        <v>69</v>
      </c>
      <c r="ER90" s="3">
        <f t="shared" ref="ER90:ER114" si="302">+SUM(DS90/20)*100</f>
        <v>0</v>
      </c>
      <c r="ES90" s="3">
        <f t="shared" ref="ES90:ES114" si="303">+SUM(DT90/12)*100</f>
        <v>0</v>
      </c>
      <c r="ET90" s="46">
        <f t="shared" ref="ET90:ET114" si="304">+SUM(DU90/12)*100</f>
        <v>0</v>
      </c>
      <c r="EU90" s="46">
        <f t="shared" ref="EU90:EU114" si="305">+SUM(DV90/16)*100</f>
        <v>0</v>
      </c>
      <c r="EV90" s="46">
        <f t="shared" ref="EV90:EV114" si="306">+SUM(DW90/12)*100</f>
        <v>0</v>
      </c>
      <c r="EW90" s="46">
        <f t="shared" ref="EW90:EW114" si="307">+SUM(DX90/48)*100</f>
        <v>0</v>
      </c>
      <c r="EX90" s="46">
        <f t="shared" ref="EX90:EX114" si="308">+SUM(DY90/36)*100</f>
        <v>0</v>
      </c>
      <c r="EY90" s="46">
        <f t="shared" ref="EY90:EY114" si="309">+SUM(DZ90/12)*100</f>
        <v>0</v>
      </c>
      <c r="EZ90" s="3">
        <f t="shared" ref="EZ90:EZ114" si="310">+SUM(EA90/16)*100</f>
        <v>0</v>
      </c>
      <c r="FA90" s="3" t="s">
        <v>70</v>
      </c>
      <c r="FB90" s="3">
        <f t="shared" ref="FB90:FB114" si="311">+SUM(EC90/20)*100</f>
        <v>0</v>
      </c>
      <c r="FC90" s="3" t="s">
        <v>70</v>
      </c>
      <c r="FD90" s="46">
        <f t="shared" ref="FD90:FD114" si="312">+SUM(EE90/24)*100</f>
        <v>0</v>
      </c>
      <c r="FE90" s="46">
        <f t="shared" ref="FE90:FE114" si="313">+SUM(EF90/16)*100</f>
        <v>0</v>
      </c>
      <c r="FF90" s="46">
        <f t="shared" ref="FF90:FF114" si="314">+SUM(EG90/24)*100</f>
        <v>0</v>
      </c>
      <c r="FG90" s="46">
        <f t="shared" ref="FG90:FG114" si="315">+SUM(EH90/120)*100</f>
        <v>0</v>
      </c>
      <c r="FH90" s="46">
        <f t="shared" ref="FH90:FH114" si="316">+SUM(EI90/72)*100</f>
        <v>0</v>
      </c>
      <c r="FI90" s="46">
        <f t="shared" ref="FI90:FI114" si="317">+SUM(EJ90/156)*100</f>
        <v>0</v>
      </c>
      <c r="FJ90" s="3">
        <f t="shared" ref="FJ90:FJ114" si="318">+SUM(EK90/40)*100</f>
        <v>0</v>
      </c>
      <c r="FK90" s="46">
        <f t="shared" ref="FK90:FK114" si="319">+SUM(EL90/388)*100</f>
        <v>0</v>
      </c>
      <c r="FM90" s="74">
        <f>EL90+'EXTRALABORAL B '!BH272</f>
        <v>0</v>
      </c>
      <c r="FN90" s="74">
        <f t="shared" ref="FN90:FN114" si="320">+(FM90/512)*100</f>
        <v>0</v>
      </c>
    </row>
    <row r="91" spans="1:170">
      <c r="A91" s="3">
        <v>88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3">
        <f t="shared" si="278"/>
        <v>0</v>
      </c>
      <c r="DP91" s="3">
        <f t="shared" si="279"/>
        <v>0</v>
      </c>
      <c r="DQ91" s="3">
        <f t="shared" si="280"/>
        <v>0</v>
      </c>
      <c r="DR91" s="3" t="s">
        <v>69</v>
      </c>
      <c r="DS91" s="3">
        <f t="shared" si="281"/>
        <v>0</v>
      </c>
      <c r="DT91" s="3">
        <f t="shared" si="282"/>
        <v>0</v>
      </c>
      <c r="DU91" s="3">
        <f t="shared" si="283"/>
        <v>0</v>
      </c>
      <c r="DV91" s="3">
        <f t="shared" si="284"/>
        <v>0</v>
      </c>
      <c r="DW91" s="3">
        <f t="shared" si="285"/>
        <v>0</v>
      </c>
      <c r="DX91" s="3">
        <f t="shared" si="286"/>
        <v>0</v>
      </c>
      <c r="DY91" s="3">
        <f t="shared" si="287"/>
        <v>0</v>
      </c>
      <c r="DZ91" s="3">
        <f t="shared" si="288"/>
        <v>0</v>
      </c>
      <c r="EA91" s="3">
        <f t="shared" si="289"/>
        <v>0</v>
      </c>
      <c r="EB91" s="3" t="s">
        <v>70</v>
      </c>
      <c r="EC91" s="3">
        <f t="shared" si="290"/>
        <v>0</v>
      </c>
      <c r="ED91" s="3" t="s">
        <v>70</v>
      </c>
      <c r="EE91" s="3">
        <f t="shared" si="291"/>
        <v>0</v>
      </c>
      <c r="EF91" s="3">
        <f t="shared" si="292"/>
        <v>0</v>
      </c>
      <c r="EG91" s="3">
        <f t="shared" si="293"/>
        <v>0</v>
      </c>
      <c r="EH91" s="3">
        <f t="shared" si="294"/>
        <v>0</v>
      </c>
      <c r="EI91" s="3">
        <f t="shared" si="295"/>
        <v>0</v>
      </c>
      <c r="EJ91" s="3">
        <f t="shared" si="296"/>
        <v>0</v>
      </c>
      <c r="EK91" s="3">
        <f t="shared" si="297"/>
        <v>0</v>
      </c>
      <c r="EL91" s="24">
        <f t="shared" si="298"/>
        <v>0</v>
      </c>
      <c r="EM91" s="24"/>
      <c r="EN91" s="46">
        <f t="shared" si="299"/>
        <v>0</v>
      </c>
      <c r="EO91" s="46">
        <f t="shared" si="300"/>
        <v>0</v>
      </c>
      <c r="EP91" s="47">
        <f t="shared" si="301"/>
        <v>0</v>
      </c>
      <c r="EQ91" s="3" t="s">
        <v>69</v>
      </c>
      <c r="ER91" s="3">
        <f t="shared" si="302"/>
        <v>0</v>
      </c>
      <c r="ES91" s="3">
        <f t="shared" si="303"/>
        <v>0</v>
      </c>
      <c r="ET91" s="46">
        <f t="shared" si="304"/>
        <v>0</v>
      </c>
      <c r="EU91" s="46">
        <f t="shared" si="305"/>
        <v>0</v>
      </c>
      <c r="EV91" s="46">
        <f t="shared" si="306"/>
        <v>0</v>
      </c>
      <c r="EW91" s="46">
        <f t="shared" si="307"/>
        <v>0</v>
      </c>
      <c r="EX91" s="46">
        <f t="shared" si="308"/>
        <v>0</v>
      </c>
      <c r="EY91" s="46">
        <f t="shared" si="309"/>
        <v>0</v>
      </c>
      <c r="EZ91" s="3">
        <f t="shared" si="310"/>
        <v>0</v>
      </c>
      <c r="FA91" s="3" t="s">
        <v>70</v>
      </c>
      <c r="FB91" s="3">
        <f t="shared" si="311"/>
        <v>0</v>
      </c>
      <c r="FC91" s="3" t="s">
        <v>70</v>
      </c>
      <c r="FD91" s="46">
        <f t="shared" si="312"/>
        <v>0</v>
      </c>
      <c r="FE91" s="46">
        <f t="shared" si="313"/>
        <v>0</v>
      </c>
      <c r="FF91" s="46">
        <f t="shared" si="314"/>
        <v>0</v>
      </c>
      <c r="FG91" s="46">
        <f t="shared" si="315"/>
        <v>0</v>
      </c>
      <c r="FH91" s="46">
        <f t="shared" si="316"/>
        <v>0</v>
      </c>
      <c r="FI91" s="46">
        <f t="shared" si="317"/>
        <v>0</v>
      </c>
      <c r="FJ91" s="3">
        <f t="shared" si="318"/>
        <v>0</v>
      </c>
      <c r="FK91" s="46">
        <f t="shared" si="319"/>
        <v>0</v>
      </c>
      <c r="FM91" s="74">
        <f>EL91+'EXTRALABORAL B '!BH273</f>
        <v>0</v>
      </c>
      <c r="FN91" s="74">
        <f t="shared" si="320"/>
        <v>0</v>
      </c>
    </row>
    <row r="92" spans="1:170">
      <c r="A92" s="3">
        <v>89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3">
        <f t="shared" si="278"/>
        <v>0</v>
      </c>
      <c r="DP92" s="3">
        <f t="shared" si="279"/>
        <v>0</v>
      </c>
      <c r="DQ92" s="3">
        <f t="shared" si="280"/>
        <v>0</v>
      </c>
      <c r="DR92" s="3" t="s">
        <v>69</v>
      </c>
      <c r="DS92" s="3">
        <f t="shared" si="281"/>
        <v>0</v>
      </c>
      <c r="DT92" s="3">
        <f t="shared" si="282"/>
        <v>0</v>
      </c>
      <c r="DU92" s="3">
        <f t="shared" si="283"/>
        <v>0</v>
      </c>
      <c r="DV92" s="3">
        <f t="shared" si="284"/>
        <v>0</v>
      </c>
      <c r="DW92" s="3">
        <f t="shared" si="285"/>
        <v>0</v>
      </c>
      <c r="DX92" s="3">
        <f t="shared" si="286"/>
        <v>0</v>
      </c>
      <c r="DY92" s="3">
        <f t="shared" si="287"/>
        <v>0</v>
      </c>
      <c r="DZ92" s="3">
        <f t="shared" si="288"/>
        <v>0</v>
      </c>
      <c r="EA92" s="3">
        <f t="shared" si="289"/>
        <v>0</v>
      </c>
      <c r="EB92" s="3" t="s">
        <v>70</v>
      </c>
      <c r="EC92" s="3">
        <f t="shared" si="290"/>
        <v>0</v>
      </c>
      <c r="ED92" s="3" t="s">
        <v>70</v>
      </c>
      <c r="EE92" s="3">
        <f t="shared" si="291"/>
        <v>0</v>
      </c>
      <c r="EF92" s="3">
        <f t="shared" si="292"/>
        <v>0</v>
      </c>
      <c r="EG92" s="3">
        <f t="shared" si="293"/>
        <v>0</v>
      </c>
      <c r="EH92" s="3">
        <f t="shared" si="294"/>
        <v>0</v>
      </c>
      <c r="EI92" s="3">
        <f t="shared" si="295"/>
        <v>0</v>
      </c>
      <c r="EJ92" s="3">
        <f t="shared" si="296"/>
        <v>0</v>
      </c>
      <c r="EK92" s="3">
        <f t="shared" si="297"/>
        <v>0</v>
      </c>
      <c r="EL92" s="24">
        <f t="shared" si="298"/>
        <v>0</v>
      </c>
      <c r="EM92" s="24"/>
      <c r="EN92" s="46">
        <f t="shared" si="299"/>
        <v>0</v>
      </c>
      <c r="EO92" s="46">
        <f t="shared" si="300"/>
        <v>0</v>
      </c>
      <c r="EP92" s="47">
        <f t="shared" si="301"/>
        <v>0</v>
      </c>
      <c r="EQ92" s="3" t="s">
        <v>69</v>
      </c>
      <c r="ER92" s="3">
        <f t="shared" si="302"/>
        <v>0</v>
      </c>
      <c r="ES92" s="3">
        <f t="shared" si="303"/>
        <v>0</v>
      </c>
      <c r="ET92" s="46">
        <f t="shared" si="304"/>
        <v>0</v>
      </c>
      <c r="EU92" s="46">
        <f t="shared" si="305"/>
        <v>0</v>
      </c>
      <c r="EV92" s="46">
        <f t="shared" si="306"/>
        <v>0</v>
      </c>
      <c r="EW92" s="46">
        <f t="shared" si="307"/>
        <v>0</v>
      </c>
      <c r="EX92" s="46">
        <f t="shared" si="308"/>
        <v>0</v>
      </c>
      <c r="EY92" s="46">
        <f t="shared" si="309"/>
        <v>0</v>
      </c>
      <c r="EZ92" s="3">
        <f t="shared" si="310"/>
        <v>0</v>
      </c>
      <c r="FA92" s="3" t="s">
        <v>70</v>
      </c>
      <c r="FB92" s="3">
        <f t="shared" si="311"/>
        <v>0</v>
      </c>
      <c r="FC92" s="3" t="s">
        <v>70</v>
      </c>
      <c r="FD92" s="46">
        <f t="shared" si="312"/>
        <v>0</v>
      </c>
      <c r="FE92" s="46">
        <f t="shared" si="313"/>
        <v>0</v>
      </c>
      <c r="FF92" s="46">
        <f t="shared" si="314"/>
        <v>0</v>
      </c>
      <c r="FG92" s="46">
        <f t="shared" si="315"/>
        <v>0</v>
      </c>
      <c r="FH92" s="46">
        <f t="shared" si="316"/>
        <v>0</v>
      </c>
      <c r="FI92" s="46">
        <f t="shared" si="317"/>
        <v>0</v>
      </c>
      <c r="FJ92" s="3">
        <f t="shared" si="318"/>
        <v>0</v>
      </c>
      <c r="FK92" s="46">
        <f t="shared" si="319"/>
        <v>0</v>
      </c>
      <c r="FM92" s="74">
        <f>EL92+'EXTRALABORAL B '!BH274</f>
        <v>0</v>
      </c>
      <c r="FN92" s="74">
        <f t="shared" si="320"/>
        <v>0</v>
      </c>
    </row>
    <row r="93" spans="1:170">
      <c r="A93" s="3">
        <v>90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3">
        <f t="shared" si="278"/>
        <v>0</v>
      </c>
      <c r="DP93" s="3">
        <f t="shared" si="279"/>
        <v>0</v>
      </c>
      <c r="DQ93" s="3">
        <f t="shared" si="280"/>
        <v>0</v>
      </c>
      <c r="DR93" s="3" t="s">
        <v>69</v>
      </c>
      <c r="DS93" s="3">
        <f t="shared" si="281"/>
        <v>0</v>
      </c>
      <c r="DT93" s="3">
        <f t="shared" si="282"/>
        <v>0</v>
      </c>
      <c r="DU93" s="3">
        <f t="shared" si="283"/>
        <v>0</v>
      </c>
      <c r="DV93" s="3">
        <f t="shared" si="284"/>
        <v>0</v>
      </c>
      <c r="DW93" s="3">
        <f t="shared" si="285"/>
        <v>0</v>
      </c>
      <c r="DX93" s="3">
        <f t="shared" si="286"/>
        <v>0</v>
      </c>
      <c r="DY93" s="3">
        <f t="shared" si="287"/>
        <v>0</v>
      </c>
      <c r="DZ93" s="3">
        <f t="shared" si="288"/>
        <v>0</v>
      </c>
      <c r="EA93" s="3">
        <f t="shared" si="289"/>
        <v>0</v>
      </c>
      <c r="EB93" s="3" t="s">
        <v>70</v>
      </c>
      <c r="EC93" s="3">
        <f t="shared" si="290"/>
        <v>0</v>
      </c>
      <c r="ED93" s="3" t="s">
        <v>70</v>
      </c>
      <c r="EE93" s="3">
        <f t="shared" si="291"/>
        <v>0</v>
      </c>
      <c r="EF93" s="3">
        <f t="shared" si="292"/>
        <v>0</v>
      </c>
      <c r="EG93" s="3">
        <f t="shared" si="293"/>
        <v>0</v>
      </c>
      <c r="EH93" s="3">
        <f t="shared" si="294"/>
        <v>0</v>
      </c>
      <c r="EI93" s="3">
        <f t="shared" si="295"/>
        <v>0</v>
      </c>
      <c r="EJ93" s="3">
        <f t="shared" si="296"/>
        <v>0</v>
      </c>
      <c r="EK93" s="3">
        <f t="shared" si="297"/>
        <v>0</v>
      </c>
      <c r="EL93" s="24">
        <f t="shared" si="298"/>
        <v>0</v>
      </c>
      <c r="EM93" s="24"/>
      <c r="EN93" s="46">
        <f t="shared" si="299"/>
        <v>0</v>
      </c>
      <c r="EO93" s="46">
        <f t="shared" si="300"/>
        <v>0</v>
      </c>
      <c r="EP93" s="47">
        <f t="shared" si="301"/>
        <v>0</v>
      </c>
      <c r="EQ93" s="3" t="s">
        <v>69</v>
      </c>
      <c r="ER93" s="3">
        <f t="shared" si="302"/>
        <v>0</v>
      </c>
      <c r="ES93" s="3">
        <f t="shared" si="303"/>
        <v>0</v>
      </c>
      <c r="ET93" s="46">
        <f t="shared" si="304"/>
        <v>0</v>
      </c>
      <c r="EU93" s="46">
        <f t="shared" si="305"/>
        <v>0</v>
      </c>
      <c r="EV93" s="46">
        <f t="shared" si="306"/>
        <v>0</v>
      </c>
      <c r="EW93" s="46">
        <f t="shared" si="307"/>
        <v>0</v>
      </c>
      <c r="EX93" s="46">
        <f t="shared" si="308"/>
        <v>0</v>
      </c>
      <c r="EY93" s="46">
        <f t="shared" si="309"/>
        <v>0</v>
      </c>
      <c r="EZ93" s="3">
        <f t="shared" si="310"/>
        <v>0</v>
      </c>
      <c r="FA93" s="3" t="s">
        <v>70</v>
      </c>
      <c r="FB93" s="3">
        <f t="shared" si="311"/>
        <v>0</v>
      </c>
      <c r="FC93" s="3" t="s">
        <v>70</v>
      </c>
      <c r="FD93" s="46">
        <f t="shared" si="312"/>
        <v>0</v>
      </c>
      <c r="FE93" s="46">
        <f t="shared" si="313"/>
        <v>0</v>
      </c>
      <c r="FF93" s="46">
        <f t="shared" si="314"/>
        <v>0</v>
      </c>
      <c r="FG93" s="46">
        <f t="shared" si="315"/>
        <v>0</v>
      </c>
      <c r="FH93" s="46">
        <f t="shared" si="316"/>
        <v>0</v>
      </c>
      <c r="FI93" s="46">
        <f t="shared" si="317"/>
        <v>0</v>
      </c>
      <c r="FJ93" s="3">
        <f t="shared" si="318"/>
        <v>0</v>
      </c>
      <c r="FK93" s="46">
        <f t="shared" si="319"/>
        <v>0</v>
      </c>
      <c r="FM93" s="74">
        <f>EL93+'EXTRALABORAL B '!BH275</f>
        <v>0</v>
      </c>
      <c r="FN93" s="74">
        <f t="shared" si="320"/>
        <v>0</v>
      </c>
    </row>
    <row r="94" spans="1:170">
      <c r="A94" s="3">
        <v>91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3">
        <f t="shared" si="278"/>
        <v>0</v>
      </c>
      <c r="DP94" s="3">
        <f t="shared" si="279"/>
        <v>0</v>
      </c>
      <c r="DQ94" s="3">
        <f t="shared" si="280"/>
        <v>0</v>
      </c>
      <c r="DR94" s="3" t="s">
        <v>69</v>
      </c>
      <c r="DS94" s="3">
        <f t="shared" si="281"/>
        <v>0</v>
      </c>
      <c r="DT94" s="3">
        <f t="shared" si="282"/>
        <v>0</v>
      </c>
      <c r="DU94" s="3">
        <f t="shared" si="283"/>
        <v>0</v>
      </c>
      <c r="DV94" s="3">
        <f t="shared" si="284"/>
        <v>0</v>
      </c>
      <c r="DW94" s="3">
        <f t="shared" si="285"/>
        <v>0</v>
      </c>
      <c r="DX94" s="3">
        <f t="shared" si="286"/>
        <v>0</v>
      </c>
      <c r="DY94" s="3">
        <f t="shared" si="287"/>
        <v>0</v>
      </c>
      <c r="DZ94" s="3">
        <f t="shared" si="288"/>
        <v>0</v>
      </c>
      <c r="EA94" s="3">
        <f t="shared" si="289"/>
        <v>0</v>
      </c>
      <c r="EB94" s="3" t="s">
        <v>70</v>
      </c>
      <c r="EC94" s="3">
        <f t="shared" si="290"/>
        <v>0</v>
      </c>
      <c r="ED94" s="3" t="s">
        <v>70</v>
      </c>
      <c r="EE94" s="3">
        <f t="shared" si="291"/>
        <v>0</v>
      </c>
      <c r="EF94" s="3">
        <f t="shared" si="292"/>
        <v>0</v>
      </c>
      <c r="EG94" s="3">
        <f t="shared" si="293"/>
        <v>0</v>
      </c>
      <c r="EH94" s="3">
        <f t="shared" si="294"/>
        <v>0</v>
      </c>
      <c r="EI94" s="3">
        <f t="shared" si="295"/>
        <v>0</v>
      </c>
      <c r="EJ94" s="3">
        <f t="shared" si="296"/>
        <v>0</v>
      </c>
      <c r="EK94" s="3">
        <f t="shared" si="297"/>
        <v>0</v>
      </c>
      <c r="EL94" s="24">
        <f t="shared" si="298"/>
        <v>0</v>
      </c>
      <c r="EM94" s="24"/>
      <c r="EN94" s="46">
        <f t="shared" si="299"/>
        <v>0</v>
      </c>
      <c r="EO94" s="46">
        <f t="shared" si="300"/>
        <v>0</v>
      </c>
      <c r="EP94" s="47">
        <f t="shared" si="301"/>
        <v>0</v>
      </c>
      <c r="EQ94" s="3" t="s">
        <v>69</v>
      </c>
      <c r="ER94" s="3">
        <f t="shared" si="302"/>
        <v>0</v>
      </c>
      <c r="ES94" s="3">
        <f t="shared" si="303"/>
        <v>0</v>
      </c>
      <c r="ET94" s="46">
        <f t="shared" si="304"/>
        <v>0</v>
      </c>
      <c r="EU94" s="46">
        <f t="shared" si="305"/>
        <v>0</v>
      </c>
      <c r="EV94" s="46">
        <f t="shared" si="306"/>
        <v>0</v>
      </c>
      <c r="EW94" s="46">
        <f t="shared" si="307"/>
        <v>0</v>
      </c>
      <c r="EX94" s="46">
        <f t="shared" si="308"/>
        <v>0</v>
      </c>
      <c r="EY94" s="46">
        <f t="shared" si="309"/>
        <v>0</v>
      </c>
      <c r="EZ94" s="3">
        <f t="shared" si="310"/>
        <v>0</v>
      </c>
      <c r="FA94" s="3" t="s">
        <v>70</v>
      </c>
      <c r="FB94" s="3">
        <f t="shared" si="311"/>
        <v>0</v>
      </c>
      <c r="FC94" s="3" t="s">
        <v>70</v>
      </c>
      <c r="FD94" s="46">
        <f t="shared" si="312"/>
        <v>0</v>
      </c>
      <c r="FE94" s="46">
        <f t="shared" si="313"/>
        <v>0</v>
      </c>
      <c r="FF94" s="46">
        <f t="shared" si="314"/>
        <v>0</v>
      </c>
      <c r="FG94" s="46">
        <f t="shared" si="315"/>
        <v>0</v>
      </c>
      <c r="FH94" s="46">
        <f t="shared" si="316"/>
        <v>0</v>
      </c>
      <c r="FI94" s="46">
        <f t="shared" si="317"/>
        <v>0</v>
      </c>
      <c r="FJ94" s="3">
        <f t="shared" si="318"/>
        <v>0</v>
      </c>
      <c r="FK94" s="46">
        <f t="shared" si="319"/>
        <v>0</v>
      </c>
      <c r="FM94" s="74">
        <f>EL94+'EXTRALABORAL B '!BH276</f>
        <v>0</v>
      </c>
      <c r="FN94" s="74">
        <f t="shared" si="320"/>
        <v>0</v>
      </c>
    </row>
    <row r="95" spans="1:170">
      <c r="A95" s="3">
        <v>92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3">
        <f t="shared" si="278"/>
        <v>0</v>
      </c>
      <c r="DP95" s="3">
        <f t="shared" si="279"/>
        <v>0</v>
      </c>
      <c r="DQ95" s="3">
        <f t="shared" si="280"/>
        <v>0</v>
      </c>
      <c r="DR95" s="3" t="s">
        <v>69</v>
      </c>
      <c r="DS95" s="3">
        <f t="shared" si="281"/>
        <v>0</v>
      </c>
      <c r="DT95" s="3">
        <f t="shared" si="282"/>
        <v>0</v>
      </c>
      <c r="DU95" s="3">
        <f t="shared" si="283"/>
        <v>0</v>
      </c>
      <c r="DV95" s="3">
        <f t="shared" si="284"/>
        <v>0</v>
      </c>
      <c r="DW95" s="3">
        <f t="shared" si="285"/>
        <v>0</v>
      </c>
      <c r="DX95" s="3">
        <f t="shared" si="286"/>
        <v>0</v>
      </c>
      <c r="DY95" s="3">
        <f t="shared" si="287"/>
        <v>0</v>
      </c>
      <c r="DZ95" s="3">
        <f t="shared" si="288"/>
        <v>0</v>
      </c>
      <c r="EA95" s="3">
        <f t="shared" si="289"/>
        <v>0</v>
      </c>
      <c r="EB95" s="3" t="s">
        <v>70</v>
      </c>
      <c r="EC95" s="3">
        <f t="shared" si="290"/>
        <v>0</v>
      </c>
      <c r="ED95" s="3" t="s">
        <v>70</v>
      </c>
      <c r="EE95" s="3">
        <f t="shared" si="291"/>
        <v>0</v>
      </c>
      <c r="EF95" s="3">
        <f t="shared" si="292"/>
        <v>0</v>
      </c>
      <c r="EG95" s="3">
        <f t="shared" si="293"/>
        <v>0</v>
      </c>
      <c r="EH95" s="3">
        <f t="shared" si="294"/>
        <v>0</v>
      </c>
      <c r="EI95" s="3">
        <f t="shared" si="295"/>
        <v>0</v>
      </c>
      <c r="EJ95" s="3">
        <f t="shared" si="296"/>
        <v>0</v>
      </c>
      <c r="EK95" s="3">
        <f t="shared" si="297"/>
        <v>0</v>
      </c>
      <c r="EL95" s="24">
        <f t="shared" si="298"/>
        <v>0</v>
      </c>
      <c r="EM95" s="24"/>
      <c r="EN95" s="46">
        <f t="shared" si="299"/>
        <v>0</v>
      </c>
      <c r="EO95" s="46">
        <f t="shared" si="300"/>
        <v>0</v>
      </c>
      <c r="EP95" s="47">
        <f t="shared" si="301"/>
        <v>0</v>
      </c>
      <c r="EQ95" s="3" t="s">
        <v>69</v>
      </c>
      <c r="ER95" s="3">
        <f t="shared" si="302"/>
        <v>0</v>
      </c>
      <c r="ES95" s="3">
        <f t="shared" si="303"/>
        <v>0</v>
      </c>
      <c r="ET95" s="46">
        <f t="shared" si="304"/>
        <v>0</v>
      </c>
      <c r="EU95" s="46">
        <f t="shared" si="305"/>
        <v>0</v>
      </c>
      <c r="EV95" s="46">
        <f t="shared" si="306"/>
        <v>0</v>
      </c>
      <c r="EW95" s="46">
        <f t="shared" si="307"/>
        <v>0</v>
      </c>
      <c r="EX95" s="46">
        <f t="shared" si="308"/>
        <v>0</v>
      </c>
      <c r="EY95" s="46">
        <f t="shared" si="309"/>
        <v>0</v>
      </c>
      <c r="EZ95" s="3">
        <f t="shared" si="310"/>
        <v>0</v>
      </c>
      <c r="FA95" s="3" t="s">
        <v>70</v>
      </c>
      <c r="FB95" s="3">
        <f t="shared" si="311"/>
        <v>0</v>
      </c>
      <c r="FC95" s="3" t="s">
        <v>70</v>
      </c>
      <c r="FD95" s="46">
        <f t="shared" si="312"/>
        <v>0</v>
      </c>
      <c r="FE95" s="46">
        <f t="shared" si="313"/>
        <v>0</v>
      </c>
      <c r="FF95" s="46">
        <f t="shared" si="314"/>
        <v>0</v>
      </c>
      <c r="FG95" s="46">
        <f t="shared" si="315"/>
        <v>0</v>
      </c>
      <c r="FH95" s="46">
        <f t="shared" si="316"/>
        <v>0</v>
      </c>
      <c r="FI95" s="46">
        <f t="shared" si="317"/>
        <v>0</v>
      </c>
      <c r="FJ95" s="3">
        <f t="shared" si="318"/>
        <v>0</v>
      </c>
      <c r="FK95" s="46">
        <f t="shared" si="319"/>
        <v>0</v>
      </c>
      <c r="FM95" s="74">
        <f>EL95+'EXTRALABORAL B '!BH277</f>
        <v>0</v>
      </c>
      <c r="FN95" s="74">
        <f t="shared" si="320"/>
        <v>0</v>
      </c>
    </row>
    <row r="96" spans="1:170">
      <c r="A96" s="3">
        <v>93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3">
        <f t="shared" si="278"/>
        <v>0</v>
      </c>
      <c r="DP96" s="3">
        <f t="shared" si="279"/>
        <v>0</v>
      </c>
      <c r="DQ96" s="3">
        <f t="shared" si="280"/>
        <v>0</v>
      </c>
      <c r="DR96" s="3" t="s">
        <v>69</v>
      </c>
      <c r="DS96" s="3">
        <f t="shared" si="281"/>
        <v>0</v>
      </c>
      <c r="DT96" s="3">
        <f t="shared" si="282"/>
        <v>0</v>
      </c>
      <c r="DU96" s="3">
        <f t="shared" si="283"/>
        <v>0</v>
      </c>
      <c r="DV96" s="3">
        <f t="shared" si="284"/>
        <v>0</v>
      </c>
      <c r="DW96" s="3">
        <f t="shared" si="285"/>
        <v>0</v>
      </c>
      <c r="DX96" s="3">
        <f t="shared" si="286"/>
        <v>0</v>
      </c>
      <c r="DY96" s="3">
        <f t="shared" si="287"/>
        <v>0</v>
      </c>
      <c r="DZ96" s="3">
        <f t="shared" si="288"/>
        <v>0</v>
      </c>
      <c r="EA96" s="3">
        <f t="shared" si="289"/>
        <v>0</v>
      </c>
      <c r="EB96" s="3" t="s">
        <v>70</v>
      </c>
      <c r="EC96" s="3">
        <f t="shared" si="290"/>
        <v>0</v>
      </c>
      <c r="ED96" s="3" t="s">
        <v>70</v>
      </c>
      <c r="EE96" s="3">
        <f t="shared" si="291"/>
        <v>0</v>
      </c>
      <c r="EF96" s="3">
        <f t="shared" si="292"/>
        <v>0</v>
      </c>
      <c r="EG96" s="3">
        <f t="shared" si="293"/>
        <v>0</v>
      </c>
      <c r="EH96" s="3">
        <f t="shared" si="294"/>
        <v>0</v>
      </c>
      <c r="EI96" s="3">
        <f t="shared" si="295"/>
        <v>0</v>
      </c>
      <c r="EJ96" s="3">
        <f t="shared" si="296"/>
        <v>0</v>
      </c>
      <c r="EK96" s="3">
        <f t="shared" si="297"/>
        <v>0</v>
      </c>
      <c r="EL96" s="24">
        <f t="shared" si="298"/>
        <v>0</v>
      </c>
      <c r="EM96" s="24"/>
      <c r="EN96" s="46">
        <f t="shared" si="299"/>
        <v>0</v>
      </c>
      <c r="EO96" s="46">
        <f t="shared" si="300"/>
        <v>0</v>
      </c>
      <c r="EP96" s="47">
        <f t="shared" si="301"/>
        <v>0</v>
      </c>
      <c r="EQ96" s="3" t="s">
        <v>69</v>
      </c>
      <c r="ER96" s="3">
        <f t="shared" si="302"/>
        <v>0</v>
      </c>
      <c r="ES96" s="3">
        <f t="shared" si="303"/>
        <v>0</v>
      </c>
      <c r="ET96" s="46">
        <f t="shared" si="304"/>
        <v>0</v>
      </c>
      <c r="EU96" s="46">
        <f t="shared" si="305"/>
        <v>0</v>
      </c>
      <c r="EV96" s="46">
        <f t="shared" si="306"/>
        <v>0</v>
      </c>
      <c r="EW96" s="46">
        <f t="shared" si="307"/>
        <v>0</v>
      </c>
      <c r="EX96" s="46">
        <f t="shared" si="308"/>
        <v>0</v>
      </c>
      <c r="EY96" s="46">
        <f t="shared" si="309"/>
        <v>0</v>
      </c>
      <c r="EZ96" s="3">
        <f t="shared" si="310"/>
        <v>0</v>
      </c>
      <c r="FA96" s="3" t="s">
        <v>70</v>
      </c>
      <c r="FB96" s="3">
        <f t="shared" si="311"/>
        <v>0</v>
      </c>
      <c r="FC96" s="3" t="s">
        <v>70</v>
      </c>
      <c r="FD96" s="46">
        <f t="shared" si="312"/>
        <v>0</v>
      </c>
      <c r="FE96" s="46">
        <f t="shared" si="313"/>
        <v>0</v>
      </c>
      <c r="FF96" s="46">
        <f t="shared" si="314"/>
        <v>0</v>
      </c>
      <c r="FG96" s="46">
        <f t="shared" si="315"/>
        <v>0</v>
      </c>
      <c r="FH96" s="46">
        <f t="shared" si="316"/>
        <v>0</v>
      </c>
      <c r="FI96" s="46">
        <f t="shared" si="317"/>
        <v>0</v>
      </c>
      <c r="FJ96" s="3">
        <f t="shared" si="318"/>
        <v>0</v>
      </c>
      <c r="FK96" s="46">
        <f t="shared" si="319"/>
        <v>0</v>
      </c>
      <c r="FM96" s="74">
        <f>EL96+'EXTRALABORAL B '!BH278</f>
        <v>0</v>
      </c>
      <c r="FN96" s="74">
        <f t="shared" si="320"/>
        <v>0</v>
      </c>
    </row>
    <row r="97" spans="1:170">
      <c r="A97" s="3">
        <v>94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3">
        <f t="shared" si="278"/>
        <v>0</v>
      </c>
      <c r="DP97" s="3">
        <f t="shared" si="279"/>
        <v>0</v>
      </c>
      <c r="DQ97" s="3">
        <f t="shared" si="280"/>
        <v>0</v>
      </c>
      <c r="DR97" s="3" t="s">
        <v>69</v>
      </c>
      <c r="DS97" s="3">
        <f t="shared" si="281"/>
        <v>0</v>
      </c>
      <c r="DT97" s="3">
        <f t="shared" si="282"/>
        <v>0</v>
      </c>
      <c r="DU97" s="3">
        <f t="shared" si="283"/>
        <v>0</v>
      </c>
      <c r="DV97" s="3">
        <f t="shared" si="284"/>
        <v>0</v>
      </c>
      <c r="DW97" s="3">
        <f t="shared" si="285"/>
        <v>0</v>
      </c>
      <c r="DX97" s="3">
        <f t="shared" si="286"/>
        <v>0</v>
      </c>
      <c r="DY97" s="3">
        <f t="shared" si="287"/>
        <v>0</v>
      </c>
      <c r="DZ97" s="3">
        <f t="shared" si="288"/>
        <v>0</v>
      </c>
      <c r="EA97" s="3">
        <f t="shared" si="289"/>
        <v>0</v>
      </c>
      <c r="EB97" s="3" t="s">
        <v>70</v>
      </c>
      <c r="EC97" s="3">
        <f t="shared" si="290"/>
        <v>0</v>
      </c>
      <c r="ED97" s="3" t="s">
        <v>70</v>
      </c>
      <c r="EE97" s="3">
        <f t="shared" si="291"/>
        <v>0</v>
      </c>
      <c r="EF97" s="3">
        <f t="shared" si="292"/>
        <v>0</v>
      </c>
      <c r="EG97" s="3">
        <f t="shared" si="293"/>
        <v>0</v>
      </c>
      <c r="EH97" s="3">
        <f t="shared" si="294"/>
        <v>0</v>
      </c>
      <c r="EI97" s="3">
        <f t="shared" si="295"/>
        <v>0</v>
      </c>
      <c r="EJ97" s="3">
        <f t="shared" si="296"/>
        <v>0</v>
      </c>
      <c r="EK97" s="3">
        <f t="shared" si="297"/>
        <v>0</v>
      </c>
      <c r="EL97" s="24">
        <f t="shared" si="298"/>
        <v>0</v>
      </c>
      <c r="EM97" s="24"/>
      <c r="EN97" s="46">
        <f t="shared" si="299"/>
        <v>0</v>
      </c>
      <c r="EO97" s="46">
        <f t="shared" si="300"/>
        <v>0</v>
      </c>
      <c r="EP97" s="47">
        <f t="shared" si="301"/>
        <v>0</v>
      </c>
      <c r="EQ97" s="3" t="s">
        <v>69</v>
      </c>
      <c r="ER97" s="3">
        <f t="shared" si="302"/>
        <v>0</v>
      </c>
      <c r="ES97" s="3">
        <f t="shared" si="303"/>
        <v>0</v>
      </c>
      <c r="ET97" s="46">
        <f t="shared" si="304"/>
        <v>0</v>
      </c>
      <c r="EU97" s="46">
        <f t="shared" si="305"/>
        <v>0</v>
      </c>
      <c r="EV97" s="46">
        <f t="shared" si="306"/>
        <v>0</v>
      </c>
      <c r="EW97" s="46">
        <f t="shared" si="307"/>
        <v>0</v>
      </c>
      <c r="EX97" s="46">
        <f t="shared" si="308"/>
        <v>0</v>
      </c>
      <c r="EY97" s="46">
        <f t="shared" si="309"/>
        <v>0</v>
      </c>
      <c r="EZ97" s="3">
        <f t="shared" si="310"/>
        <v>0</v>
      </c>
      <c r="FA97" s="3" t="s">
        <v>70</v>
      </c>
      <c r="FB97" s="3">
        <f t="shared" si="311"/>
        <v>0</v>
      </c>
      <c r="FC97" s="3" t="s">
        <v>70</v>
      </c>
      <c r="FD97" s="46">
        <f t="shared" si="312"/>
        <v>0</v>
      </c>
      <c r="FE97" s="46">
        <f t="shared" si="313"/>
        <v>0</v>
      </c>
      <c r="FF97" s="46">
        <f t="shared" si="314"/>
        <v>0</v>
      </c>
      <c r="FG97" s="46">
        <f t="shared" si="315"/>
        <v>0</v>
      </c>
      <c r="FH97" s="46">
        <f t="shared" si="316"/>
        <v>0</v>
      </c>
      <c r="FI97" s="46">
        <f t="shared" si="317"/>
        <v>0</v>
      </c>
      <c r="FJ97" s="3">
        <f t="shared" si="318"/>
        <v>0</v>
      </c>
      <c r="FK97" s="46">
        <f t="shared" si="319"/>
        <v>0</v>
      </c>
      <c r="FM97" s="74">
        <f>EL97+'EXTRALABORAL B '!BH279</f>
        <v>0</v>
      </c>
      <c r="FN97" s="74">
        <f t="shared" si="320"/>
        <v>0</v>
      </c>
    </row>
    <row r="98" spans="1:170">
      <c r="A98" s="3">
        <v>95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3">
        <f t="shared" si="278"/>
        <v>0</v>
      </c>
      <c r="DP98" s="3">
        <f t="shared" si="279"/>
        <v>0</v>
      </c>
      <c r="DQ98" s="3">
        <f t="shared" si="280"/>
        <v>0</v>
      </c>
      <c r="DR98" s="3" t="s">
        <v>69</v>
      </c>
      <c r="DS98" s="3">
        <f t="shared" si="281"/>
        <v>0</v>
      </c>
      <c r="DT98" s="3">
        <f t="shared" si="282"/>
        <v>0</v>
      </c>
      <c r="DU98" s="3">
        <f t="shared" si="283"/>
        <v>0</v>
      </c>
      <c r="DV98" s="3">
        <f t="shared" si="284"/>
        <v>0</v>
      </c>
      <c r="DW98" s="3">
        <f t="shared" si="285"/>
        <v>0</v>
      </c>
      <c r="DX98" s="3">
        <f t="shared" si="286"/>
        <v>0</v>
      </c>
      <c r="DY98" s="3">
        <f t="shared" si="287"/>
        <v>0</v>
      </c>
      <c r="DZ98" s="3">
        <f t="shared" si="288"/>
        <v>0</v>
      </c>
      <c r="EA98" s="3">
        <f t="shared" si="289"/>
        <v>0</v>
      </c>
      <c r="EB98" s="3" t="s">
        <v>70</v>
      </c>
      <c r="EC98" s="3">
        <f t="shared" si="290"/>
        <v>0</v>
      </c>
      <c r="ED98" s="3" t="s">
        <v>70</v>
      </c>
      <c r="EE98" s="3">
        <f t="shared" si="291"/>
        <v>0</v>
      </c>
      <c r="EF98" s="3">
        <f t="shared" si="292"/>
        <v>0</v>
      </c>
      <c r="EG98" s="3">
        <f t="shared" si="293"/>
        <v>0</v>
      </c>
      <c r="EH98" s="3">
        <f t="shared" si="294"/>
        <v>0</v>
      </c>
      <c r="EI98" s="3">
        <f t="shared" si="295"/>
        <v>0</v>
      </c>
      <c r="EJ98" s="3">
        <f t="shared" si="296"/>
        <v>0</v>
      </c>
      <c r="EK98" s="3">
        <f t="shared" si="297"/>
        <v>0</v>
      </c>
      <c r="EL98" s="24">
        <f t="shared" si="298"/>
        <v>0</v>
      </c>
      <c r="EM98" s="24"/>
      <c r="EN98" s="46">
        <f t="shared" si="299"/>
        <v>0</v>
      </c>
      <c r="EO98" s="46">
        <f t="shared" si="300"/>
        <v>0</v>
      </c>
      <c r="EP98" s="47">
        <f t="shared" si="301"/>
        <v>0</v>
      </c>
      <c r="EQ98" s="3" t="s">
        <v>69</v>
      </c>
      <c r="ER98" s="3">
        <f t="shared" si="302"/>
        <v>0</v>
      </c>
      <c r="ES98" s="3">
        <f t="shared" si="303"/>
        <v>0</v>
      </c>
      <c r="ET98" s="46">
        <f t="shared" si="304"/>
        <v>0</v>
      </c>
      <c r="EU98" s="46">
        <f t="shared" si="305"/>
        <v>0</v>
      </c>
      <c r="EV98" s="46">
        <f t="shared" si="306"/>
        <v>0</v>
      </c>
      <c r="EW98" s="46">
        <f t="shared" si="307"/>
        <v>0</v>
      </c>
      <c r="EX98" s="46">
        <f t="shared" si="308"/>
        <v>0</v>
      </c>
      <c r="EY98" s="46">
        <f t="shared" si="309"/>
        <v>0</v>
      </c>
      <c r="EZ98" s="3">
        <f t="shared" si="310"/>
        <v>0</v>
      </c>
      <c r="FA98" s="3" t="s">
        <v>70</v>
      </c>
      <c r="FB98" s="3">
        <f t="shared" si="311"/>
        <v>0</v>
      </c>
      <c r="FC98" s="3" t="s">
        <v>70</v>
      </c>
      <c r="FD98" s="46">
        <f t="shared" si="312"/>
        <v>0</v>
      </c>
      <c r="FE98" s="46">
        <f t="shared" si="313"/>
        <v>0</v>
      </c>
      <c r="FF98" s="46">
        <f t="shared" si="314"/>
        <v>0</v>
      </c>
      <c r="FG98" s="46">
        <f t="shared" si="315"/>
        <v>0</v>
      </c>
      <c r="FH98" s="46">
        <f t="shared" si="316"/>
        <v>0</v>
      </c>
      <c r="FI98" s="46">
        <f t="shared" si="317"/>
        <v>0</v>
      </c>
      <c r="FJ98" s="3">
        <f t="shared" si="318"/>
        <v>0</v>
      </c>
      <c r="FK98" s="46">
        <f t="shared" si="319"/>
        <v>0</v>
      </c>
      <c r="FM98" s="74">
        <f>EL98+'EXTRALABORAL B '!BH280</f>
        <v>0</v>
      </c>
      <c r="FN98" s="74">
        <f t="shared" si="320"/>
        <v>0</v>
      </c>
    </row>
    <row r="99" spans="1:170">
      <c r="A99" s="3">
        <v>96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3">
        <f t="shared" si="278"/>
        <v>0</v>
      </c>
      <c r="DP99" s="3">
        <f t="shared" si="279"/>
        <v>0</v>
      </c>
      <c r="DQ99" s="3">
        <f t="shared" si="280"/>
        <v>0</v>
      </c>
      <c r="DR99" s="3" t="s">
        <v>69</v>
      </c>
      <c r="DS99" s="3">
        <f t="shared" si="281"/>
        <v>0</v>
      </c>
      <c r="DT99" s="3">
        <f t="shared" si="282"/>
        <v>0</v>
      </c>
      <c r="DU99" s="3">
        <f t="shared" si="283"/>
        <v>0</v>
      </c>
      <c r="DV99" s="3">
        <f t="shared" si="284"/>
        <v>0</v>
      </c>
      <c r="DW99" s="3">
        <f t="shared" si="285"/>
        <v>0</v>
      </c>
      <c r="DX99" s="3">
        <f t="shared" si="286"/>
        <v>0</v>
      </c>
      <c r="DY99" s="3">
        <f t="shared" si="287"/>
        <v>0</v>
      </c>
      <c r="DZ99" s="3">
        <f t="shared" si="288"/>
        <v>0</v>
      </c>
      <c r="EA99" s="3">
        <f t="shared" si="289"/>
        <v>0</v>
      </c>
      <c r="EB99" s="3" t="s">
        <v>70</v>
      </c>
      <c r="EC99" s="3">
        <f t="shared" si="290"/>
        <v>0</v>
      </c>
      <c r="ED99" s="3" t="s">
        <v>70</v>
      </c>
      <c r="EE99" s="3">
        <f t="shared" si="291"/>
        <v>0</v>
      </c>
      <c r="EF99" s="3">
        <f t="shared" si="292"/>
        <v>0</v>
      </c>
      <c r="EG99" s="3">
        <f t="shared" si="293"/>
        <v>0</v>
      </c>
      <c r="EH99" s="3">
        <f t="shared" si="294"/>
        <v>0</v>
      </c>
      <c r="EI99" s="3">
        <f t="shared" si="295"/>
        <v>0</v>
      </c>
      <c r="EJ99" s="3">
        <f t="shared" si="296"/>
        <v>0</v>
      </c>
      <c r="EK99" s="3">
        <f t="shared" si="297"/>
        <v>0</v>
      </c>
      <c r="EL99" s="24">
        <f t="shared" si="298"/>
        <v>0</v>
      </c>
      <c r="EM99" s="24"/>
      <c r="EN99" s="46">
        <f t="shared" si="299"/>
        <v>0</v>
      </c>
      <c r="EO99" s="46">
        <f t="shared" si="300"/>
        <v>0</v>
      </c>
      <c r="EP99" s="47">
        <f t="shared" si="301"/>
        <v>0</v>
      </c>
      <c r="EQ99" s="3" t="s">
        <v>69</v>
      </c>
      <c r="ER99" s="3">
        <f t="shared" si="302"/>
        <v>0</v>
      </c>
      <c r="ES99" s="3">
        <f t="shared" si="303"/>
        <v>0</v>
      </c>
      <c r="ET99" s="46">
        <f t="shared" si="304"/>
        <v>0</v>
      </c>
      <c r="EU99" s="46">
        <f t="shared" si="305"/>
        <v>0</v>
      </c>
      <c r="EV99" s="46">
        <f t="shared" si="306"/>
        <v>0</v>
      </c>
      <c r="EW99" s="46">
        <f t="shared" si="307"/>
        <v>0</v>
      </c>
      <c r="EX99" s="46">
        <f t="shared" si="308"/>
        <v>0</v>
      </c>
      <c r="EY99" s="46">
        <f t="shared" si="309"/>
        <v>0</v>
      </c>
      <c r="EZ99" s="3">
        <f t="shared" si="310"/>
        <v>0</v>
      </c>
      <c r="FA99" s="3" t="s">
        <v>70</v>
      </c>
      <c r="FB99" s="3">
        <f t="shared" si="311"/>
        <v>0</v>
      </c>
      <c r="FC99" s="3" t="s">
        <v>70</v>
      </c>
      <c r="FD99" s="46">
        <f t="shared" si="312"/>
        <v>0</v>
      </c>
      <c r="FE99" s="46">
        <f t="shared" si="313"/>
        <v>0</v>
      </c>
      <c r="FF99" s="46">
        <f t="shared" si="314"/>
        <v>0</v>
      </c>
      <c r="FG99" s="46">
        <f t="shared" si="315"/>
        <v>0</v>
      </c>
      <c r="FH99" s="46">
        <f t="shared" si="316"/>
        <v>0</v>
      </c>
      <c r="FI99" s="46">
        <f t="shared" si="317"/>
        <v>0</v>
      </c>
      <c r="FJ99" s="3">
        <f t="shared" si="318"/>
        <v>0</v>
      </c>
      <c r="FK99" s="46">
        <f t="shared" si="319"/>
        <v>0</v>
      </c>
      <c r="FM99" s="74">
        <f>EL99+'EXTRALABORAL B '!BH281</f>
        <v>0</v>
      </c>
      <c r="FN99" s="74">
        <f t="shared" si="320"/>
        <v>0</v>
      </c>
    </row>
    <row r="100" spans="1:170">
      <c r="A100" s="3">
        <v>97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3">
        <f t="shared" si="278"/>
        <v>0</v>
      </c>
      <c r="DP100" s="3">
        <f t="shared" si="279"/>
        <v>0</v>
      </c>
      <c r="DQ100" s="3">
        <f t="shared" si="280"/>
        <v>0</v>
      </c>
      <c r="DR100" s="3" t="s">
        <v>69</v>
      </c>
      <c r="DS100" s="3">
        <f t="shared" si="281"/>
        <v>0</v>
      </c>
      <c r="DT100" s="3">
        <f t="shared" si="282"/>
        <v>0</v>
      </c>
      <c r="DU100" s="3">
        <f t="shared" si="283"/>
        <v>0</v>
      </c>
      <c r="DV100" s="3">
        <f t="shared" si="284"/>
        <v>0</v>
      </c>
      <c r="DW100" s="3">
        <f t="shared" si="285"/>
        <v>0</v>
      </c>
      <c r="DX100" s="3">
        <f t="shared" si="286"/>
        <v>0</v>
      </c>
      <c r="DY100" s="3">
        <f t="shared" si="287"/>
        <v>0</v>
      </c>
      <c r="DZ100" s="3">
        <f t="shared" si="288"/>
        <v>0</v>
      </c>
      <c r="EA100" s="3">
        <f t="shared" si="289"/>
        <v>0</v>
      </c>
      <c r="EB100" s="3" t="s">
        <v>70</v>
      </c>
      <c r="EC100" s="3">
        <f t="shared" si="290"/>
        <v>0</v>
      </c>
      <c r="ED100" s="3" t="s">
        <v>70</v>
      </c>
      <c r="EE100" s="3">
        <f t="shared" si="291"/>
        <v>0</v>
      </c>
      <c r="EF100" s="3">
        <f t="shared" si="292"/>
        <v>0</v>
      </c>
      <c r="EG100" s="3">
        <f t="shared" si="293"/>
        <v>0</v>
      </c>
      <c r="EH100" s="3">
        <f t="shared" si="294"/>
        <v>0</v>
      </c>
      <c r="EI100" s="3">
        <f t="shared" si="295"/>
        <v>0</v>
      </c>
      <c r="EJ100" s="3">
        <f t="shared" si="296"/>
        <v>0</v>
      </c>
      <c r="EK100" s="3">
        <f t="shared" si="297"/>
        <v>0</v>
      </c>
      <c r="EL100" s="24">
        <f t="shared" si="298"/>
        <v>0</v>
      </c>
      <c r="EM100" s="24"/>
      <c r="EN100" s="46">
        <f t="shared" si="299"/>
        <v>0</v>
      </c>
      <c r="EO100" s="46">
        <f t="shared" si="300"/>
        <v>0</v>
      </c>
      <c r="EP100" s="47">
        <f t="shared" si="301"/>
        <v>0</v>
      </c>
      <c r="EQ100" s="3" t="s">
        <v>69</v>
      </c>
      <c r="ER100" s="3">
        <f t="shared" si="302"/>
        <v>0</v>
      </c>
      <c r="ES100" s="3">
        <f t="shared" si="303"/>
        <v>0</v>
      </c>
      <c r="ET100" s="46">
        <f t="shared" si="304"/>
        <v>0</v>
      </c>
      <c r="EU100" s="46">
        <f t="shared" si="305"/>
        <v>0</v>
      </c>
      <c r="EV100" s="46">
        <f t="shared" si="306"/>
        <v>0</v>
      </c>
      <c r="EW100" s="46">
        <f t="shared" si="307"/>
        <v>0</v>
      </c>
      <c r="EX100" s="46">
        <f t="shared" si="308"/>
        <v>0</v>
      </c>
      <c r="EY100" s="46">
        <f t="shared" si="309"/>
        <v>0</v>
      </c>
      <c r="EZ100" s="3">
        <f t="shared" si="310"/>
        <v>0</v>
      </c>
      <c r="FA100" s="3" t="s">
        <v>70</v>
      </c>
      <c r="FB100" s="3">
        <f t="shared" si="311"/>
        <v>0</v>
      </c>
      <c r="FC100" s="3" t="s">
        <v>70</v>
      </c>
      <c r="FD100" s="46">
        <f t="shared" si="312"/>
        <v>0</v>
      </c>
      <c r="FE100" s="46">
        <f t="shared" si="313"/>
        <v>0</v>
      </c>
      <c r="FF100" s="46">
        <f t="shared" si="314"/>
        <v>0</v>
      </c>
      <c r="FG100" s="46">
        <f t="shared" si="315"/>
        <v>0</v>
      </c>
      <c r="FH100" s="46">
        <f t="shared" si="316"/>
        <v>0</v>
      </c>
      <c r="FI100" s="46">
        <f t="shared" si="317"/>
        <v>0</v>
      </c>
      <c r="FJ100" s="3">
        <f t="shared" si="318"/>
        <v>0</v>
      </c>
      <c r="FK100" s="46">
        <f t="shared" si="319"/>
        <v>0</v>
      </c>
      <c r="FM100" s="74">
        <f>EL100+'EXTRALABORAL B '!BH282</f>
        <v>0</v>
      </c>
      <c r="FN100" s="74">
        <f t="shared" si="320"/>
        <v>0</v>
      </c>
    </row>
    <row r="101" spans="1:170">
      <c r="A101" s="3">
        <v>98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3">
        <f t="shared" si="278"/>
        <v>0</v>
      </c>
      <c r="DP101" s="3">
        <f t="shared" si="279"/>
        <v>0</v>
      </c>
      <c r="DQ101" s="3">
        <f t="shared" si="280"/>
        <v>0</v>
      </c>
      <c r="DR101" s="3" t="s">
        <v>69</v>
      </c>
      <c r="DS101" s="3">
        <f t="shared" si="281"/>
        <v>0</v>
      </c>
      <c r="DT101" s="3">
        <f t="shared" si="282"/>
        <v>0</v>
      </c>
      <c r="DU101" s="3">
        <f t="shared" si="283"/>
        <v>0</v>
      </c>
      <c r="DV101" s="3">
        <f t="shared" si="284"/>
        <v>0</v>
      </c>
      <c r="DW101" s="3">
        <f t="shared" si="285"/>
        <v>0</v>
      </c>
      <c r="DX101" s="3">
        <f t="shared" si="286"/>
        <v>0</v>
      </c>
      <c r="DY101" s="3">
        <f t="shared" si="287"/>
        <v>0</v>
      </c>
      <c r="DZ101" s="3">
        <f t="shared" si="288"/>
        <v>0</v>
      </c>
      <c r="EA101" s="3">
        <f t="shared" si="289"/>
        <v>0</v>
      </c>
      <c r="EB101" s="3" t="s">
        <v>70</v>
      </c>
      <c r="EC101" s="3">
        <f t="shared" si="290"/>
        <v>0</v>
      </c>
      <c r="ED101" s="3" t="s">
        <v>70</v>
      </c>
      <c r="EE101" s="3">
        <f t="shared" si="291"/>
        <v>0</v>
      </c>
      <c r="EF101" s="3">
        <f t="shared" si="292"/>
        <v>0</v>
      </c>
      <c r="EG101" s="3">
        <f t="shared" si="293"/>
        <v>0</v>
      </c>
      <c r="EH101" s="3">
        <f t="shared" si="294"/>
        <v>0</v>
      </c>
      <c r="EI101" s="3">
        <f t="shared" si="295"/>
        <v>0</v>
      </c>
      <c r="EJ101" s="3">
        <f t="shared" si="296"/>
        <v>0</v>
      </c>
      <c r="EK101" s="3">
        <f t="shared" si="297"/>
        <v>0</v>
      </c>
      <c r="EL101" s="24">
        <f t="shared" si="298"/>
        <v>0</v>
      </c>
      <c r="EM101" s="24"/>
      <c r="EN101" s="46">
        <f t="shared" si="299"/>
        <v>0</v>
      </c>
      <c r="EO101" s="46">
        <f t="shared" si="300"/>
        <v>0</v>
      </c>
      <c r="EP101" s="47">
        <f t="shared" si="301"/>
        <v>0</v>
      </c>
      <c r="EQ101" s="3" t="s">
        <v>69</v>
      </c>
      <c r="ER101" s="3">
        <f t="shared" si="302"/>
        <v>0</v>
      </c>
      <c r="ES101" s="3">
        <f t="shared" si="303"/>
        <v>0</v>
      </c>
      <c r="ET101" s="46">
        <f t="shared" si="304"/>
        <v>0</v>
      </c>
      <c r="EU101" s="46">
        <f t="shared" si="305"/>
        <v>0</v>
      </c>
      <c r="EV101" s="46">
        <f t="shared" si="306"/>
        <v>0</v>
      </c>
      <c r="EW101" s="46">
        <f t="shared" si="307"/>
        <v>0</v>
      </c>
      <c r="EX101" s="46">
        <f t="shared" si="308"/>
        <v>0</v>
      </c>
      <c r="EY101" s="46">
        <f t="shared" si="309"/>
        <v>0</v>
      </c>
      <c r="EZ101" s="3">
        <f t="shared" si="310"/>
        <v>0</v>
      </c>
      <c r="FA101" s="3" t="s">
        <v>70</v>
      </c>
      <c r="FB101" s="3">
        <f t="shared" si="311"/>
        <v>0</v>
      </c>
      <c r="FC101" s="3" t="s">
        <v>70</v>
      </c>
      <c r="FD101" s="46">
        <f t="shared" si="312"/>
        <v>0</v>
      </c>
      <c r="FE101" s="46">
        <f t="shared" si="313"/>
        <v>0</v>
      </c>
      <c r="FF101" s="46">
        <f t="shared" si="314"/>
        <v>0</v>
      </c>
      <c r="FG101" s="46">
        <f t="shared" si="315"/>
        <v>0</v>
      </c>
      <c r="FH101" s="46">
        <f t="shared" si="316"/>
        <v>0</v>
      </c>
      <c r="FI101" s="46">
        <f t="shared" si="317"/>
        <v>0</v>
      </c>
      <c r="FJ101" s="3">
        <f t="shared" si="318"/>
        <v>0</v>
      </c>
      <c r="FK101" s="46">
        <f t="shared" si="319"/>
        <v>0</v>
      </c>
      <c r="FM101" s="74">
        <f>EL101+'EXTRALABORAL B '!BH283</f>
        <v>0</v>
      </c>
      <c r="FN101" s="74">
        <f t="shared" si="320"/>
        <v>0</v>
      </c>
    </row>
    <row r="102" spans="1:170">
      <c r="A102" s="3">
        <v>99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3">
        <f t="shared" si="278"/>
        <v>0</v>
      </c>
      <c r="DP102" s="3">
        <f t="shared" si="279"/>
        <v>0</v>
      </c>
      <c r="DQ102" s="3">
        <f t="shared" si="280"/>
        <v>0</v>
      </c>
      <c r="DR102" s="3" t="s">
        <v>69</v>
      </c>
      <c r="DS102" s="3">
        <f t="shared" si="281"/>
        <v>0</v>
      </c>
      <c r="DT102" s="3">
        <f t="shared" si="282"/>
        <v>0</v>
      </c>
      <c r="DU102" s="3">
        <f t="shared" si="283"/>
        <v>0</v>
      </c>
      <c r="DV102" s="3">
        <f t="shared" si="284"/>
        <v>0</v>
      </c>
      <c r="DW102" s="3">
        <f t="shared" si="285"/>
        <v>0</v>
      </c>
      <c r="DX102" s="3">
        <f t="shared" si="286"/>
        <v>0</v>
      </c>
      <c r="DY102" s="3">
        <f t="shared" si="287"/>
        <v>0</v>
      </c>
      <c r="DZ102" s="3">
        <f t="shared" si="288"/>
        <v>0</v>
      </c>
      <c r="EA102" s="3">
        <f t="shared" si="289"/>
        <v>0</v>
      </c>
      <c r="EB102" s="3" t="s">
        <v>70</v>
      </c>
      <c r="EC102" s="3">
        <f t="shared" si="290"/>
        <v>0</v>
      </c>
      <c r="ED102" s="3" t="s">
        <v>70</v>
      </c>
      <c r="EE102" s="3">
        <f t="shared" si="291"/>
        <v>0</v>
      </c>
      <c r="EF102" s="3">
        <f t="shared" si="292"/>
        <v>0</v>
      </c>
      <c r="EG102" s="3">
        <f t="shared" si="293"/>
        <v>0</v>
      </c>
      <c r="EH102" s="3">
        <f t="shared" si="294"/>
        <v>0</v>
      </c>
      <c r="EI102" s="3">
        <f t="shared" si="295"/>
        <v>0</v>
      </c>
      <c r="EJ102" s="3">
        <f t="shared" si="296"/>
        <v>0</v>
      </c>
      <c r="EK102" s="3">
        <f t="shared" si="297"/>
        <v>0</v>
      </c>
      <c r="EL102" s="24">
        <f t="shared" si="298"/>
        <v>0</v>
      </c>
      <c r="EM102" s="24"/>
      <c r="EN102" s="46">
        <f t="shared" si="299"/>
        <v>0</v>
      </c>
      <c r="EO102" s="46">
        <f t="shared" si="300"/>
        <v>0</v>
      </c>
      <c r="EP102" s="47">
        <f t="shared" si="301"/>
        <v>0</v>
      </c>
      <c r="EQ102" s="3" t="s">
        <v>69</v>
      </c>
      <c r="ER102" s="3">
        <f t="shared" si="302"/>
        <v>0</v>
      </c>
      <c r="ES102" s="3">
        <f t="shared" si="303"/>
        <v>0</v>
      </c>
      <c r="ET102" s="46">
        <f t="shared" si="304"/>
        <v>0</v>
      </c>
      <c r="EU102" s="46">
        <f t="shared" si="305"/>
        <v>0</v>
      </c>
      <c r="EV102" s="46">
        <f t="shared" si="306"/>
        <v>0</v>
      </c>
      <c r="EW102" s="46">
        <f t="shared" si="307"/>
        <v>0</v>
      </c>
      <c r="EX102" s="46">
        <f t="shared" si="308"/>
        <v>0</v>
      </c>
      <c r="EY102" s="46">
        <f t="shared" si="309"/>
        <v>0</v>
      </c>
      <c r="EZ102" s="3">
        <f t="shared" si="310"/>
        <v>0</v>
      </c>
      <c r="FA102" s="3" t="s">
        <v>70</v>
      </c>
      <c r="FB102" s="3">
        <f t="shared" si="311"/>
        <v>0</v>
      </c>
      <c r="FC102" s="3" t="s">
        <v>70</v>
      </c>
      <c r="FD102" s="46">
        <f t="shared" si="312"/>
        <v>0</v>
      </c>
      <c r="FE102" s="46">
        <f t="shared" si="313"/>
        <v>0</v>
      </c>
      <c r="FF102" s="46">
        <f t="shared" si="314"/>
        <v>0</v>
      </c>
      <c r="FG102" s="46">
        <f t="shared" si="315"/>
        <v>0</v>
      </c>
      <c r="FH102" s="46">
        <f t="shared" si="316"/>
        <v>0</v>
      </c>
      <c r="FI102" s="46">
        <f t="shared" si="317"/>
        <v>0</v>
      </c>
      <c r="FJ102" s="3">
        <f t="shared" si="318"/>
        <v>0</v>
      </c>
      <c r="FK102" s="46">
        <f t="shared" si="319"/>
        <v>0</v>
      </c>
      <c r="FM102" s="74">
        <f>EL102+'EXTRALABORAL B '!BH284</f>
        <v>0</v>
      </c>
      <c r="FN102" s="74">
        <f t="shared" si="320"/>
        <v>0</v>
      </c>
    </row>
    <row r="103" spans="1:170">
      <c r="A103" s="3">
        <v>100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3">
        <f t="shared" si="278"/>
        <v>0</v>
      </c>
      <c r="DP103" s="3">
        <f t="shared" si="279"/>
        <v>0</v>
      </c>
      <c r="DQ103" s="3">
        <f t="shared" si="280"/>
        <v>0</v>
      </c>
      <c r="DR103" s="3" t="s">
        <v>69</v>
      </c>
      <c r="DS103" s="3">
        <f t="shared" si="281"/>
        <v>0</v>
      </c>
      <c r="DT103" s="3">
        <f t="shared" si="282"/>
        <v>0</v>
      </c>
      <c r="DU103" s="3">
        <f t="shared" si="283"/>
        <v>0</v>
      </c>
      <c r="DV103" s="3">
        <f t="shared" si="284"/>
        <v>0</v>
      </c>
      <c r="DW103" s="3">
        <f t="shared" si="285"/>
        <v>0</v>
      </c>
      <c r="DX103" s="3">
        <f t="shared" si="286"/>
        <v>0</v>
      </c>
      <c r="DY103" s="3">
        <f t="shared" si="287"/>
        <v>0</v>
      </c>
      <c r="DZ103" s="3">
        <f t="shared" si="288"/>
        <v>0</v>
      </c>
      <c r="EA103" s="3">
        <f t="shared" si="289"/>
        <v>0</v>
      </c>
      <c r="EB103" s="3" t="s">
        <v>70</v>
      </c>
      <c r="EC103" s="3">
        <f t="shared" si="290"/>
        <v>0</v>
      </c>
      <c r="ED103" s="3" t="s">
        <v>70</v>
      </c>
      <c r="EE103" s="3">
        <f t="shared" si="291"/>
        <v>0</v>
      </c>
      <c r="EF103" s="3">
        <f t="shared" si="292"/>
        <v>0</v>
      </c>
      <c r="EG103" s="3">
        <f t="shared" si="293"/>
        <v>0</v>
      </c>
      <c r="EH103" s="3">
        <f t="shared" si="294"/>
        <v>0</v>
      </c>
      <c r="EI103" s="3">
        <f t="shared" si="295"/>
        <v>0</v>
      </c>
      <c r="EJ103" s="3">
        <f t="shared" si="296"/>
        <v>0</v>
      </c>
      <c r="EK103" s="3">
        <f t="shared" si="297"/>
        <v>0</v>
      </c>
      <c r="EL103" s="24">
        <f t="shared" si="298"/>
        <v>0</v>
      </c>
      <c r="EM103" s="24"/>
      <c r="EN103" s="46">
        <f t="shared" si="299"/>
        <v>0</v>
      </c>
      <c r="EO103" s="46">
        <f t="shared" si="300"/>
        <v>0</v>
      </c>
      <c r="EP103" s="47">
        <f t="shared" si="301"/>
        <v>0</v>
      </c>
      <c r="EQ103" s="3" t="s">
        <v>69</v>
      </c>
      <c r="ER103" s="3">
        <f t="shared" si="302"/>
        <v>0</v>
      </c>
      <c r="ES103" s="3">
        <f t="shared" si="303"/>
        <v>0</v>
      </c>
      <c r="ET103" s="46">
        <f t="shared" si="304"/>
        <v>0</v>
      </c>
      <c r="EU103" s="46">
        <f t="shared" si="305"/>
        <v>0</v>
      </c>
      <c r="EV103" s="46">
        <f t="shared" si="306"/>
        <v>0</v>
      </c>
      <c r="EW103" s="46">
        <f t="shared" si="307"/>
        <v>0</v>
      </c>
      <c r="EX103" s="46">
        <f t="shared" si="308"/>
        <v>0</v>
      </c>
      <c r="EY103" s="46">
        <f t="shared" si="309"/>
        <v>0</v>
      </c>
      <c r="EZ103" s="3">
        <f t="shared" si="310"/>
        <v>0</v>
      </c>
      <c r="FA103" s="3" t="s">
        <v>70</v>
      </c>
      <c r="FB103" s="3">
        <f t="shared" si="311"/>
        <v>0</v>
      </c>
      <c r="FC103" s="3" t="s">
        <v>70</v>
      </c>
      <c r="FD103" s="46">
        <f t="shared" si="312"/>
        <v>0</v>
      </c>
      <c r="FE103" s="46">
        <f t="shared" si="313"/>
        <v>0</v>
      </c>
      <c r="FF103" s="46">
        <f t="shared" si="314"/>
        <v>0</v>
      </c>
      <c r="FG103" s="46">
        <f t="shared" si="315"/>
        <v>0</v>
      </c>
      <c r="FH103" s="46">
        <f t="shared" si="316"/>
        <v>0</v>
      </c>
      <c r="FI103" s="46">
        <f t="shared" si="317"/>
        <v>0</v>
      </c>
      <c r="FJ103" s="3">
        <f t="shared" si="318"/>
        <v>0</v>
      </c>
      <c r="FK103" s="46">
        <f t="shared" si="319"/>
        <v>0</v>
      </c>
      <c r="FM103" s="74">
        <f>EL103+'EXTRALABORAL B '!BH285</f>
        <v>0</v>
      </c>
      <c r="FN103" s="74">
        <f t="shared" si="320"/>
        <v>0</v>
      </c>
    </row>
    <row r="104" spans="1:170">
      <c r="A104" s="3">
        <v>101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3">
        <f t="shared" si="278"/>
        <v>0</v>
      </c>
      <c r="DP104" s="3">
        <f t="shared" si="279"/>
        <v>0</v>
      </c>
      <c r="DQ104" s="3">
        <f t="shared" si="280"/>
        <v>0</v>
      </c>
      <c r="DR104" s="3" t="s">
        <v>69</v>
      </c>
      <c r="DS104" s="3">
        <f t="shared" si="281"/>
        <v>0</v>
      </c>
      <c r="DT104" s="3">
        <f t="shared" si="282"/>
        <v>0</v>
      </c>
      <c r="DU104" s="3">
        <f t="shared" si="283"/>
        <v>0</v>
      </c>
      <c r="DV104" s="3">
        <f t="shared" si="284"/>
        <v>0</v>
      </c>
      <c r="DW104" s="3">
        <f t="shared" si="285"/>
        <v>0</v>
      </c>
      <c r="DX104" s="3">
        <f t="shared" si="286"/>
        <v>0</v>
      </c>
      <c r="DY104" s="3">
        <f t="shared" si="287"/>
        <v>0</v>
      </c>
      <c r="DZ104" s="3">
        <f t="shared" si="288"/>
        <v>0</v>
      </c>
      <c r="EA104" s="3">
        <f t="shared" si="289"/>
        <v>0</v>
      </c>
      <c r="EB104" s="3" t="s">
        <v>70</v>
      </c>
      <c r="EC104" s="3">
        <f t="shared" si="290"/>
        <v>0</v>
      </c>
      <c r="ED104" s="3" t="s">
        <v>70</v>
      </c>
      <c r="EE104" s="3">
        <f t="shared" si="291"/>
        <v>0</v>
      </c>
      <c r="EF104" s="3">
        <f t="shared" si="292"/>
        <v>0</v>
      </c>
      <c r="EG104" s="3">
        <f t="shared" si="293"/>
        <v>0</v>
      </c>
      <c r="EH104" s="3">
        <f t="shared" si="294"/>
        <v>0</v>
      </c>
      <c r="EI104" s="3">
        <f t="shared" si="295"/>
        <v>0</v>
      </c>
      <c r="EJ104" s="3">
        <f t="shared" si="296"/>
        <v>0</v>
      </c>
      <c r="EK104" s="3">
        <f t="shared" si="297"/>
        <v>0</v>
      </c>
      <c r="EL104" s="24">
        <f t="shared" si="298"/>
        <v>0</v>
      </c>
      <c r="EM104" s="24"/>
      <c r="EN104" s="46">
        <f t="shared" si="299"/>
        <v>0</v>
      </c>
      <c r="EO104" s="46">
        <f t="shared" si="300"/>
        <v>0</v>
      </c>
      <c r="EP104" s="47">
        <f t="shared" si="301"/>
        <v>0</v>
      </c>
      <c r="EQ104" s="3" t="s">
        <v>69</v>
      </c>
      <c r="ER104" s="3">
        <f t="shared" si="302"/>
        <v>0</v>
      </c>
      <c r="ES104" s="3">
        <f t="shared" si="303"/>
        <v>0</v>
      </c>
      <c r="ET104" s="46">
        <f t="shared" si="304"/>
        <v>0</v>
      </c>
      <c r="EU104" s="46">
        <f t="shared" si="305"/>
        <v>0</v>
      </c>
      <c r="EV104" s="46">
        <f t="shared" si="306"/>
        <v>0</v>
      </c>
      <c r="EW104" s="46">
        <f t="shared" si="307"/>
        <v>0</v>
      </c>
      <c r="EX104" s="46">
        <f t="shared" si="308"/>
        <v>0</v>
      </c>
      <c r="EY104" s="46">
        <f t="shared" si="309"/>
        <v>0</v>
      </c>
      <c r="EZ104" s="3">
        <f t="shared" si="310"/>
        <v>0</v>
      </c>
      <c r="FA104" s="3" t="s">
        <v>70</v>
      </c>
      <c r="FB104" s="3">
        <f t="shared" si="311"/>
        <v>0</v>
      </c>
      <c r="FC104" s="3" t="s">
        <v>70</v>
      </c>
      <c r="FD104" s="46">
        <f t="shared" si="312"/>
        <v>0</v>
      </c>
      <c r="FE104" s="46">
        <f t="shared" si="313"/>
        <v>0</v>
      </c>
      <c r="FF104" s="46">
        <f t="shared" si="314"/>
        <v>0</v>
      </c>
      <c r="FG104" s="46">
        <f t="shared" si="315"/>
        <v>0</v>
      </c>
      <c r="FH104" s="46">
        <f t="shared" si="316"/>
        <v>0</v>
      </c>
      <c r="FI104" s="46">
        <f t="shared" si="317"/>
        <v>0</v>
      </c>
      <c r="FJ104" s="3">
        <f t="shared" si="318"/>
        <v>0</v>
      </c>
      <c r="FK104" s="46">
        <f t="shared" si="319"/>
        <v>0</v>
      </c>
      <c r="FM104" s="74">
        <f>EL104+'EXTRALABORAL B '!BH286</f>
        <v>0</v>
      </c>
      <c r="FN104" s="74">
        <f t="shared" si="320"/>
        <v>0</v>
      </c>
    </row>
    <row r="105" spans="1:170">
      <c r="A105" s="3">
        <v>102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3">
        <f t="shared" si="278"/>
        <v>0</v>
      </c>
      <c r="DP105" s="3">
        <f t="shared" si="279"/>
        <v>0</v>
      </c>
      <c r="DQ105" s="3">
        <f t="shared" si="280"/>
        <v>0</v>
      </c>
      <c r="DR105" s="3" t="s">
        <v>69</v>
      </c>
      <c r="DS105" s="3">
        <f t="shared" si="281"/>
        <v>0</v>
      </c>
      <c r="DT105" s="3">
        <f t="shared" si="282"/>
        <v>0</v>
      </c>
      <c r="DU105" s="3">
        <f t="shared" si="283"/>
        <v>0</v>
      </c>
      <c r="DV105" s="3">
        <f t="shared" si="284"/>
        <v>0</v>
      </c>
      <c r="DW105" s="3">
        <f t="shared" si="285"/>
        <v>0</v>
      </c>
      <c r="DX105" s="3">
        <f t="shared" si="286"/>
        <v>0</v>
      </c>
      <c r="DY105" s="3">
        <f t="shared" si="287"/>
        <v>0</v>
      </c>
      <c r="DZ105" s="3">
        <f t="shared" si="288"/>
        <v>0</v>
      </c>
      <c r="EA105" s="3">
        <f t="shared" si="289"/>
        <v>0</v>
      </c>
      <c r="EB105" s="3" t="s">
        <v>70</v>
      </c>
      <c r="EC105" s="3">
        <f t="shared" si="290"/>
        <v>0</v>
      </c>
      <c r="ED105" s="3" t="s">
        <v>70</v>
      </c>
      <c r="EE105" s="3">
        <f t="shared" si="291"/>
        <v>0</v>
      </c>
      <c r="EF105" s="3">
        <f t="shared" si="292"/>
        <v>0</v>
      </c>
      <c r="EG105" s="3">
        <f t="shared" si="293"/>
        <v>0</v>
      </c>
      <c r="EH105" s="3">
        <f t="shared" si="294"/>
        <v>0</v>
      </c>
      <c r="EI105" s="3">
        <f t="shared" si="295"/>
        <v>0</v>
      </c>
      <c r="EJ105" s="3">
        <f t="shared" si="296"/>
        <v>0</v>
      </c>
      <c r="EK105" s="3">
        <f t="shared" si="297"/>
        <v>0</v>
      </c>
      <c r="EL105" s="24">
        <f t="shared" si="298"/>
        <v>0</v>
      </c>
      <c r="EM105" s="24"/>
      <c r="EN105" s="46">
        <f t="shared" si="299"/>
        <v>0</v>
      </c>
      <c r="EO105" s="46">
        <f t="shared" si="300"/>
        <v>0</v>
      </c>
      <c r="EP105" s="47">
        <f t="shared" si="301"/>
        <v>0</v>
      </c>
      <c r="EQ105" s="3" t="s">
        <v>69</v>
      </c>
      <c r="ER105" s="3">
        <f t="shared" si="302"/>
        <v>0</v>
      </c>
      <c r="ES105" s="3">
        <f t="shared" si="303"/>
        <v>0</v>
      </c>
      <c r="ET105" s="46">
        <f t="shared" si="304"/>
        <v>0</v>
      </c>
      <c r="EU105" s="46">
        <f t="shared" si="305"/>
        <v>0</v>
      </c>
      <c r="EV105" s="46">
        <f t="shared" si="306"/>
        <v>0</v>
      </c>
      <c r="EW105" s="46">
        <f t="shared" si="307"/>
        <v>0</v>
      </c>
      <c r="EX105" s="46">
        <f t="shared" si="308"/>
        <v>0</v>
      </c>
      <c r="EY105" s="46">
        <f t="shared" si="309"/>
        <v>0</v>
      </c>
      <c r="EZ105" s="3">
        <f t="shared" si="310"/>
        <v>0</v>
      </c>
      <c r="FA105" s="3" t="s">
        <v>70</v>
      </c>
      <c r="FB105" s="3">
        <f t="shared" si="311"/>
        <v>0</v>
      </c>
      <c r="FC105" s="3" t="s">
        <v>70</v>
      </c>
      <c r="FD105" s="46">
        <f t="shared" si="312"/>
        <v>0</v>
      </c>
      <c r="FE105" s="46">
        <f t="shared" si="313"/>
        <v>0</v>
      </c>
      <c r="FF105" s="46">
        <f t="shared" si="314"/>
        <v>0</v>
      </c>
      <c r="FG105" s="46">
        <f t="shared" si="315"/>
        <v>0</v>
      </c>
      <c r="FH105" s="46">
        <f t="shared" si="316"/>
        <v>0</v>
      </c>
      <c r="FI105" s="46">
        <f t="shared" si="317"/>
        <v>0</v>
      </c>
      <c r="FJ105" s="3">
        <f t="shared" si="318"/>
        <v>0</v>
      </c>
      <c r="FK105" s="46">
        <f t="shared" si="319"/>
        <v>0</v>
      </c>
      <c r="FM105" s="74">
        <f>EL105+'EXTRALABORAL B '!BH287</f>
        <v>0</v>
      </c>
      <c r="FN105" s="74">
        <f t="shared" si="320"/>
        <v>0</v>
      </c>
    </row>
    <row r="106" spans="1:170">
      <c r="A106" s="3">
        <v>103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3">
        <f t="shared" si="278"/>
        <v>0</v>
      </c>
      <c r="DP106" s="3">
        <f t="shared" si="279"/>
        <v>0</v>
      </c>
      <c r="DQ106" s="3">
        <f t="shared" si="280"/>
        <v>0</v>
      </c>
      <c r="DR106" s="3" t="s">
        <v>69</v>
      </c>
      <c r="DS106" s="3">
        <f t="shared" si="281"/>
        <v>0</v>
      </c>
      <c r="DT106" s="3">
        <f t="shared" si="282"/>
        <v>0</v>
      </c>
      <c r="DU106" s="3">
        <f t="shared" si="283"/>
        <v>0</v>
      </c>
      <c r="DV106" s="3">
        <f t="shared" si="284"/>
        <v>0</v>
      </c>
      <c r="DW106" s="3">
        <f t="shared" si="285"/>
        <v>0</v>
      </c>
      <c r="DX106" s="3">
        <f t="shared" si="286"/>
        <v>0</v>
      </c>
      <c r="DY106" s="3">
        <f t="shared" si="287"/>
        <v>0</v>
      </c>
      <c r="DZ106" s="3">
        <f t="shared" si="288"/>
        <v>0</v>
      </c>
      <c r="EA106" s="3">
        <f t="shared" si="289"/>
        <v>0</v>
      </c>
      <c r="EB106" s="3" t="s">
        <v>70</v>
      </c>
      <c r="EC106" s="3">
        <f t="shared" si="290"/>
        <v>0</v>
      </c>
      <c r="ED106" s="3" t="s">
        <v>70</v>
      </c>
      <c r="EE106" s="3">
        <f t="shared" si="291"/>
        <v>0</v>
      </c>
      <c r="EF106" s="3">
        <f t="shared" si="292"/>
        <v>0</v>
      </c>
      <c r="EG106" s="3">
        <f t="shared" si="293"/>
        <v>0</v>
      </c>
      <c r="EH106" s="3">
        <f t="shared" si="294"/>
        <v>0</v>
      </c>
      <c r="EI106" s="3">
        <f t="shared" si="295"/>
        <v>0</v>
      </c>
      <c r="EJ106" s="3">
        <f t="shared" si="296"/>
        <v>0</v>
      </c>
      <c r="EK106" s="3">
        <f t="shared" si="297"/>
        <v>0</v>
      </c>
      <c r="EL106" s="24">
        <f t="shared" si="298"/>
        <v>0</v>
      </c>
      <c r="EM106" s="24"/>
      <c r="EN106" s="46">
        <f t="shared" si="299"/>
        <v>0</v>
      </c>
      <c r="EO106" s="46">
        <f t="shared" si="300"/>
        <v>0</v>
      </c>
      <c r="EP106" s="47">
        <f t="shared" si="301"/>
        <v>0</v>
      </c>
      <c r="EQ106" s="3" t="s">
        <v>69</v>
      </c>
      <c r="ER106" s="3">
        <f t="shared" si="302"/>
        <v>0</v>
      </c>
      <c r="ES106" s="3">
        <f t="shared" si="303"/>
        <v>0</v>
      </c>
      <c r="ET106" s="46">
        <f t="shared" si="304"/>
        <v>0</v>
      </c>
      <c r="EU106" s="46">
        <f t="shared" si="305"/>
        <v>0</v>
      </c>
      <c r="EV106" s="46">
        <f t="shared" si="306"/>
        <v>0</v>
      </c>
      <c r="EW106" s="46">
        <f t="shared" si="307"/>
        <v>0</v>
      </c>
      <c r="EX106" s="46">
        <f t="shared" si="308"/>
        <v>0</v>
      </c>
      <c r="EY106" s="46">
        <f t="shared" si="309"/>
        <v>0</v>
      </c>
      <c r="EZ106" s="3">
        <f t="shared" si="310"/>
        <v>0</v>
      </c>
      <c r="FA106" s="3" t="s">
        <v>70</v>
      </c>
      <c r="FB106" s="3">
        <f t="shared" si="311"/>
        <v>0</v>
      </c>
      <c r="FC106" s="3" t="s">
        <v>70</v>
      </c>
      <c r="FD106" s="46">
        <f t="shared" si="312"/>
        <v>0</v>
      </c>
      <c r="FE106" s="46">
        <f t="shared" si="313"/>
        <v>0</v>
      </c>
      <c r="FF106" s="46">
        <f t="shared" si="314"/>
        <v>0</v>
      </c>
      <c r="FG106" s="46">
        <f t="shared" si="315"/>
        <v>0</v>
      </c>
      <c r="FH106" s="46">
        <f t="shared" si="316"/>
        <v>0</v>
      </c>
      <c r="FI106" s="46">
        <f t="shared" si="317"/>
        <v>0</v>
      </c>
      <c r="FJ106" s="3">
        <f t="shared" si="318"/>
        <v>0</v>
      </c>
      <c r="FK106" s="46">
        <f t="shared" si="319"/>
        <v>0</v>
      </c>
      <c r="FM106" s="74">
        <f>EL106+'EXTRALABORAL B '!BH288</f>
        <v>0</v>
      </c>
      <c r="FN106" s="74">
        <f t="shared" si="320"/>
        <v>0</v>
      </c>
    </row>
    <row r="107" spans="1:170">
      <c r="A107" s="3">
        <v>104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3">
        <f t="shared" si="278"/>
        <v>0</v>
      </c>
      <c r="DP107" s="3">
        <f t="shared" si="279"/>
        <v>0</v>
      </c>
      <c r="DQ107" s="3">
        <f t="shared" si="280"/>
        <v>0</v>
      </c>
      <c r="DR107" s="3" t="s">
        <v>69</v>
      </c>
      <c r="DS107" s="3">
        <f t="shared" si="281"/>
        <v>0</v>
      </c>
      <c r="DT107" s="3">
        <f t="shared" si="282"/>
        <v>0</v>
      </c>
      <c r="DU107" s="3">
        <f t="shared" si="283"/>
        <v>0</v>
      </c>
      <c r="DV107" s="3">
        <f t="shared" si="284"/>
        <v>0</v>
      </c>
      <c r="DW107" s="3">
        <f t="shared" si="285"/>
        <v>0</v>
      </c>
      <c r="DX107" s="3">
        <f t="shared" si="286"/>
        <v>0</v>
      </c>
      <c r="DY107" s="3">
        <f t="shared" si="287"/>
        <v>0</v>
      </c>
      <c r="DZ107" s="3">
        <f t="shared" si="288"/>
        <v>0</v>
      </c>
      <c r="EA107" s="3">
        <f t="shared" si="289"/>
        <v>0</v>
      </c>
      <c r="EB107" s="3" t="s">
        <v>70</v>
      </c>
      <c r="EC107" s="3">
        <f t="shared" si="290"/>
        <v>0</v>
      </c>
      <c r="ED107" s="3" t="s">
        <v>70</v>
      </c>
      <c r="EE107" s="3">
        <f t="shared" si="291"/>
        <v>0</v>
      </c>
      <c r="EF107" s="3">
        <f t="shared" si="292"/>
        <v>0</v>
      </c>
      <c r="EG107" s="3">
        <f t="shared" si="293"/>
        <v>0</v>
      </c>
      <c r="EH107" s="3">
        <f t="shared" si="294"/>
        <v>0</v>
      </c>
      <c r="EI107" s="3">
        <f t="shared" si="295"/>
        <v>0</v>
      </c>
      <c r="EJ107" s="3">
        <f t="shared" si="296"/>
        <v>0</v>
      </c>
      <c r="EK107" s="3">
        <f t="shared" si="297"/>
        <v>0</v>
      </c>
      <c r="EL107" s="24">
        <f t="shared" si="298"/>
        <v>0</v>
      </c>
      <c r="EM107" s="24"/>
      <c r="EN107" s="46">
        <f t="shared" si="299"/>
        <v>0</v>
      </c>
      <c r="EO107" s="46">
        <f t="shared" si="300"/>
        <v>0</v>
      </c>
      <c r="EP107" s="47">
        <f t="shared" si="301"/>
        <v>0</v>
      </c>
      <c r="EQ107" s="3" t="s">
        <v>69</v>
      </c>
      <c r="ER107" s="3">
        <f t="shared" si="302"/>
        <v>0</v>
      </c>
      <c r="ES107" s="3">
        <f t="shared" si="303"/>
        <v>0</v>
      </c>
      <c r="ET107" s="46">
        <f t="shared" si="304"/>
        <v>0</v>
      </c>
      <c r="EU107" s="46">
        <f t="shared" si="305"/>
        <v>0</v>
      </c>
      <c r="EV107" s="46">
        <f t="shared" si="306"/>
        <v>0</v>
      </c>
      <c r="EW107" s="46">
        <f t="shared" si="307"/>
        <v>0</v>
      </c>
      <c r="EX107" s="46">
        <f t="shared" si="308"/>
        <v>0</v>
      </c>
      <c r="EY107" s="46">
        <f t="shared" si="309"/>
        <v>0</v>
      </c>
      <c r="EZ107" s="3">
        <f t="shared" si="310"/>
        <v>0</v>
      </c>
      <c r="FA107" s="3" t="s">
        <v>70</v>
      </c>
      <c r="FB107" s="3">
        <f t="shared" si="311"/>
        <v>0</v>
      </c>
      <c r="FC107" s="3" t="s">
        <v>70</v>
      </c>
      <c r="FD107" s="46">
        <f t="shared" si="312"/>
        <v>0</v>
      </c>
      <c r="FE107" s="46">
        <f t="shared" si="313"/>
        <v>0</v>
      </c>
      <c r="FF107" s="46">
        <f t="shared" si="314"/>
        <v>0</v>
      </c>
      <c r="FG107" s="46">
        <f t="shared" si="315"/>
        <v>0</v>
      </c>
      <c r="FH107" s="46">
        <f t="shared" si="316"/>
        <v>0</v>
      </c>
      <c r="FI107" s="46">
        <f t="shared" si="317"/>
        <v>0</v>
      </c>
      <c r="FJ107" s="3">
        <f t="shared" si="318"/>
        <v>0</v>
      </c>
      <c r="FK107" s="46">
        <f t="shared" si="319"/>
        <v>0</v>
      </c>
      <c r="FM107" s="74">
        <f>EL107+'EXTRALABORAL B '!BH289</f>
        <v>0</v>
      </c>
      <c r="FN107" s="74">
        <f t="shared" si="320"/>
        <v>0</v>
      </c>
    </row>
    <row r="108" spans="1:170">
      <c r="A108" s="3">
        <v>105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3">
        <f t="shared" si="278"/>
        <v>0</v>
      </c>
      <c r="DP108" s="3">
        <f t="shared" si="279"/>
        <v>0</v>
      </c>
      <c r="DQ108" s="3">
        <f t="shared" si="280"/>
        <v>0</v>
      </c>
      <c r="DR108" s="3" t="s">
        <v>69</v>
      </c>
      <c r="DS108" s="3">
        <f t="shared" si="281"/>
        <v>0</v>
      </c>
      <c r="DT108" s="3">
        <f t="shared" si="282"/>
        <v>0</v>
      </c>
      <c r="DU108" s="3">
        <f t="shared" si="283"/>
        <v>0</v>
      </c>
      <c r="DV108" s="3">
        <f t="shared" si="284"/>
        <v>0</v>
      </c>
      <c r="DW108" s="3">
        <f t="shared" si="285"/>
        <v>0</v>
      </c>
      <c r="DX108" s="3">
        <f t="shared" si="286"/>
        <v>0</v>
      </c>
      <c r="DY108" s="3">
        <f t="shared" si="287"/>
        <v>0</v>
      </c>
      <c r="DZ108" s="3">
        <f t="shared" si="288"/>
        <v>0</v>
      </c>
      <c r="EA108" s="3">
        <f t="shared" si="289"/>
        <v>0</v>
      </c>
      <c r="EB108" s="3" t="s">
        <v>70</v>
      </c>
      <c r="EC108" s="3">
        <f t="shared" si="290"/>
        <v>0</v>
      </c>
      <c r="ED108" s="3" t="s">
        <v>70</v>
      </c>
      <c r="EE108" s="3">
        <f t="shared" si="291"/>
        <v>0</v>
      </c>
      <c r="EF108" s="3">
        <f t="shared" si="292"/>
        <v>0</v>
      </c>
      <c r="EG108" s="3">
        <f t="shared" si="293"/>
        <v>0</v>
      </c>
      <c r="EH108" s="3">
        <f t="shared" si="294"/>
        <v>0</v>
      </c>
      <c r="EI108" s="3">
        <f t="shared" si="295"/>
        <v>0</v>
      </c>
      <c r="EJ108" s="3">
        <f t="shared" si="296"/>
        <v>0</v>
      </c>
      <c r="EK108" s="3">
        <f t="shared" si="297"/>
        <v>0</v>
      </c>
      <c r="EL108" s="24">
        <f t="shared" si="298"/>
        <v>0</v>
      </c>
      <c r="EM108" s="24"/>
      <c r="EN108" s="46">
        <f t="shared" si="299"/>
        <v>0</v>
      </c>
      <c r="EO108" s="46">
        <f t="shared" si="300"/>
        <v>0</v>
      </c>
      <c r="EP108" s="47">
        <f t="shared" si="301"/>
        <v>0</v>
      </c>
      <c r="EQ108" s="3" t="s">
        <v>69</v>
      </c>
      <c r="ER108" s="3">
        <f t="shared" si="302"/>
        <v>0</v>
      </c>
      <c r="ES108" s="3">
        <f t="shared" si="303"/>
        <v>0</v>
      </c>
      <c r="ET108" s="46">
        <f t="shared" si="304"/>
        <v>0</v>
      </c>
      <c r="EU108" s="46">
        <f t="shared" si="305"/>
        <v>0</v>
      </c>
      <c r="EV108" s="46">
        <f t="shared" si="306"/>
        <v>0</v>
      </c>
      <c r="EW108" s="46">
        <f t="shared" si="307"/>
        <v>0</v>
      </c>
      <c r="EX108" s="46">
        <f t="shared" si="308"/>
        <v>0</v>
      </c>
      <c r="EY108" s="46">
        <f t="shared" si="309"/>
        <v>0</v>
      </c>
      <c r="EZ108" s="3">
        <f t="shared" si="310"/>
        <v>0</v>
      </c>
      <c r="FA108" s="3" t="s">
        <v>70</v>
      </c>
      <c r="FB108" s="3">
        <f t="shared" si="311"/>
        <v>0</v>
      </c>
      <c r="FC108" s="3" t="s">
        <v>70</v>
      </c>
      <c r="FD108" s="46">
        <f t="shared" si="312"/>
        <v>0</v>
      </c>
      <c r="FE108" s="46">
        <f t="shared" si="313"/>
        <v>0</v>
      </c>
      <c r="FF108" s="46">
        <f t="shared" si="314"/>
        <v>0</v>
      </c>
      <c r="FG108" s="46">
        <f t="shared" si="315"/>
        <v>0</v>
      </c>
      <c r="FH108" s="46">
        <f t="shared" si="316"/>
        <v>0</v>
      </c>
      <c r="FI108" s="46">
        <f t="shared" si="317"/>
        <v>0</v>
      </c>
      <c r="FJ108" s="3">
        <f t="shared" si="318"/>
        <v>0</v>
      </c>
      <c r="FK108" s="46">
        <f t="shared" si="319"/>
        <v>0</v>
      </c>
      <c r="FM108" s="74">
        <f>EL108+'EXTRALABORAL B '!BH290</f>
        <v>0</v>
      </c>
      <c r="FN108" s="74">
        <f t="shared" si="320"/>
        <v>0</v>
      </c>
    </row>
    <row r="109" spans="1:170">
      <c r="A109" s="3">
        <v>106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3">
        <f t="shared" si="278"/>
        <v>0</v>
      </c>
      <c r="DP109" s="3">
        <f t="shared" si="279"/>
        <v>0</v>
      </c>
      <c r="DQ109" s="3">
        <f t="shared" si="280"/>
        <v>0</v>
      </c>
      <c r="DR109" s="3" t="s">
        <v>69</v>
      </c>
      <c r="DS109" s="3">
        <f t="shared" si="281"/>
        <v>0</v>
      </c>
      <c r="DT109" s="3">
        <f t="shared" si="282"/>
        <v>0</v>
      </c>
      <c r="DU109" s="3">
        <f t="shared" si="283"/>
        <v>0</v>
      </c>
      <c r="DV109" s="3">
        <f t="shared" si="284"/>
        <v>0</v>
      </c>
      <c r="DW109" s="3">
        <f t="shared" si="285"/>
        <v>0</v>
      </c>
      <c r="DX109" s="3">
        <f t="shared" si="286"/>
        <v>0</v>
      </c>
      <c r="DY109" s="3">
        <f t="shared" si="287"/>
        <v>0</v>
      </c>
      <c r="DZ109" s="3">
        <f t="shared" si="288"/>
        <v>0</v>
      </c>
      <c r="EA109" s="3">
        <f t="shared" si="289"/>
        <v>0</v>
      </c>
      <c r="EB109" s="3" t="s">
        <v>70</v>
      </c>
      <c r="EC109" s="3">
        <f t="shared" si="290"/>
        <v>0</v>
      </c>
      <c r="ED109" s="3" t="s">
        <v>70</v>
      </c>
      <c r="EE109" s="3">
        <f t="shared" si="291"/>
        <v>0</v>
      </c>
      <c r="EF109" s="3">
        <f t="shared" si="292"/>
        <v>0</v>
      </c>
      <c r="EG109" s="3">
        <f t="shared" si="293"/>
        <v>0</v>
      </c>
      <c r="EH109" s="3">
        <f t="shared" si="294"/>
        <v>0</v>
      </c>
      <c r="EI109" s="3">
        <f t="shared" si="295"/>
        <v>0</v>
      </c>
      <c r="EJ109" s="3">
        <f t="shared" si="296"/>
        <v>0</v>
      </c>
      <c r="EK109" s="3">
        <f t="shared" si="297"/>
        <v>0</v>
      </c>
      <c r="EL109" s="24">
        <f t="shared" si="298"/>
        <v>0</v>
      </c>
      <c r="EM109" s="24"/>
      <c r="EN109" s="46">
        <f t="shared" si="299"/>
        <v>0</v>
      </c>
      <c r="EO109" s="46">
        <f t="shared" si="300"/>
        <v>0</v>
      </c>
      <c r="EP109" s="47">
        <f t="shared" si="301"/>
        <v>0</v>
      </c>
      <c r="EQ109" s="3" t="s">
        <v>69</v>
      </c>
      <c r="ER109" s="3">
        <f t="shared" si="302"/>
        <v>0</v>
      </c>
      <c r="ES109" s="3">
        <f t="shared" si="303"/>
        <v>0</v>
      </c>
      <c r="ET109" s="46">
        <f t="shared" si="304"/>
        <v>0</v>
      </c>
      <c r="EU109" s="46">
        <f t="shared" si="305"/>
        <v>0</v>
      </c>
      <c r="EV109" s="46">
        <f t="shared" si="306"/>
        <v>0</v>
      </c>
      <c r="EW109" s="46">
        <f t="shared" si="307"/>
        <v>0</v>
      </c>
      <c r="EX109" s="46">
        <f t="shared" si="308"/>
        <v>0</v>
      </c>
      <c r="EY109" s="46">
        <f t="shared" si="309"/>
        <v>0</v>
      </c>
      <c r="EZ109" s="3">
        <f t="shared" si="310"/>
        <v>0</v>
      </c>
      <c r="FA109" s="3" t="s">
        <v>70</v>
      </c>
      <c r="FB109" s="3">
        <f t="shared" si="311"/>
        <v>0</v>
      </c>
      <c r="FC109" s="3" t="s">
        <v>70</v>
      </c>
      <c r="FD109" s="46">
        <f t="shared" si="312"/>
        <v>0</v>
      </c>
      <c r="FE109" s="46">
        <f t="shared" si="313"/>
        <v>0</v>
      </c>
      <c r="FF109" s="46">
        <f t="shared" si="314"/>
        <v>0</v>
      </c>
      <c r="FG109" s="46">
        <f t="shared" si="315"/>
        <v>0</v>
      </c>
      <c r="FH109" s="46">
        <f t="shared" si="316"/>
        <v>0</v>
      </c>
      <c r="FI109" s="46">
        <f t="shared" si="317"/>
        <v>0</v>
      </c>
      <c r="FJ109" s="3">
        <f t="shared" si="318"/>
        <v>0</v>
      </c>
      <c r="FK109" s="46">
        <f t="shared" si="319"/>
        <v>0</v>
      </c>
      <c r="FM109" s="74">
        <f>EL109+'EXTRALABORAL B '!BH291</f>
        <v>0</v>
      </c>
      <c r="FN109" s="74">
        <f t="shared" si="320"/>
        <v>0</v>
      </c>
    </row>
    <row r="110" spans="1:170">
      <c r="A110" s="3">
        <v>107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3">
        <f t="shared" si="278"/>
        <v>0</v>
      </c>
      <c r="DP110" s="3">
        <f t="shared" si="279"/>
        <v>0</v>
      </c>
      <c r="DQ110" s="3">
        <f t="shared" si="280"/>
        <v>0</v>
      </c>
      <c r="DR110" s="3" t="s">
        <v>69</v>
      </c>
      <c r="DS110" s="3">
        <f t="shared" si="281"/>
        <v>0</v>
      </c>
      <c r="DT110" s="3">
        <f t="shared" si="282"/>
        <v>0</v>
      </c>
      <c r="DU110" s="3">
        <f t="shared" si="283"/>
        <v>0</v>
      </c>
      <c r="DV110" s="3">
        <f t="shared" si="284"/>
        <v>0</v>
      </c>
      <c r="DW110" s="3">
        <f t="shared" si="285"/>
        <v>0</v>
      </c>
      <c r="DX110" s="3">
        <f t="shared" si="286"/>
        <v>0</v>
      </c>
      <c r="DY110" s="3">
        <f t="shared" si="287"/>
        <v>0</v>
      </c>
      <c r="DZ110" s="3">
        <f t="shared" si="288"/>
        <v>0</v>
      </c>
      <c r="EA110" s="3">
        <f t="shared" si="289"/>
        <v>0</v>
      </c>
      <c r="EB110" s="3" t="s">
        <v>70</v>
      </c>
      <c r="EC110" s="3">
        <f t="shared" si="290"/>
        <v>0</v>
      </c>
      <c r="ED110" s="3" t="s">
        <v>70</v>
      </c>
      <c r="EE110" s="3">
        <f t="shared" si="291"/>
        <v>0</v>
      </c>
      <c r="EF110" s="3">
        <f t="shared" si="292"/>
        <v>0</v>
      </c>
      <c r="EG110" s="3">
        <f t="shared" si="293"/>
        <v>0</v>
      </c>
      <c r="EH110" s="3">
        <f t="shared" si="294"/>
        <v>0</v>
      </c>
      <c r="EI110" s="3">
        <f t="shared" si="295"/>
        <v>0</v>
      </c>
      <c r="EJ110" s="3">
        <f t="shared" si="296"/>
        <v>0</v>
      </c>
      <c r="EK110" s="3">
        <f t="shared" si="297"/>
        <v>0</v>
      </c>
      <c r="EL110" s="24">
        <f t="shared" si="298"/>
        <v>0</v>
      </c>
      <c r="EM110" s="24"/>
      <c r="EN110" s="46">
        <f t="shared" si="299"/>
        <v>0</v>
      </c>
      <c r="EO110" s="46">
        <f t="shared" si="300"/>
        <v>0</v>
      </c>
      <c r="EP110" s="47">
        <f t="shared" si="301"/>
        <v>0</v>
      </c>
      <c r="EQ110" s="3" t="s">
        <v>69</v>
      </c>
      <c r="ER110" s="3">
        <f t="shared" si="302"/>
        <v>0</v>
      </c>
      <c r="ES110" s="3">
        <f t="shared" si="303"/>
        <v>0</v>
      </c>
      <c r="ET110" s="46">
        <f t="shared" si="304"/>
        <v>0</v>
      </c>
      <c r="EU110" s="46">
        <f t="shared" si="305"/>
        <v>0</v>
      </c>
      <c r="EV110" s="46">
        <f t="shared" si="306"/>
        <v>0</v>
      </c>
      <c r="EW110" s="46">
        <f t="shared" si="307"/>
        <v>0</v>
      </c>
      <c r="EX110" s="46">
        <f t="shared" si="308"/>
        <v>0</v>
      </c>
      <c r="EY110" s="46">
        <f t="shared" si="309"/>
        <v>0</v>
      </c>
      <c r="EZ110" s="3">
        <f t="shared" si="310"/>
        <v>0</v>
      </c>
      <c r="FA110" s="3" t="s">
        <v>70</v>
      </c>
      <c r="FB110" s="3">
        <f t="shared" si="311"/>
        <v>0</v>
      </c>
      <c r="FC110" s="3" t="s">
        <v>70</v>
      </c>
      <c r="FD110" s="46">
        <f t="shared" si="312"/>
        <v>0</v>
      </c>
      <c r="FE110" s="46">
        <f t="shared" si="313"/>
        <v>0</v>
      </c>
      <c r="FF110" s="46">
        <f t="shared" si="314"/>
        <v>0</v>
      </c>
      <c r="FG110" s="46">
        <f t="shared" si="315"/>
        <v>0</v>
      </c>
      <c r="FH110" s="46">
        <f t="shared" si="316"/>
        <v>0</v>
      </c>
      <c r="FI110" s="46">
        <f t="shared" si="317"/>
        <v>0</v>
      </c>
      <c r="FJ110" s="3">
        <f t="shared" si="318"/>
        <v>0</v>
      </c>
      <c r="FK110" s="46">
        <f t="shared" si="319"/>
        <v>0</v>
      </c>
      <c r="FM110" s="74">
        <f>EL110+'EXTRALABORAL B '!BH292</f>
        <v>0</v>
      </c>
      <c r="FN110" s="74">
        <f t="shared" si="320"/>
        <v>0</v>
      </c>
    </row>
    <row r="111" spans="1:170">
      <c r="A111" s="3">
        <v>108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3">
        <f t="shared" si="278"/>
        <v>0</v>
      </c>
      <c r="DP111" s="3">
        <f t="shared" si="279"/>
        <v>0</v>
      </c>
      <c r="DQ111" s="3">
        <f t="shared" si="280"/>
        <v>0</v>
      </c>
      <c r="DR111" s="3" t="s">
        <v>69</v>
      </c>
      <c r="DS111" s="3">
        <f t="shared" si="281"/>
        <v>0</v>
      </c>
      <c r="DT111" s="3">
        <f t="shared" si="282"/>
        <v>0</v>
      </c>
      <c r="DU111" s="3">
        <f t="shared" si="283"/>
        <v>0</v>
      </c>
      <c r="DV111" s="3">
        <f t="shared" si="284"/>
        <v>0</v>
      </c>
      <c r="DW111" s="3">
        <f t="shared" si="285"/>
        <v>0</v>
      </c>
      <c r="DX111" s="3">
        <f t="shared" si="286"/>
        <v>0</v>
      </c>
      <c r="DY111" s="3">
        <f t="shared" si="287"/>
        <v>0</v>
      </c>
      <c r="DZ111" s="3">
        <f t="shared" si="288"/>
        <v>0</v>
      </c>
      <c r="EA111" s="3">
        <f t="shared" si="289"/>
        <v>0</v>
      </c>
      <c r="EB111" s="3" t="s">
        <v>70</v>
      </c>
      <c r="EC111" s="3">
        <f t="shared" si="290"/>
        <v>0</v>
      </c>
      <c r="ED111" s="3" t="s">
        <v>70</v>
      </c>
      <c r="EE111" s="3">
        <f t="shared" si="291"/>
        <v>0</v>
      </c>
      <c r="EF111" s="3">
        <f t="shared" si="292"/>
        <v>0</v>
      </c>
      <c r="EG111" s="3">
        <f t="shared" si="293"/>
        <v>0</v>
      </c>
      <c r="EH111" s="3">
        <f t="shared" si="294"/>
        <v>0</v>
      </c>
      <c r="EI111" s="3">
        <f t="shared" si="295"/>
        <v>0</v>
      </c>
      <c r="EJ111" s="3">
        <f t="shared" si="296"/>
        <v>0</v>
      </c>
      <c r="EK111" s="3">
        <f t="shared" si="297"/>
        <v>0</v>
      </c>
      <c r="EL111" s="24">
        <f t="shared" si="298"/>
        <v>0</v>
      </c>
      <c r="EM111" s="24"/>
      <c r="EN111" s="46">
        <f t="shared" si="299"/>
        <v>0</v>
      </c>
      <c r="EO111" s="46">
        <f t="shared" si="300"/>
        <v>0</v>
      </c>
      <c r="EP111" s="47">
        <f t="shared" si="301"/>
        <v>0</v>
      </c>
      <c r="EQ111" s="3" t="s">
        <v>69</v>
      </c>
      <c r="ER111" s="3">
        <f t="shared" si="302"/>
        <v>0</v>
      </c>
      <c r="ES111" s="3">
        <f t="shared" si="303"/>
        <v>0</v>
      </c>
      <c r="ET111" s="46">
        <f t="shared" si="304"/>
        <v>0</v>
      </c>
      <c r="EU111" s="46">
        <f t="shared" si="305"/>
        <v>0</v>
      </c>
      <c r="EV111" s="46">
        <f t="shared" si="306"/>
        <v>0</v>
      </c>
      <c r="EW111" s="46">
        <f t="shared" si="307"/>
        <v>0</v>
      </c>
      <c r="EX111" s="46">
        <f t="shared" si="308"/>
        <v>0</v>
      </c>
      <c r="EY111" s="46">
        <f t="shared" si="309"/>
        <v>0</v>
      </c>
      <c r="EZ111" s="3">
        <f t="shared" si="310"/>
        <v>0</v>
      </c>
      <c r="FA111" s="3" t="s">
        <v>70</v>
      </c>
      <c r="FB111" s="3">
        <f t="shared" si="311"/>
        <v>0</v>
      </c>
      <c r="FC111" s="3" t="s">
        <v>70</v>
      </c>
      <c r="FD111" s="46">
        <f t="shared" si="312"/>
        <v>0</v>
      </c>
      <c r="FE111" s="46">
        <f t="shared" si="313"/>
        <v>0</v>
      </c>
      <c r="FF111" s="46">
        <f t="shared" si="314"/>
        <v>0</v>
      </c>
      <c r="FG111" s="46">
        <f t="shared" si="315"/>
        <v>0</v>
      </c>
      <c r="FH111" s="46">
        <f t="shared" si="316"/>
        <v>0</v>
      </c>
      <c r="FI111" s="46">
        <f t="shared" si="317"/>
        <v>0</v>
      </c>
      <c r="FJ111" s="3">
        <f t="shared" si="318"/>
        <v>0</v>
      </c>
      <c r="FK111" s="46">
        <f t="shared" si="319"/>
        <v>0</v>
      </c>
      <c r="FM111" s="74">
        <f>EL111+'EXTRALABORAL B '!BH293</f>
        <v>0</v>
      </c>
      <c r="FN111" s="74">
        <f t="shared" si="320"/>
        <v>0</v>
      </c>
    </row>
    <row r="112" spans="1:170">
      <c r="A112" s="3">
        <v>109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3">
        <f t="shared" si="278"/>
        <v>0</v>
      </c>
      <c r="DP112" s="3">
        <f t="shared" si="279"/>
        <v>0</v>
      </c>
      <c r="DQ112" s="3">
        <f t="shared" si="280"/>
        <v>0</v>
      </c>
      <c r="DR112" s="3" t="s">
        <v>69</v>
      </c>
      <c r="DS112" s="3">
        <f t="shared" si="281"/>
        <v>0</v>
      </c>
      <c r="DT112" s="3">
        <f t="shared" si="282"/>
        <v>0</v>
      </c>
      <c r="DU112" s="3">
        <f t="shared" si="283"/>
        <v>0</v>
      </c>
      <c r="DV112" s="3">
        <f t="shared" si="284"/>
        <v>0</v>
      </c>
      <c r="DW112" s="3">
        <f t="shared" si="285"/>
        <v>0</v>
      </c>
      <c r="DX112" s="3">
        <f t="shared" si="286"/>
        <v>0</v>
      </c>
      <c r="DY112" s="3">
        <f t="shared" si="287"/>
        <v>0</v>
      </c>
      <c r="DZ112" s="3">
        <f t="shared" si="288"/>
        <v>0</v>
      </c>
      <c r="EA112" s="3">
        <f t="shared" si="289"/>
        <v>0</v>
      </c>
      <c r="EB112" s="3" t="s">
        <v>70</v>
      </c>
      <c r="EC112" s="3">
        <f t="shared" si="290"/>
        <v>0</v>
      </c>
      <c r="ED112" s="3" t="s">
        <v>70</v>
      </c>
      <c r="EE112" s="3">
        <f t="shared" si="291"/>
        <v>0</v>
      </c>
      <c r="EF112" s="3">
        <f t="shared" si="292"/>
        <v>0</v>
      </c>
      <c r="EG112" s="3">
        <f t="shared" si="293"/>
        <v>0</v>
      </c>
      <c r="EH112" s="3">
        <f t="shared" si="294"/>
        <v>0</v>
      </c>
      <c r="EI112" s="3">
        <f t="shared" si="295"/>
        <v>0</v>
      </c>
      <c r="EJ112" s="3">
        <f t="shared" si="296"/>
        <v>0</v>
      </c>
      <c r="EK112" s="3">
        <f t="shared" si="297"/>
        <v>0</v>
      </c>
      <c r="EL112" s="24">
        <f t="shared" si="298"/>
        <v>0</v>
      </c>
      <c r="EM112" s="24"/>
      <c r="EN112" s="46">
        <f t="shared" si="299"/>
        <v>0</v>
      </c>
      <c r="EO112" s="46">
        <f t="shared" si="300"/>
        <v>0</v>
      </c>
      <c r="EP112" s="47">
        <f t="shared" si="301"/>
        <v>0</v>
      </c>
      <c r="EQ112" s="3" t="s">
        <v>69</v>
      </c>
      <c r="ER112" s="3">
        <f t="shared" si="302"/>
        <v>0</v>
      </c>
      <c r="ES112" s="3">
        <f t="shared" si="303"/>
        <v>0</v>
      </c>
      <c r="ET112" s="46">
        <f t="shared" si="304"/>
        <v>0</v>
      </c>
      <c r="EU112" s="46">
        <f t="shared" si="305"/>
        <v>0</v>
      </c>
      <c r="EV112" s="46">
        <f t="shared" si="306"/>
        <v>0</v>
      </c>
      <c r="EW112" s="46">
        <f t="shared" si="307"/>
        <v>0</v>
      </c>
      <c r="EX112" s="46">
        <f t="shared" si="308"/>
        <v>0</v>
      </c>
      <c r="EY112" s="46">
        <f t="shared" si="309"/>
        <v>0</v>
      </c>
      <c r="EZ112" s="3">
        <f t="shared" si="310"/>
        <v>0</v>
      </c>
      <c r="FA112" s="3" t="s">
        <v>70</v>
      </c>
      <c r="FB112" s="3">
        <f t="shared" si="311"/>
        <v>0</v>
      </c>
      <c r="FC112" s="3" t="s">
        <v>70</v>
      </c>
      <c r="FD112" s="46">
        <f t="shared" si="312"/>
        <v>0</v>
      </c>
      <c r="FE112" s="46">
        <f t="shared" si="313"/>
        <v>0</v>
      </c>
      <c r="FF112" s="46">
        <f t="shared" si="314"/>
        <v>0</v>
      </c>
      <c r="FG112" s="46">
        <f t="shared" si="315"/>
        <v>0</v>
      </c>
      <c r="FH112" s="46">
        <f t="shared" si="316"/>
        <v>0</v>
      </c>
      <c r="FI112" s="46">
        <f t="shared" si="317"/>
        <v>0</v>
      </c>
      <c r="FJ112" s="3">
        <f t="shared" si="318"/>
        <v>0</v>
      </c>
      <c r="FK112" s="46">
        <f t="shared" si="319"/>
        <v>0</v>
      </c>
      <c r="FM112" s="74">
        <f>EL112+'EXTRALABORAL B '!BH295</f>
        <v>0</v>
      </c>
      <c r="FN112" s="74">
        <f t="shared" si="320"/>
        <v>0</v>
      </c>
    </row>
    <row r="113" spans="1:170">
      <c r="A113" s="92">
        <v>110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3">
        <f t="shared" si="278"/>
        <v>0</v>
      </c>
      <c r="DP113" s="3">
        <f t="shared" si="279"/>
        <v>0</v>
      </c>
      <c r="DQ113" s="3">
        <f t="shared" si="280"/>
        <v>0</v>
      </c>
      <c r="DR113" s="3" t="s">
        <v>69</v>
      </c>
      <c r="DS113" s="3">
        <f t="shared" si="281"/>
        <v>0</v>
      </c>
      <c r="DT113" s="3">
        <f t="shared" si="282"/>
        <v>0</v>
      </c>
      <c r="DU113" s="3">
        <f t="shared" si="283"/>
        <v>0</v>
      </c>
      <c r="DV113" s="3">
        <f t="shared" si="284"/>
        <v>0</v>
      </c>
      <c r="DW113" s="3">
        <f t="shared" si="285"/>
        <v>0</v>
      </c>
      <c r="DX113" s="3">
        <f t="shared" si="286"/>
        <v>0</v>
      </c>
      <c r="DY113" s="3">
        <f t="shared" si="287"/>
        <v>0</v>
      </c>
      <c r="DZ113" s="3">
        <f t="shared" si="288"/>
        <v>0</v>
      </c>
      <c r="EA113" s="3">
        <f t="shared" si="289"/>
        <v>0</v>
      </c>
      <c r="EB113" s="3" t="s">
        <v>70</v>
      </c>
      <c r="EC113" s="3">
        <f t="shared" si="290"/>
        <v>0</v>
      </c>
      <c r="ED113" s="3" t="s">
        <v>70</v>
      </c>
      <c r="EE113" s="3">
        <f t="shared" si="291"/>
        <v>0</v>
      </c>
      <c r="EF113" s="3">
        <f t="shared" si="292"/>
        <v>0</v>
      </c>
      <c r="EG113" s="3">
        <f t="shared" si="293"/>
        <v>0</v>
      </c>
      <c r="EH113" s="3">
        <f t="shared" si="294"/>
        <v>0</v>
      </c>
      <c r="EI113" s="3">
        <f t="shared" si="295"/>
        <v>0</v>
      </c>
      <c r="EJ113" s="3">
        <f t="shared" si="296"/>
        <v>0</v>
      </c>
      <c r="EK113" s="3">
        <f t="shared" si="297"/>
        <v>0</v>
      </c>
      <c r="EL113" s="24">
        <f t="shared" si="298"/>
        <v>0</v>
      </c>
      <c r="EM113" s="24"/>
      <c r="EN113" s="46">
        <f t="shared" si="299"/>
        <v>0</v>
      </c>
      <c r="EO113" s="46">
        <f t="shared" si="300"/>
        <v>0</v>
      </c>
      <c r="EP113" s="47">
        <f t="shared" si="301"/>
        <v>0</v>
      </c>
      <c r="EQ113" s="3" t="s">
        <v>69</v>
      </c>
      <c r="ER113" s="3">
        <f t="shared" si="302"/>
        <v>0</v>
      </c>
      <c r="ES113" s="3">
        <f t="shared" si="303"/>
        <v>0</v>
      </c>
      <c r="ET113" s="46">
        <f t="shared" si="304"/>
        <v>0</v>
      </c>
      <c r="EU113" s="46">
        <f t="shared" si="305"/>
        <v>0</v>
      </c>
      <c r="EV113" s="46">
        <f t="shared" si="306"/>
        <v>0</v>
      </c>
      <c r="EW113" s="46">
        <f t="shared" si="307"/>
        <v>0</v>
      </c>
      <c r="EX113" s="46">
        <f t="shared" si="308"/>
        <v>0</v>
      </c>
      <c r="EY113" s="46">
        <f t="shared" si="309"/>
        <v>0</v>
      </c>
      <c r="EZ113" s="3">
        <f t="shared" si="310"/>
        <v>0</v>
      </c>
      <c r="FA113" s="3" t="s">
        <v>70</v>
      </c>
      <c r="FB113" s="3">
        <f t="shared" si="311"/>
        <v>0</v>
      </c>
      <c r="FC113" s="3" t="s">
        <v>70</v>
      </c>
      <c r="FD113" s="46">
        <f t="shared" si="312"/>
        <v>0</v>
      </c>
      <c r="FE113" s="46">
        <f t="shared" si="313"/>
        <v>0</v>
      </c>
      <c r="FF113" s="46">
        <f t="shared" si="314"/>
        <v>0</v>
      </c>
      <c r="FG113" s="46">
        <f t="shared" si="315"/>
        <v>0</v>
      </c>
      <c r="FH113" s="46">
        <f t="shared" si="316"/>
        <v>0</v>
      </c>
      <c r="FI113" s="46">
        <f t="shared" si="317"/>
        <v>0</v>
      </c>
      <c r="FJ113" s="3">
        <f t="shared" si="318"/>
        <v>0</v>
      </c>
      <c r="FK113" s="46">
        <f t="shared" si="319"/>
        <v>0</v>
      </c>
      <c r="FM113" s="74">
        <f>EL113+'EXTRALABORAL B '!BH296</f>
        <v>0</v>
      </c>
      <c r="FN113" s="74">
        <f t="shared" si="320"/>
        <v>0</v>
      </c>
    </row>
    <row r="114" spans="1:170">
      <c r="A114" s="3">
        <v>111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3">
        <f t="shared" si="278"/>
        <v>0</v>
      </c>
      <c r="DP114" s="3">
        <f t="shared" si="279"/>
        <v>0</v>
      </c>
      <c r="DQ114" s="3">
        <f t="shared" si="280"/>
        <v>0</v>
      </c>
      <c r="DR114" s="3" t="s">
        <v>69</v>
      </c>
      <c r="DS114" s="3">
        <f t="shared" si="281"/>
        <v>0</v>
      </c>
      <c r="DT114" s="3">
        <f t="shared" si="282"/>
        <v>0</v>
      </c>
      <c r="DU114" s="3">
        <f t="shared" si="283"/>
        <v>0</v>
      </c>
      <c r="DV114" s="3">
        <f t="shared" si="284"/>
        <v>0</v>
      </c>
      <c r="DW114" s="3">
        <f t="shared" si="285"/>
        <v>0</v>
      </c>
      <c r="DX114" s="3">
        <f t="shared" si="286"/>
        <v>0</v>
      </c>
      <c r="DY114" s="3">
        <f t="shared" si="287"/>
        <v>0</v>
      </c>
      <c r="DZ114" s="3">
        <f t="shared" si="288"/>
        <v>0</v>
      </c>
      <c r="EA114" s="3">
        <f t="shared" si="289"/>
        <v>0</v>
      </c>
      <c r="EB114" s="3" t="s">
        <v>70</v>
      </c>
      <c r="EC114" s="3">
        <f t="shared" si="290"/>
        <v>0</v>
      </c>
      <c r="ED114" s="3" t="s">
        <v>70</v>
      </c>
      <c r="EE114" s="3">
        <f t="shared" si="291"/>
        <v>0</v>
      </c>
      <c r="EF114" s="3">
        <f t="shared" si="292"/>
        <v>0</v>
      </c>
      <c r="EG114" s="3">
        <f t="shared" si="293"/>
        <v>0</v>
      </c>
      <c r="EH114" s="3">
        <f t="shared" si="294"/>
        <v>0</v>
      </c>
      <c r="EI114" s="3">
        <f t="shared" si="295"/>
        <v>0</v>
      </c>
      <c r="EJ114" s="3">
        <f t="shared" si="296"/>
        <v>0</v>
      </c>
      <c r="EK114" s="3">
        <f t="shared" si="297"/>
        <v>0</v>
      </c>
      <c r="EL114" s="24">
        <f t="shared" si="298"/>
        <v>0</v>
      </c>
      <c r="EM114" s="24"/>
      <c r="EN114" s="46">
        <f t="shared" si="299"/>
        <v>0</v>
      </c>
      <c r="EO114" s="46">
        <f t="shared" si="300"/>
        <v>0</v>
      </c>
      <c r="EP114" s="47">
        <f t="shared" si="301"/>
        <v>0</v>
      </c>
      <c r="EQ114" s="3" t="s">
        <v>69</v>
      </c>
      <c r="ER114" s="3">
        <f t="shared" si="302"/>
        <v>0</v>
      </c>
      <c r="ES114" s="3">
        <f t="shared" si="303"/>
        <v>0</v>
      </c>
      <c r="ET114" s="46">
        <f t="shared" si="304"/>
        <v>0</v>
      </c>
      <c r="EU114" s="46">
        <f t="shared" si="305"/>
        <v>0</v>
      </c>
      <c r="EV114" s="46">
        <f t="shared" si="306"/>
        <v>0</v>
      </c>
      <c r="EW114" s="46">
        <f t="shared" si="307"/>
        <v>0</v>
      </c>
      <c r="EX114" s="46">
        <f t="shared" si="308"/>
        <v>0</v>
      </c>
      <c r="EY114" s="46">
        <f t="shared" si="309"/>
        <v>0</v>
      </c>
      <c r="EZ114" s="3">
        <f t="shared" si="310"/>
        <v>0</v>
      </c>
      <c r="FA114" s="3" t="s">
        <v>70</v>
      </c>
      <c r="FB114" s="3">
        <f t="shared" si="311"/>
        <v>0</v>
      </c>
      <c r="FC114" s="3" t="s">
        <v>70</v>
      </c>
      <c r="FD114" s="46">
        <f t="shared" si="312"/>
        <v>0</v>
      </c>
      <c r="FE114" s="46">
        <f t="shared" si="313"/>
        <v>0</v>
      </c>
      <c r="FF114" s="46">
        <f t="shared" si="314"/>
        <v>0</v>
      </c>
      <c r="FG114" s="46">
        <f t="shared" si="315"/>
        <v>0</v>
      </c>
      <c r="FH114" s="46">
        <f t="shared" si="316"/>
        <v>0</v>
      </c>
      <c r="FI114" s="46">
        <f t="shared" si="317"/>
        <v>0</v>
      </c>
      <c r="FJ114" s="3">
        <f t="shared" si="318"/>
        <v>0</v>
      </c>
      <c r="FK114" s="46">
        <f t="shared" si="319"/>
        <v>0</v>
      </c>
      <c r="FM114" s="74">
        <f>EL114+'EXTRALABORAL B '!BH297</f>
        <v>0</v>
      </c>
      <c r="FN114" s="74">
        <f t="shared" si="320"/>
        <v>0</v>
      </c>
    </row>
    <row r="115" spans="1:170">
      <c r="A115" s="3">
        <v>112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3">
        <f t="shared" ref="DO115:DO178" si="321">+SUM(BR115:CD115)</f>
        <v>0</v>
      </c>
      <c r="DP115" s="3">
        <f t="shared" ref="DP115:DP178" si="322">+SUM(CE115:CP115)</f>
        <v>0</v>
      </c>
      <c r="DQ115" s="3">
        <f t="shared" ref="DQ115:DQ178" si="323">+SUM(CQ115:CU115)</f>
        <v>0</v>
      </c>
      <c r="DR115" s="3" t="s">
        <v>69</v>
      </c>
      <c r="DS115" s="3">
        <f t="shared" ref="DS115:DS178" si="324">+SUM(BJ115:BN115)</f>
        <v>0</v>
      </c>
      <c r="DT115" s="3">
        <f t="shared" ref="DT115:DT178" si="325">+SUM(BO115:BQ115)</f>
        <v>0</v>
      </c>
      <c r="DU115" s="3">
        <f t="shared" ref="DU115:DU178" si="326">+SUM(BG115:BI115)</f>
        <v>0</v>
      </c>
      <c r="DV115" s="3">
        <f t="shared" ref="DV115:DV178" si="327">+SUM(AX115:BA115)</f>
        <v>0</v>
      </c>
      <c r="DW115" s="3">
        <f t="shared" ref="DW115:DW178" si="328">+SUM(BC115:BE115)</f>
        <v>0</v>
      </c>
      <c r="DX115" s="3">
        <f t="shared" ref="DX115:DX178" si="329">+SUM(V115:AG115)</f>
        <v>0</v>
      </c>
      <c r="DY115" s="3">
        <f t="shared" ref="DY115:DY178" si="330">+SUM(DF115:DN115)</f>
        <v>0</v>
      </c>
      <c r="DZ115" s="3">
        <f t="shared" ref="DZ115:DZ178" si="331">+SUM(AH115:AJ115)</f>
        <v>0</v>
      </c>
      <c r="EA115" s="3">
        <f t="shared" ref="EA115:EA178" si="332">+SUM(AT115:AW115)</f>
        <v>0</v>
      </c>
      <c r="EB115" s="3" t="s">
        <v>70</v>
      </c>
      <c r="EC115" s="3">
        <f t="shared" ref="EC115:EC178" si="333">+SUM(AK115:AO115)</f>
        <v>0</v>
      </c>
      <c r="ED115" s="3" t="s">
        <v>70</v>
      </c>
      <c r="EE115" s="3">
        <f t="shared" ref="EE115:EE178" si="334">+SUM(AP115+AQ115+AR115+AS115+BB115+BF115)</f>
        <v>0</v>
      </c>
      <c r="EF115" s="3">
        <f t="shared" ref="EF115:EF178" si="335">+SUM(DB115:DE115)</f>
        <v>0</v>
      </c>
      <c r="EG115" s="3">
        <f t="shared" ref="EG115:EG178" si="336">+SUM(CV115:DA115)</f>
        <v>0</v>
      </c>
      <c r="EH115" s="3">
        <f t="shared" ref="EH115:EH178" si="337">+SUM(DO115:DQ115)</f>
        <v>0</v>
      </c>
      <c r="EI115" s="3">
        <f t="shared" ref="EI115:EI178" si="338">+SUM(DS115:DW115)</f>
        <v>0</v>
      </c>
      <c r="EJ115" s="3">
        <f t="shared" ref="EJ115:EJ178" si="339">+SUM(DX115:EE115)</f>
        <v>0</v>
      </c>
      <c r="EK115" s="3">
        <f t="shared" ref="EK115:EK178" si="340">+SUM(EF115:EG115)</f>
        <v>0</v>
      </c>
      <c r="EL115" s="24">
        <f t="shared" ref="EL115:EL178" si="341">+SUM(EH115:EK115)</f>
        <v>0</v>
      </c>
      <c r="EM115" s="24"/>
      <c r="EN115" s="46">
        <f t="shared" ref="EN115:EN178" si="342">+SUM(DO115/52)*100</f>
        <v>0</v>
      </c>
      <c r="EO115" s="46">
        <f t="shared" ref="EO115:EO178" si="343">+SUM(DP115/48)*100</f>
        <v>0</v>
      </c>
      <c r="EP115" s="47">
        <f t="shared" ref="EP115:EP178" si="344">+SUM(DQ115/20)*100</f>
        <v>0</v>
      </c>
      <c r="EQ115" s="3" t="s">
        <v>69</v>
      </c>
      <c r="ER115" s="3">
        <f t="shared" ref="ER115:ER178" si="345">+SUM(DS115/20)*100</f>
        <v>0</v>
      </c>
      <c r="ES115" s="3">
        <f t="shared" ref="ES115:ES178" si="346">+SUM(DT115/12)*100</f>
        <v>0</v>
      </c>
      <c r="ET115" s="46">
        <f t="shared" ref="ET115:ET178" si="347">+SUM(DU115/12)*100</f>
        <v>0</v>
      </c>
      <c r="EU115" s="46">
        <f t="shared" ref="EU115:EU178" si="348">+SUM(DV115/16)*100</f>
        <v>0</v>
      </c>
      <c r="EV115" s="46">
        <f t="shared" ref="EV115:EV178" si="349">+SUM(DW115/12)*100</f>
        <v>0</v>
      </c>
      <c r="EW115" s="46">
        <f t="shared" ref="EW115:EW178" si="350">+SUM(DX115/48)*100</f>
        <v>0</v>
      </c>
      <c r="EX115" s="46">
        <f t="shared" ref="EX115:EX178" si="351">+SUM(DY115/36)*100</f>
        <v>0</v>
      </c>
      <c r="EY115" s="46">
        <f t="shared" ref="EY115:EY178" si="352">+SUM(DZ115/12)*100</f>
        <v>0</v>
      </c>
      <c r="EZ115" s="3">
        <f t="shared" ref="EZ115:EZ178" si="353">+SUM(EA115/16)*100</f>
        <v>0</v>
      </c>
      <c r="FA115" s="3" t="s">
        <v>70</v>
      </c>
      <c r="FB115" s="3">
        <f t="shared" ref="FB115:FB178" si="354">+SUM(EC115/20)*100</f>
        <v>0</v>
      </c>
      <c r="FC115" s="3" t="s">
        <v>70</v>
      </c>
      <c r="FD115" s="46">
        <f t="shared" ref="FD115:FD178" si="355">+SUM(EE115/24)*100</f>
        <v>0</v>
      </c>
      <c r="FE115" s="46">
        <f t="shared" ref="FE115:FE178" si="356">+SUM(EF115/16)*100</f>
        <v>0</v>
      </c>
      <c r="FF115" s="46">
        <f t="shared" ref="FF115:FF178" si="357">+SUM(EG115/24)*100</f>
        <v>0</v>
      </c>
      <c r="FG115" s="46">
        <f t="shared" ref="FG115:FG178" si="358">+SUM(EH115/120)*100</f>
        <v>0</v>
      </c>
      <c r="FH115" s="46">
        <f t="shared" ref="FH115:FH178" si="359">+SUM(EI115/72)*100</f>
        <v>0</v>
      </c>
      <c r="FI115" s="46">
        <f t="shared" ref="FI115:FI178" si="360">+SUM(EJ115/156)*100</f>
        <v>0</v>
      </c>
      <c r="FJ115" s="3">
        <f t="shared" ref="FJ115:FJ178" si="361">+SUM(EK115/40)*100</f>
        <v>0</v>
      </c>
      <c r="FK115" s="46">
        <f t="shared" ref="FK115:FK178" si="362">+SUM(EL115/388)*100</f>
        <v>0</v>
      </c>
      <c r="FM115" s="74">
        <f>EL115+'EXTRALABORAL B '!BH298</f>
        <v>0</v>
      </c>
      <c r="FN115" s="74">
        <f t="shared" ref="FN115:FN178" si="363">+(FM115/512)*100</f>
        <v>0</v>
      </c>
    </row>
    <row r="116" spans="1:170">
      <c r="A116" s="3">
        <v>113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3">
        <f t="shared" si="321"/>
        <v>0</v>
      </c>
      <c r="DP116" s="3">
        <f t="shared" si="322"/>
        <v>0</v>
      </c>
      <c r="DQ116" s="3">
        <f t="shared" si="323"/>
        <v>0</v>
      </c>
      <c r="DR116" s="3" t="s">
        <v>69</v>
      </c>
      <c r="DS116" s="3">
        <f t="shared" si="324"/>
        <v>0</v>
      </c>
      <c r="DT116" s="3">
        <f t="shared" si="325"/>
        <v>0</v>
      </c>
      <c r="DU116" s="3">
        <f t="shared" si="326"/>
        <v>0</v>
      </c>
      <c r="DV116" s="3">
        <f t="shared" si="327"/>
        <v>0</v>
      </c>
      <c r="DW116" s="3">
        <f t="shared" si="328"/>
        <v>0</v>
      </c>
      <c r="DX116" s="3">
        <f t="shared" si="329"/>
        <v>0</v>
      </c>
      <c r="DY116" s="3">
        <f t="shared" si="330"/>
        <v>0</v>
      </c>
      <c r="DZ116" s="3">
        <f t="shared" si="331"/>
        <v>0</v>
      </c>
      <c r="EA116" s="3">
        <f t="shared" si="332"/>
        <v>0</v>
      </c>
      <c r="EB116" s="3" t="s">
        <v>70</v>
      </c>
      <c r="EC116" s="3">
        <f t="shared" si="333"/>
        <v>0</v>
      </c>
      <c r="ED116" s="3" t="s">
        <v>70</v>
      </c>
      <c r="EE116" s="3">
        <f t="shared" si="334"/>
        <v>0</v>
      </c>
      <c r="EF116" s="3">
        <f t="shared" si="335"/>
        <v>0</v>
      </c>
      <c r="EG116" s="3">
        <f t="shared" si="336"/>
        <v>0</v>
      </c>
      <c r="EH116" s="3">
        <f t="shared" si="337"/>
        <v>0</v>
      </c>
      <c r="EI116" s="3">
        <f t="shared" si="338"/>
        <v>0</v>
      </c>
      <c r="EJ116" s="3">
        <f t="shared" si="339"/>
        <v>0</v>
      </c>
      <c r="EK116" s="3">
        <f t="shared" si="340"/>
        <v>0</v>
      </c>
      <c r="EL116" s="24">
        <f t="shared" si="341"/>
        <v>0</v>
      </c>
      <c r="EM116" s="24"/>
      <c r="EN116" s="46">
        <f t="shared" si="342"/>
        <v>0</v>
      </c>
      <c r="EO116" s="46">
        <f t="shared" si="343"/>
        <v>0</v>
      </c>
      <c r="EP116" s="47">
        <f t="shared" si="344"/>
        <v>0</v>
      </c>
      <c r="EQ116" s="3" t="s">
        <v>69</v>
      </c>
      <c r="ER116" s="3">
        <f t="shared" si="345"/>
        <v>0</v>
      </c>
      <c r="ES116" s="3">
        <f t="shared" si="346"/>
        <v>0</v>
      </c>
      <c r="ET116" s="46">
        <f t="shared" si="347"/>
        <v>0</v>
      </c>
      <c r="EU116" s="46">
        <f t="shared" si="348"/>
        <v>0</v>
      </c>
      <c r="EV116" s="46">
        <f t="shared" si="349"/>
        <v>0</v>
      </c>
      <c r="EW116" s="46">
        <f t="shared" si="350"/>
        <v>0</v>
      </c>
      <c r="EX116" s="46">
        <f t="shared" si="351"/>
        <v>0</v>
      </c>
      <c r="EY116" s="46">
        <f t="shared" si="352"/>
        <v>0</v>
      </c>
      <c r="EZ116" s="3">
        <f t="shared" si="353"/>
        <v>0</v>
      </c>
      <c r="FA116" s="3" t="s">
        <v>70</v>
      </c>
      <c r="FB116" s="3">
        <f t="shared" si="354"/>
        <v>0</v>
      </c>
      <c r="FC116" s="3" t="s">
        <v>70</v>
      </c>
      <c r="FD116" s="46">
        <f t="shared" si="355"/>
        <v>0</v>
      </c>
      <c r="FE116" s="46">
        <f t="shared" si="356"/>
        <v>0</v>
      </c>
      <c r="FF116" s="46">
        <f t="shared" si="357"/>
        <v>0</v>
      </c>
      <c r="FG116" s="46">
        <f t="shared" si="358"/>
        <v>0</v>
      </c>
      <c r="FH116" s="46">
        <f t="shared" si="359"/>
        <v>0</v>
      </c>
      <c r="FI116" s="46">
        <f t="shared" si="360"/>
        <v>0</v>
      </c>
      <c r="FJ116" s="3">
        <f t="shared" si="361"/>
        <v>0</v>
      </c>
      <c r="FK116" s="46">
        <f t="shared" si="362"/>
        <v>0</v>
      </c>
      <c r="FM116" s="74">
        <f>EL116+'EXTRALABORAL B '!BH299</f>
        <v>0</v>
      </c>
      <c r="FN116" s="74">
        <f t="shared" si="363"/>
        <v>0</v>
      </c>
    </row>
    <row r="117" spans="1:170">
      <c r="A117" s="3">
        <v>114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3">
        <f t="shared" si="321"/>
        <v>0</v>
      </c>
      <c r="DP117" s="3">
        <f t="shared" si="322"/>
        <v>0</v>
      </c>
      <c r="DQ117" s="3">
        <f t="shared" si="323"/>
        <v>0</v>
      </c>
      <c r="DR117" s="3" t="s">
        <v>69</v>
      </c>
      <c r="DS117" s="3">
        <f t="shared" si="324"/>
        <v>0</v>
      </c>
      <c r="DT117" s="3">
        <f t="shared" si="325"/>
        <v>0</v>
      </c>
      <c r="DU117" s="3">
        <f t="shared" si="326"/>
        <v>0</v>
      </c>
      <c r="DV117" s="3">
        <f t="shared" si="327"/>
        <v>0</v>
      </c>
      <c r="DW117" s="3">
        <f t="shared" si="328"/>
        <v>0</v>
      </c>
      <c r="DX117" s="3">
        <f t="shared" si="329"/>
        <v>0</v>
      </c>
      <c r="DY117" s="3">
        <f t="shared" si="330"/>
        <v>0</v>
      </c>
      <c r="DZ117" s="3">
        <f t="shared" si="331"/>
        <v>0</v>
      </c>
      <c r="EA117" s="3">
        <f t="shared" si="332"/>
        <v>0</v>
      </c>
      <c r="EB117" s="3" t="s">
        <v>70</v>
      </c>
      <c r="EC117" s="3">
        <f t="shared" si="333"/>
        <v>0</v>
      </c>
      <c r="ED117" s="3" t="s">
        <v>70</v>
      </c>
      <c r="EE117" s="3">
        <f t="shared" si="334"/>
        <v>0</v>
      </c>
      <c r="EF117" s="3">
        <f t="shared" si="335"/>
        <v>0</v>
      </c>
      <c r="EG117" s="3">
        <f t="shared" si="336"/>
        <v>0</v>
      </c>
      <c r="EH117" s="3">
        <f t="shared" si="337"/>
        <v>0</v>
      </c>
      <c r="EI117" s="3">
        <f t="shared" si="338"/>
        <v>0</v>
      </c>
      <c r="EJ117" s="3">
        <f t="shared" si="339"/>
        <v>0</v>
      </c>
      <c r="EK117" s="3">
        <f t="shared" si="340"/>
        <v>0</v>
      </c>
      <c r="EL117" s="24">
        <f t="shared" si="341"/>
        <v>0</v>
      </c>
      <c r="EM117" s="24"/>
      <c r="EN117" s="46">
        <f t="shared" si="342"/>
        <v>0</v>
      </c>
      <c r="EO117" s="46">
        <f t="shared" si="343"/>
        <v>0</v>
      </c>
      <c r="EP117" s="47">
        <f t="shared" si="344"/>
        <v>0</v>
      </c>
      <c r="EQ117" s="3" t="s">
        <v>69</v>
      </c>
      <c r="ER117" s="3">
        <f t="shared" si="345"/>
        <v>0</v>
      </c>
      <c r="ES117" s="3">
        <f t="shared" si="346"/>
        <v>0</v>
      </c>
      <c r="ET117" s="46">
        <f t="shared" si="347"/>
        <v>0</v>
      </c>
      <c r="EU117" s="46">
        <f t="shared" si="348"/>
        <v>0</v>
      </c>
      <c r="EV117" s="46">
        <f t="shared" si="349"/>
        <v>0</v>
      </c>
      <c r="EW117" s="46">
        <f t="shared" si="350"/>
        <v>0</v>
      </c>
      <c r="EX117" s="46">
        <f t="shared" si="351"/>
        <v>0</v>
      </c>
      <c r="EY117" s="46">
        <f t="shared" si="352"/>
        <v>0</v>
      </c>
      <c r="EZ117" s="3">
        <f t="shared" si="353"/>
        <v>0</v>
      </c>
      <c r="FA117" s="3" t="s">
        <v>70</v>
      </c>
      <c r="FB117" s="3">
        <f t="shared" si="354"/>
        <v>0</v>
      </c>
      <c r="FC117" s="3" t="s">
        <v>70</v>
      </c>
      <c r="FD117" s="46">
        <f t="shared" si="355"/>
        <v>0</v>
      </c>
      <c r="FE117" s="46">
        <f t="shared" si="356"/>
        <v>0</v>
      </c>
      <c r="FF117" s="46">
        <f t="shared" si="357"/>
        <v>0</v>
      </c>
      <c r="FG117" s="46">
        <f t="shared" si="358"/>
        <v>0</v>
      </c>
      <c r="FH117" s="46">
        <f t="shared" si="359"/>
        <v>0</v>
      </c>
      <c r="FI117" s="46">
        <f t="shared" si="360"/>
        <v>0</v>
      </c>
      <c r="FJ117" s="3">
        <f t="shared" si="361"/>
        <v>0</v>
      </c>
      <c r="FK117" s="46">
        <f t="shared" si="362"/>
        <v>0</v>
      </c>
      <c r="FM117" s="74">
        <f>EL117+'EXTRALABORAL B '!BH300</f>
        <v>0</v>
      </c>
      <c r="FN117" s="74">
        <f t="shared" si="363"/>
        <v>0</v>
      </c>
    </row>
    <row r="118" spans="1:170">
      <c r="A118" s="3">
        <v>115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3">
        <f t="shared" si="321"/>
        <v>0</v>
      </c>
      <c r="DP118" s="3">
        <f t="shared" si="322"/>
        <v>0</v>
      </c>
      <c r="DQ118" s="3">
        <f t="shared" si="323"/>
        <v>0</v>
      </c>
      <c r="DR118" s="3" t="s">
        <v>69</v>
      </c>
      <c r="DS118" s="3">
        <f t="shared" si="324"/>
        <v>0</v>
      </c>
      <c r="DT118" s="3">
        <f t="shared" si="325"/>
        <v>0</v>
      </c>
      <c r="DU118" s="3">
        <f t="shared" si="326"/>
        <v>0</v>
      </c>
      <c r="DV118" s="3">
        <f t="shared" si="327"/>
        <v>0</v>
      </c>
      <c r="DW118" s="3">
        <f t="shared" si="328"/>
        <v>0</v>
      </c>
      <c r="DX118" s="3">
        <f t="shared" si="329"/>
        <v>0</v>
      </c>
      <c r="DY118" s="3">
        <f t="shared" si="330"/>
        <v>0</v>
      </c>
      <c r="DZ118" s="3">
        <f t="shared" si="331"/>
        <v>0</v>
      </c>
      <c r="EA118" s="3">
        <f t="shared" si="332"/>
        <v>0</v>
      </c>
      <c r="EB118" s="3" t="s">
        <v>70</v>
      </c>
      <c r="EC118" s="3">
        <f t="shared" si="333"/>
        <v>0</v>
      </c>
      <c r="ED118" s="3" t="s">
        <v>70</v>
      </c>
      <c r="EE118" s="3">
        <f t="shared" si="334"/>
        <v>0</v>
      </c>
      <c r="EF118" s="3">
        <f t="shared" si="335"/>
        <v>0</v>
      </c>
      <c r="EG118" s="3">
        <f t="shared" si="336"/>
        <v>0</v>
      </c>
      <c r="EH118" s="3">
        <f t="shared" si="337"/>
        <v>0</v>
      </c>
      <c r="EI118" s="3">
        <f t="shared" si="338"/>
        <v>0</v>
      </c>
      <c r="EJ118" s="3">
        <f t="shared" si="339"/>
        <v>0</v>
      </c>
      <c r="EK118" s="3">
        <f t="shared" si="340"/>
        <v>0</v>
      </c>
      <c r="EL118" s="24">
        <f t="shared" si="341"/>
        <v>0</v>
      </c>
      <c r="EM118" s="24"/>
      <c r="EN118" s="46">
        <f t="shared" si="342"/>
        <v>0</v>
      </c>
      <c r="EO118" s="46">
        <f t="shared" si="343"/>
        <v>0</v>
      </c>
      <c r="EP118" s="47">
        <f t="shared" si="344"/>
        <v>0</v>
      </c>
      <c r="EQ118" s="3" t="s">
        <v>69</v>
      </c>
      <c r="ER118" s="3">
        <f t="shared" si="345"/>
        <v>0</v>
      </c>
      <c r="ES118" s="3">
        <f t="shared" si="346"/>
        <v>0</v>
      </c>
      <c r="ET118" s="46">
        <f t="shared" si="347"/>
        <v>0</v>
      </c>
      <c r="EU118" s="46">
        <f t="shared" si="348"/>
        <v>0</v>
      </c>
      <c r="EV118" s="46">
        <f t="shared" si="349"/>
        <v>0</v>
      </c>
      <c r="EW118" s="46">
        <f t="shared" si="350"/>
        <v>0</v>
      </c>
      <c r="EX118" s="46">
        <f t="shared" si="351"/>
        <v>0</v>
      </c>
      <c r="EY118" s="46">
        <f t="shared" si="352"/>
        <v>0</v>
      </c>
      <c r="EZ118" s="3">
        <f t="shared" si="353"/>
        <v>0</v>
      </c>
      <c r="FA118" s="3" t="s">
        <v>70</v>
      </c>
      <c r="FB118" s="3">
        <f t="shared" si="354"/>
        <v>0</v>
      </c>
      <c r="FC118" s="3" t="s">
        <v>70</v>
      </c>
      <c r="FD118" s="46">
        <f t="shared" si="355"/>
        <v>0</v>
      </c>
      <c r="FE118" s="46">
        <f t="shared" si="356"/>
        <v>0</v>
      </c>
      <c r="FF118" s="46">
        <f t="shared" si="357"/>
        <v>0</v>
      </c>
      <c r="FG118" s="46">
        <f t="shared" si="358"/>
        <v>0</v>
      </c>
      <c r="FH118" s="46">
        <f t="shared" si="359"/>
        <v>0</v>
      </c>
      <c r="FI118" s="46">
        <f t="shared" si="360"/>
        <v>0</v>
      </c>
      <c r="FJ118" s="3">
        <f t="shared" si="361"/>
        <v>0</v>
      </c>
      <c r="FK118" s="46">
        <f t="shared" si="362"/>
        <v>0</v>
      </c>
      <c r="FM118" s="74">
        <f>EL118+'EXTRALABORAL B '!BH301</f>
        <v>0</v>
      </c>
      <c r="FN118" s="74">
        <f t="shared" si="363"/>
        <v>0</v>
      </c>
    </row>
    <row r="119" spans="1:170">
      <c r="A119" s="3">
        <v>116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3">
        <f t="shared" si="321"/>
        <v>0</v>
      </c>
      <c r="DP119" s="3">
        <f t="shared" si="322"/>
        <v>0</v>
      </c>
      <c r="DQ119" s="3">
        <f t="shared" si="323"/>
        <v>0</v>
      </c>
      <c r="DR119" s="3" t="s">
        <v>69</v>
      </c>
      <c r="DS119" s="3">
        <f t="shared" si="324"/>
        <v>0</v>
      </c>
      <c r="DT119" s="3">
        <f t="shared" si="325"/>
        <v>0</v>
      </c>
      <c r="DU119" s="3">
        <f t="shared" si="326"/>
        <v>0</v>
      </c>
      <c r="DV119" s="3">
        <f t="shared" si="327"/>
        <v>0</v>
      </c>
      <c r="DW119" s="3">
        <f t="shared" si="328"/>
        <v>0</v>
      </c>
      <c r="DX119" s="3">
        <f t="shared" si="329"/>
        <v>0</v>
      </c>
      <c r="DY119" s="3">
        <f t="shared" si="330"/>
        <v>0</v>
      </c>
      <c r="DZ119" s="3">
        <f t="shared" si="331"/>
        <v>0</v>
      </c>
      <c r="EA119" s="3">
        <f t="shared" si="332"/>
        <v>0</v>
      </c>
      <c r="EB119" s="3" t="s">
        <v>70</v>
      </c>
      <c r="EC119" s="3">
        <f t="shared" si="333"/>
        <v>0</v>
      </c>
      <c r="ED119" s="3" t="s">
        <v>70</v>
      </c>
      <c r="EE119" s="3">
        <f t="shared" si="334"/>
        <v>0</v>
      </c>
      <c r="EF119" s="3">
        <f t="shared" si="335"/>
        <v>0</v>
      </c>
      <c r="EG119" s="3">
        <f t="shared" si="336"/>
        <v>0</v>
      </c>
      <c r="EH119" s="3">
        <f t="shared" si="337"/>
        <v>0</v>
      </c>
      <c r="EI119" s="3">
        <f t="shared" si="338"/>
        <v>0</v>
      </c>
      <c r="EJ119" s="3">
        <f t="shared" si="339"/>
        <v>0</v>
      </c>
      <c r="EK119" s="3">
        <f t="shared" si="340"/>
        <v>0</v>
      </c>
      <c r="EL119" s="24">
        <f t="shared" si="341"/>
        <v>0</v>
      </c>
      <c r="EM119" s="24"/>
      <c r="EN119" s="46">
        <f t="shared" si="342"/>
        <v>0</v>
      </c>
      <c r="EO119" s="46">
        <f t="shared" si="343"/>
        <v>0</v>
      </c>
      <c r="EP119" s="47">
        <f t="shared" si="344"/>
        <v>0</v>
      </c>
      <c r="EQ119" s="3" t="s">
        <v>69</v>
      </c>
      <c r="ER119" s="3">
        <f t="shared" si="345"/>
        <v>0</v>
      </c>
      <c r="ES119" s="3">
        <f t="shared" si="346"/>
        <v>0</v>
      </c>
      <c r="ET119" s="46">
        <f t="shared" si="347"/>
        <v>0</v>
      </c>
      <c r="EU119" s="46">
        <f t="shared" si="348"/>
        <v>0</v>
      </c>
      <c r="EV119" s="46">
        <f t="shared" si="349"/>
        <v>0</v>
      </c>
      <c r="EW119" s="46">
        <f t="shared" si="350"/>
        <v>0</v>
      </c>
      <c r="EX119" s="46">
        <f t="shared" si="351"/>
        <v>0</v>
      </c>
      <c r="EY119" s="46">
        <f t="shared" si="352"/>
        <v>0</v>
      </c>
      <c r="EZ119" s="3">
        <f t="shared" si="353"/>
        <v>0</v>
      </c>
      <c r="FA119" s="3" t="s">
        <v>70</v>
      </c>
      <c r="FB119" s="3">
        <f t="shared" si="354"/>
        <v>0</v>
      </c>
      <c r="FC119" s="3" t="s">
        <v>70</v>
      </c>
      <c r="FD119" s="46">
        <f t="shared" si="355"/>
        <v>0</v>
      </c>
      <c r="FE119" s="46">
        <f t="shared" si="356"/>
        <v>0</v>
      </c>
      <c r="FF119" s="46">
        <f t="shared" si="357"/>
        <v>0</v>
      </c>
      <c r="FG119" s="46">
        <f t="shared" si="358"/>
        <v>0</v>
      </c>
      <c r="FH119" s="46">
        <f t="shared" si="359"/>
        <v>0</v>
      </c>
      <c r="FI119" s="46">
        <f t="shared" si="360"/>
        <v>0</v>
      </c>
      <c r="FJ119" s="3">
        <f t="shared" si="361"/>
        <v>0</v>
      </c>
      <c r="FK119" s="46">
        <f t="shared" si="362"/>
        <v>0</v>
      </c>
      <c r="FM119" s="74">
        <f>EL119+'EXTRALABORAL B '!BH302</f>
        <v>0</v>
      </c>
      <c r="FN119" s="74">
        <f t="shared" si="363"/>
        <v>0</v>
      </c>
    </row>
    <row r="120" spans="1:170">
      <c r="A120" s="3">
        <v>117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3">
        <f t="shared" si="321"/>
        <v>0</v>
      </c>
      <c r="DP120" s="3">
        <f t="shared" si="322"/>
        <v>0</v>
      </c>
      <c r="DQ120" s="3">
        <f t="shared" si="323"/>
        <v>0</v>
      </c>
      <c r="DR120" s="3" t="s">
        <v>69</v>
      </c>
      <c r="DS120" s="3">
        <f t="shared" si="324"/>
        <v>0</v>
      </c>
      <c r="DT120" s="3">
        <f t="shared" si="325"/>
        <v>0</v>
      </c>
      <c r="DU120" s="3">
        <f t="shared" si="326"/>
        <v>0</v>
      </c>
      <c r="DV120" s="3">
        <f t="shared" si="327"/>
        <v>0</v>
      </c>
      <c r="DW120" s="3">
        <f t="shared" si="328"/>
        <v>0</v>
      </c>
      <c r="DX120" s="3">
        <f t="shared" si="329"/>
        <v>0</v>
      </c>
      <c r="DY120" s="3">
        <f t="shared" si="330"/>
        <v>0</v>
      </c>
      <c r="DZ120" s="3">
        <f t="shared" si="331"/>
        <v>0</v>
      </c>
      <c r="EA120" s="3">
        <f t="shared" si="332"/>
        <v>0</v>
      </c>
      <c r="EB120" s="3" t="s">
        <v>70</v>
      </c>
      <c r="EC120" s="3">
        <f t="shared" si="333"/>
        <v>0</v>
      </c>
      <c r="ED120" s="3" t="s">
        <v>70</v>
      </c>
      <c r="EE120" s="3">
        <f t="shared" si="334"/>
        <v>0</v>
      </c>
      <c r="EF120" s="3">
        <f t="shared" si="335"/>
        <v>0</v>
      </c>
      <c r="EG120" s="3">
        <f t="shared" si="336"/>
        <v>0</v>
      </c>
      <c r="EH120" s="3">
        <f t="shared" si="337"/>
        <v>0</v>
      </c>
      <c r="EI120" s="3">
        <f t="shared" si="338"/>
        <v>0</v>
      </c>
      <c r="EJ120" s="3">
        <f t="shared" si="339"/>
        <v>0</v>
      </c>
      <c r="EK120" s="3">
        <f t="shared" si="340"/>
        <v>0</v>
      </c>
      <c r="EL120" s="24">
        <f t="shared" si="341"/>
        <v>0</v>
      </c>
      <c r="EM120" s="24"/>
      <c r="EN120" s="46">
        <f t="shared" si="342"/>
        <v>0</v>
      </c>
      <c r="EO120" s="46">
        <f t="shared" si="343"/>
        <v>0</v>
      </c>
      <c r="EP120" s="47">
        <f t="shared" si="344"/>
        <v>0</v>
      </c>
      <c r="EQ120" s="3" t="s">
        <v>69</v>
      </c>
      <c r="ER120" s="3">
        <f t="shared" si="345"/>
        <v>0</v>
      </c>
      <c r="ES120" s="3">
        <f t="shared" si="346"/>
        <v>0</v>
      </c>
      <c r="ET120" s="46">
        <f t="shared" si="347"/>
        <v>0</v>
      </c>
      <c r="EU120" s="46">
        <f t="shared" si="348"/>
        <v>0</v>
      </c>
      <c r="EV120" s="46">
        <f t="shared" si="349"/>
        <v>0</v>
      </c>
      <c r="EW120" s="46">
        <f t="shared" si="350"/>
        <v>0</v>
      </c>
      <c r="EX120" s="46">
        <f t="shared" si="351"/>
        <v>0</v>
      </c>
      <c r="EY120" s="46">
        <f t="shared" si="352"/>
        <v>0</v>
      </c>
      <c r="EZ120" s="3">
        <f t="shared" si="353"/>
        <v>0</v>
      </c>
      <c r="FA120" s="3" t="s">
        <v>70</v>
      </c>
      <c r="FB120" s="3">
        <f t="shared" si="354"/>
        <v>0</v>
      </c>
      <c r="FC120" s="3" t="s">
        <v>70</v>
      </c>
      <c r="FD120" s="46">
        <f t="shared" si="355"/>
        <v>0</v>
      </c>
      <c r="FE120" s="46">
        <f t="shared" si="356"/>
        <v>0</v>
      </c>
      <c r="FF120" s="46">
        <f t="shared" si="357"/>
        <v>0</v>
      </c>
      <c r="FG120" s="46">
        <f t="shared" si="358"/>
        <v>0</v>
      </c>
      <c r="FH120" s="46">
        <f t="shared" si="359"/>
        <v>0</v>
      </c>
      <c r="FI120" s="46">
        <f t="shared" si="360"/>
        <v>0</v>
      </c>
      <c r="FJ120" s="3">
        <f t="shared" si="361"/>
        <v>0</v>
      </c>
      <c r="FK120" s="46">
        <f t="shared" si="362"/>
        <v>0</v>
      </c>
      <c r="FM120" s="74">
        <f>EL120+'EXTRALABORAL B '!BH303</f>
        <v>0</v>
      </c>
      <c r="FN120" s="74">
        <f t="shared" si="363"/>
        <v>0</v>
      </c>
    </row>
    <row r="121" spans="1:170">
      <c r="A121" s="3">
        <v>118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3">
        <f t="shared" si="321"/>
        <v>0</v>
      </c>
      <c r="DP121" s="3">
        <f t="shared" si="322"/>
        <v>0</v>
      </c>
      <c r="DQ121" s="3">
        <f t="shared" si="323"/>
        <v>0</v>
      </c>
      <c r="DR121" s="3" t="s">
        <v>69</v>
      </c>
      <c r="DS121" s="3">
        <f t="shared" si="324"/>
        <v>0</v>
      </c>
      <c r="DT121" s="3">
        <f t="shared" si="325"/>
        <v>0</v>
      </c>
      <c r="DU121" s="3">
        <f t="shared" si="326"/>
        <v>0</v>
      </c>
      <c r="DV121" s="3">
        <f t="shared" si="327"/>
        <v>0</v>
      </c>
      <c r="DW121" s="3">
        <f t="shared" si="328"/>
        <v>0</v>
      </c>
      <c r="DX121" s="3">
        <f t="shared" si="329"/>
        <v>0</v>
      </c>
      <c r="DY121" s="3">
        <f t="shared" si="330"/>
        <v>0</v>
      </c>
      <c r="DZ121" s="3">
        <f t="shared" si="331"/>
        <v>0</v>
      </c>
      <c r="EA121" s="3">
        <f t="shared" si="332"/>
        <v>0</v>
      </c>
      <c r="EB121" s="3" t="s">
        <v>70</v>
      </c>
      <c r="EC121" s="3">
        <f t="shared" si="333"/>
        <v>0</v>
      </c>
      <c r="ED121" s="3" t="s">
        <v>70</v>
      </c>
      <c r="EE121" s="3">
        <f t="shared" si="334"/>
        <v>0</v>
      </c>
      <c r="EF121" s="3">
        <f t="shared" si="335"/>
        <v>0</v>
      </c>
      <c r="EG121" s="3">
        <f t="shared" si="336"/>
        <v>0</v>
      </c>
      <c r="EH121" s="3">
        <f t="shared" si="337"/>
        <v>0</v>
      </c>
      <c r="EI121" s="3">
        <f t="shared" si="338"/>
        <v>0</v>
      </c>
      <c r="EJ121" s="3">
        <f t="shared" si="339"/>
        <v>0</v>
      </c>
      <c r="EK121" s="3">
        <f t="shared" si="340"/>
        <v>0</v>
      </c>
      <c r="EL121" s="24">
        <f t="shared" si="341"/>
        <v>0</v>
      </c>
      <c r="EM121" s="24"/>
      <c r="EN121" s="46">
        <f t="shared" si="342"/>
        <v>0</v>
      </c>
      <c r="EO121" s="46">
        <f t="shared" si="343"/>
        <v>0</v>
      </c>
      <c r="EP121" s="47">
        <f t="shared" si="344"/>
        <v>0</v>
      </c>
      <c r="EQ121" s="3" t="s">
        <v>69</v>
      </c>
      <c r="ER121" s="3">
        <f t="shared" si="345"/>
        <v>0</v>
      </c>
      <c r="ES121" s="3">
        <f t="shared" si="346"/>
        <v>0</v>
      </c>
      <c r="ET121" s="46">
        <f t="shared" si="347"/>
        <v>0</v>
      </c>
      <c r="EU121" s="46">
        <f t="shared" si="348"/>
        <v>0</v>
      </c>
      <c r="EV121" s="46">
        <f t="shared" si="349"/>
        <v>0</v>
      </c>
      <c r="EW121" s="46">
        <f t="shared" si="350"/>
        <v>0</v>
      </c>
      <c r="EX121" s="46">
        <f t="shared" si="351"/>
        <v>0</v>
      </c>
      <c r="EY121" s="46">
        <f t="shared" si="352"/>
        <v>0</v>
      </c>
      <c r="EZ121" s="3">
        <f t="shared" si="353"/>
        <v>0</v>
      </c>
      <c r="FA121" s="3" t="s">
        <v>70</v>
      </c>
      <c r="FB121" s="3">
        <f t="shared" si="354"/>
        <v>0</v>
      </c>
      <c r="FC121" s="3" t="s">
        <v>70</v>
      </c>
      <c r="FD121" s="46">
        <f t="shared" si="355"/>
        <v>0</v>
      </c>
      <c r="FE121" s="46">
        <f t="shared" si="356"/>
        <v>0</v>
      </c>
      <c r="FF121" s="46">
        <f t="shared" si="357"/>
        <v>0</v>
      </c>
      <c r="FG121" s="46">
        <f t="shared" si="358"/>
        <v>0</v>
      </c>
      <c r="FH121" s="46">
        <f t="shared" si="359"/>
        <v>0</v>
      </c>
      <c r="FI121" s="46">
        <f t="shared" si="360"/>
        <v>0</v>
      </c>
      <c r="FJ121" s="3">
        <f t="shared" si="361"/>
        <v>0</v>
      </c>
      <c r="FK121" s="46">
        <f t="shared" si="362"/>
        <v>0</v>
      </c>
      <c r="FM121" s="74">
        <f>EL121+'EXTRALABORAL B '!BH304</f>
        <v>0</v>
      </c>
      <c r="FN121" s="74">
        <f t="shared" si="363"/>
        <v>0</v>
      </c>
    </row>
    <row r="122" spans="1:170">
      <c r="A122" s="3">
        <v>119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3">
        <f t="shared" si="321"/>
        <v>0</v>
      </c>
      <c r="DP122" s="3">
        <f t="shared" si="322"/>
        <v>0</v>
      </c>
      <c r="DQ122" s="3">
        <f t="shared" si="323"/>
        <v>0</v>
      </c>
      <c r="DR122" s="3" t="s">
        <v>69</v>
      </c>
      <c r="DS122" s="3">
        <f t="shared" si="324"/>
        <v>0</v>
      </c>
      <c r="DT122" s="3">
        <f t="shared" si="325"/>
        <v>0</v>
      </c>
      <c r="DU122" s="3">
        <f t="shared" si="326"/>
        <v>0</v>
      </c>
      <c r="DV122" s="3">
        <f t="shared" si="327"/>
        <v>0</v>
      </c>
      <c r="DW122" s="3">
        <f t="shared" si="328"/>
        <v>0</v>
      </c>
      <c r="DX122" s="3">
        <f t="shared" si="329"/>
        <v>0</v>
      </c>
      <c r="DY122" s="3">
        <f t="shared" si="330"/>
        <v>0</v>
      </c>
      <c r="DZ122" s="3">
        <f t="shared" si="331"/>
        <v>0</v>
      </c>
      <c r="EA122" s="3">
        <f t="shared" si="332"/>
        <v>0</v>
      </c>
      <c r="EB122" s="3" t="s">
        <v>70</v>
      </c>
      <c r="EC122" s="3">
        <f t="shared" si="333"/>
        <v>0</v>
      </c>
      <c r="ED122" s="3" t="s">
        <v>70</v>
      </c>
      <c r="EE122" s="3">
        <f t="shared" si="334"/>
        <v>0</v>
      </c>
      <c r="EF122" s="3">
        <f t="shared" si="335"/>
        <v>0</v>
      </c>
      <c r="EG122" s="3">
        <f t="shared" si="336"/>
        <v>0</v>
      </c>
      <c r="EH122" s="3">
        <f t="shared" si="337"/>
        <v>0</v>
      </c>
      <c r="EI122" s="3">
        <f t="shared" si="338"/>
        <v>0</v>
      </c>
      <c r="EJ122" s="3">
        <f t="shared" si="339"/>
        <v>0</v>
      </c>
      <c r="EK122" s="3">
        <f t="shared" si="340"/>
        <v>0</v>
      </c>
      <c r="EL122" s="24">
        <f t="shared" si="341"/>
        <v>0</v>
      </c>
      <c r="EM122" s="24"/>
      <c r="EN122" s="46">
        <f t="shared" si="342"/>
        <v>0</v>
      </c>
      <c r="EO122" s="46">
        <f t="shared" si="343"/>
        <v>0</v>
      </c>
      <c r="EP122" s="47">
        <f t="shared" si="344"/>
        <v>0</v>
      </c>
      <c r="EQ122" s="3" t="s">
        <v>69</v>
      </c>
      <c r="ER122" s="3">
        <f t="shared" si="345"/>
        <v>0</v>
      </c>
      <c r="ES122" s="3">
        <f t="shared" si="346"/>
        <v>0</v>
      </c>
      <c r="ET122" s="46">
        <f t="shared" si="347"/>
        <v>0</v>
      </c>
      <c r="EU122" s="46">
        <f t="shared" si="348"/>
        <v>0</v>
      </c>
      <c r="EV122" s="46">
        <f t="shared" si="349"/>
        <v>0</v>
      </c>
      <c r="EW122" s="46">
        <f t="shared" si="350"/>
        <v>0</v>
      </c>
      <c r="EX122" s="46">
        <f t="shared" si="351"/>
        <v>0</v>
      </c>
      <c r="EY122" s="46">
        <f t="shared" si="352"/>
        <v>0</v>
      </c>
      <c r="EZ122" s="3">
        <f t="shared" si="353"/>
        <v>0</v>
      </c>
      <c r="FA122" s="3" t="s">
        <v>70</v>
      </c>
      <c r="FB122" s="3">
        <f t="shared" si="354"/>
        <v>0</v>
      </c>
      <c r="FC122" s="3" t="s">
        <v>70</v>
      </c>
      <c r="FD122" s="46">
        <f t="shared" si="355"/>
        <v>0</v>
      </c>
      <c r="FE122" s="46">
        <f t="shared" si="356"/>
        <v>0</v>
      </c>
      <c r="FF122" s="46">
        <f t="shared" si="357"/>
        <v>0</v>
      </c>
      <c r="FG122" s="46">
        <f t="shared" si="358"/>
        <v>0</v>
      </c>
      <c r="FH122" s="46">
        <f t="shared" si="359"/>
        <v>0</v>
      </c>
      <c r="FI122" s="46">
        <f t="shared" si="360"/>
        <v>0</v>
      </c>
      <c r="FJ122" s="3">
        <f t="shared" si="361"/>
        <v>0</v>
      </c>
      <c r="FK122" s="46">
        <f t="shared" si="362"/>
        <v>0</v>
      </c>
      <c r="FM122" s="74">
        <f>EL122+'EXTRALABORAL B '!BH305</f>
        <v>0</v>
      </c>
      <c r="FN122" s="74">
        <f t="shared" si="363"/>
        <v>0</v>
      </c>
    </row>
    <row r="123" spans="1:170">
      <c r="A123" s="3">
        <v>120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3">
        <f t="shared" si="321"/>
        <v>0</v>
      </c>
      <c r="DP123" s="3">
        <f t="shared" si="322"/>
        <v>0</v>
      </c>
      <c r="DQ123" s="3">
        <f t="shared" si="323"/>
        <v>0</v>
      </c>
      <c r="DR123" s="3" t="s">
        <v>69</v>
      </c>
      <c r="DS123" s="3">
        <f t="shared" si="324"/>
        <v>0</v>
      </c>
      <c r="DT123" s="3">
        <f t="shared" si="325"/>
        <v>0</v>
      </c>
      <c r="DU123" s="3">
        <f t="shared" si="326"/>
        <v>0</v>
      </c>
      <c r="DV123" s="3">
        <f t="shared" si="327"/>
        <v>0</v>
      </c>
      <c r="DW123" s="3">
        <f t="shared" si="328"/>
        <v>0</v>
      </c>
      <c r="DX123" s="3">
        <f t="shared" si="329"/>
        <v>0</v>
      </c>
      <c r="DY123" s="3">
        <f t="shared" si="330"/>
        <v>0</v>
      </c>
      <c r="DZ123" s="3">
        <f t="shared" si="331"/>
        <v>0</v>
      </c>
      <c r="EA123" s="3">
        <f t="shared" si="332"/>
        <v>0</v>
      </c>
      <c r="EB123" s="3" t="s">
        <v>70</v>
      </c>
      <c r="EC123" s="3">
        <f t="shared" si="333"/>
        <v>0</v>
      </c>
      <c r="ED123" s="3" t="s">
        <v>70</v>
      </c>
      <c r="EE123" s="3">
        <f t="shared" si="334"/>
        <v>0</v>
      </c>
      <c r="EF123" s="3">
        <f t="shared" si="335"/>
        <v>0</v>
      </c>
      <c r="EG123" s="3">
        <f t="shared" si="336"/>
        <v>0</v>
      </c>
      <c r="EH123" s="3">
        <f t="shared" si="337"/>
        <v>0</v>
      </c>
      <c r="EI123" s="3">
        <f t="shared" si="338"/>
        <v>0</v>
      </c>
      <c r="EJ123" s="3">
        <f t="shared" si="339"/>
        <v>0</v>
      </c>
      <c r="EK123" s="3">
        <f t="shared" si="340"/>
        <v>0</v>
      </c>
      <c r="EL123" s="24">
        <f t="shared" si="341"/>
        <v>0</v>
      </c>
      <c r="EM123" s="24"/>
      <c r="EN123" s="46">
        <f t="shared" si="342"/>
        <v>0</v>
      </c>
      <c r="EO123" s="46">
        <f t="shared" si="343"/>
        <v>0</v>
      </c>
      <c r="EP123" s="47">
        <f t="shared" si="344"/>
        <v>0</v>
      </c>
      <c r="EQ123" s="3" t="s">
        <v>69</v>
      </c>
      <c r="ER123" s="3">
        <f t="shared" si="345"/>
        <v>0</v>
      </c>
      <c r="ES123" s="3">
        <f t="shared" si="346"/>
        <v>0</v>
      </c>
      <c r="ET123" s="46">
        <f t="shared" si="347"/>
        <v>0</v>
      </c>
      <c r="EU123" s="46">
        <f t="shared" si="348"/>
        <v>0</v>
      </c>
      <c r="EV123" s="46">
        <f t="shared" si="349"/>
        <v>0</v>
      </c>
      <c r="EW123" s="46">
        <f t="shared" si="350"/>
        <v>0</v>
      </c>
      <c r="EX123" s="46">
        <f t="shared" si="351"/>
        <v>0</v>
      </c>
      <c r="EY123" s="46">
        <f t="shared" si="352"/>
        <v>0</v>
      </c>
      <c r="EZ123" s="3">
        <f t="shared" si="353"/>
        <v>0</v>
      </c>
      <c r="FA123" s="3" t="s">
        <v>70</v>
      </c>
      <c r="FB123" s="3">
        <f t="shared" si="354"/>
        <v>0</v>
      </c>
      <c r="FC123" s="3" t="s">
        <v>70</v>
      </c>
      <c r="FD123" s="46">
        <f t="shared" si="355"/>
        <v>0</v>
      </c>
      <c r="FE123" s="46">
        <f t="shared" si="356"/>
        <v>0</v>
      </c>
      <c r="FF123" s="46">
        <f t="shared" si="357"/>
        <v>0</v>
      </c>
      <c r="FG123" s="46">
        <f t="shared" si="358"/>
        <v>0</v>
      </c>
      <c r="FH123" s="46">
        <f t="shared" si="359"/>
        <v>0</v>
      </c>
      <c r="FI123" s="46">
        <f t="shared" si="360"/>
        <v>0</v>
      </c>
      <c r="FJ123" s="3">
        <f t="shared" si="361"/>
        <v>0</v>
      </c>
      <c r="FK123" s="46">
        <f t="shared" si="362"/>
        <v>0</v>
      </c>
      <c r="FM123" s="74">
        <f>EL123+'EXTRALABORAL B '!BH306</f>
        <v>0</v>
      </c>
      <c r="FN123" s="74">
        <f t="shared" si="363"/>
        <v>0</v>
      </c>
    </row>
    <row r="124" spans="1:170">
      <c r="A124" s="3">
        <v>121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3">
        <f t="shared" si="321"/>
        <v>0</v>
      </c>
      <c r="DP124" s="3">
        <f t="shared" si="322"/>
        <v>0</v>
      </c>
      <c r="DQ124" s="3">
        <f t="shared" si="323"/>
        <v>0</v>
      </c>
      <c r="DR124" s="3" t="s">
        <v>69</v>
      </c>
      <c r="DS124" s="3">
        <f t="shared" si="324"/>
        <v>0</v>
      </c>
      <c r="DT124" s="3">
        <f t="shared" si="325"/>
        <v>0</v>
      </c>
      <c r="DU124" s="3">
        <f t="shared" si="326"/>
        <v>0</v>
      </c>
      <c r="DV124" s="3">
        <f t="shared" si="327"/>
        <v>0</v>
      </c>
      <c r="DW124" s="3">
        <f t="shared" si="328"/>
        <v>0</v>
      </c>
      <c r="DX124" s="3">
        <f t="shared" si="329"/>
        <v>0</v>
      </c>
      <c r="DY124" s="3">
        <f t="shared" si="330"/>
        <v>0</v>
      </c>
      <c r="DZ124" s="3">
        <f t="shared" si="331"/>
        <v>0</v>
      </c>
      <c r="EA124" s="3">
        <f t="shared" si="332"/>
        <v>0</v>
      </c>
      <c r="EB124" s="3" t="s">
        <v>70</v>
      </c>
      <c r="EC124" s="3">
        <f t="shared" si="333"/>
        <v>0</v>
      </c>
      <c r="ED124" s="3" t="s">
        <v>70</v>
      </c>
      <c r="EE124" s="3">
        <f t="shared" si="334"/>
        <v>0</v>
      </c>
      <c r="EF124" s="3">
        <f t="shared" si="335"/>
        <v>0</v>
      </c>
      <c r="EG124" s="3">
        <f t="shared" si="336"/>
        <v>0</v>
      </c>
      <c r="EH124" s="3">
        <f t="shared" si="337"/>
        <v>0</v>
      </c>
      <c r="EI124" s="3">
        <f t="shared" si="338"/>
        <v>0</v>
      </c>
      <c r="EJ124" s="3">
        <f t="shared" si="339"/>
        <v>0</v>
      </c>
      <c r="EK124" s="3">
        <f t="shared" si="340"/>
        <v>0</v>
      </c>
      <c r="EL124" s="24">
        <f t="shared" si="341"/>
        <v>0</v>
      </c>
      <c r="EM124" s="24"/>
      <c r="EN124" s="46">
        <f t="shared" si="342"/>
        <v>0</v>
      </c>
      <c r="EO124" s="46">
        <f t="shared" si="343"/>
        <v>0</v>
      </c>
      <c r="EP124" s="47">
        <f t="shared" si="344"/>
        <v>0</v>
      </c>
      <c r="EQ124" s="3" t="s">
        <v>69</v>
      </c>
      <c r="ER124" s="3">
        <f t="shared" si="345"/>
        <v>0</v>
      </c>
      <c r="ES124" s="3">
        <f t="shared" si="346"/>
        <v>0</v>
      </c>
      <c r="ET124" s="46">
        <f t="shared" si="347"/>
        <v>0</v>
      </c>
      <c r="EU124" s="46">
        <f t="shared" si="348"/>
        <v>0</v>
      </c>
      <c r="EV124" s="46">
        <f t="shared" si="349"/>
        <v>0</v>
      </c>
      <c r="EW124" s="46">
        <f t="shared" si="350"/>
        <v>0</v>
      </c>
      <c r="EX124" s="46">
        <f t="shared" si="351"/>
        <v>0</v>
      </c>
      <c r="EY124" s="46">
        <f t="shared" si="352"/>
        <v>0</v>
      </c>
      <c r="EZ124" s="3">
        <f t="shared" si="353"/>
        <v>0</v>
      </c>
      <c r="FA124" s="3" t="s">
        <v>70</v>
      </c>
      <c r="FB124" s="3">
        <f t="shared" si="354"/>
        <v>0</v>
      </c>
      <c r="FC124" s="3" t="s">
        <v>70</v>
      </c>
      <c r="FD124" s="46">
        <f t="shared" si="355"/>
        <v>0</v>
      </c>
      <c r="FE124" s="46">
        <f t="shared" si="356"/>
        <v>0</v>
      </c>
      <c r="FF124" s="46">
        <f t="shared" si="357"/>
        <v>0</v>
      </c>
      <c r="FG124" s="46">
        <f t="shared" si="358"/>
        <v>0</v>
      </c>
      <c r="FH124" s="46">
        <f t="shared" si="359"/>
        <v>0</v>
      </c>
      <c r="FI124" s="46">
        <f t="shared" si="360"/>
        <v>0</v>
      </c>
      <c r="FJ124" s="3">
        <f t="shared" si="361"/>
        <v>0</v>
      </c>
      <c r="FK124" s="46">
        <f t="shared" si="362"/>
        <v>0</v>
      </c>
      <c r="FM124" s="74">
        <f>EL124+'EXTRALABORAL B '!BH307</f>
        <v>0</v>
      </c>
      <c r="FN124" s="74">
        <f t="shared" si="363"/>
        <v>0</v>
      </c>
    </row>
    <row r="125" spans="1:170">
      <c r="A125" s="3">
        <v>122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3">
        <f t="shared" si="321"/>
        <v>0</v>
      </c>
      <c r="DP125" s="3">
        <f t="shared" si="322"/>
        <v>0</v>
      </c>
      <c r="DQ125" s="3">
        <f t="shared" si="323"/>
        <v>0</v>
      </c>
      <c r="DR125" s="3" t="s">
        <v>69</v>
      </c>
      <c r="DS125" s="3">
        <f t="shared" si="324"/>
        <v>0</v>
      </c>
      <c r="DT125" s="3">
        <f t="shared" si="325"/>
        <v>0</v>
      </c>
      <c r="DU125" s="3">
        <f t="shared" si="326"/>
        <v>0</v>
      </c>
      <c r="DV125" s="3">
        <f t="shared" si="327"/>
        <v>0</v>
      </c>
      <c r="DW125" s="3">
        <f t="shared" si="328"/>
        <v>0</v>
      </c>
      <c r="DX125" s="3">
        <f t="shared" si="329"/>
        <v>0</v>
      </c>
      <c r="DY125" s="3">
        <f t="shared" si="330"/>
        <v>0</v>
      </c>
      <c r="DZ125" s="3">
        <f t="shared" si="331"/>
        <v>0</v>
      </c>
      <c r="EA125" s="3">
        <f t="shared" si="332"/>
        <v>0</v>
      </c>
      <c r="EB125" s="3" t="s">
        <v>70</v>
      </c>
      <c r="EC125" s="3">
        <f t="shared" si="333"/>
        <v>0</v>
      </c>
      <c r="ED125" s="3" t="s">
        <v>70</v>
      </c>
      <c r="EE125" s="3">
        <f t="shared" si="334"/>
        <v>0</v>
      </c>
      <c r="EF125" s="3">
        <f t="shared" si="335"/>
        <v>0</v>
      </c>
      <c r="EG125" s="3">
        <f t="shared" si="336"/>
        <v>0</v>
      </c>
      <c r="EH125" s="3">
        <f t="shared" si="337"/>
        <v>0</v>
      </c>
      <c r="EI125" s="3">
        <f t="shared" si="338"/>
        <v>0</v>
      </c>
      <c r="EJ125" s="3">
        <f t="shared" si="339"/>
        <v>0</v>
      </c>
      <c r="EK125" s="3">
        <f t="shared" si="340"/>
        <v>0</v>
      </c>
      <c r="EL125" s="24">
        <f t="shared" si="341"/>
        <v>0</v>
      </c>
      <c r="EM125" s="24"/>
      <c r="EN125" s="46">
        <f t="shared" si="342"/>
        <v>0</v>
      </c>
      <c r="EO125" s="46">
        <f t="shared" si="343"/>
        <v>0</v>
      </c>
      <c r="EP125" s="47">
        <f t="shared" si="344"/>
        <v>0</v>
      </c>
      <c r="EQ125" s="3" t="s">
        <v>69</v>
      </c>
      <c r="ER125" s="3">
        <f t="shared" si="345"/>
        <v>0</v>
      </c>
      <c r="ES125" s="3">
        <f t="shared" si="346"/>
        <v>0</v>
      </c>
      <c r="ET125" s="46">
        <f t="shared" si="347"/>
        <v>0</v>
      </c>
      <c r="EU125" s="46">
        <f t="shared" si="348"/>
        <v>0</v>
      </c>
      <c r="EV125" s="46">
        <f t="shared" si="349"/>
        <v>0</v>
      </c>
      <c r="EW125" s="46">
        <f t="shared" si="350"/>
        <v>0</v>
      </c>
      <c r="EX125" s="46">
        <f t="shared" si="351"/>
        <v>0</v>
      </c>
      <c r="EY125" s="46">
        <f t="shared" si="352"/>
        <v>0</v>
      </c>
      <c r="EZ125" s="3">
        <f t="shared" si="353"/>
        <v>0</v>
      </c>
      <c r="FA125" s="3" t="s">
        <v>70</v>
      </c>
      <c r="FB125" s="3">
        <f t="shared" si="354"/>
        <v>0</v>
      </c>
      <c r="FC125" s="3" t="s">
        <v>70</v>
      </c>
      <c r="FD125" s="46">
        <f t="shared" si="355"/>
        <v>0</v>
      </c>
      <c r="FE125" s="46">
        <f t="shared" si="356"/>
        <v>0</v>
      </c>
      <c r="FF125" s="46">
        <f t="shared" si="357"/>
        <v>0</v>
      </c>
      <c r="FG125" s="46">
        <f t="shared" si="358"/>
        <v>0</v>
      </c>
      <c r="FH125" s="46">
        <f t="shared" si="359"/>
        <v>0</v>
      </c>
      <c r="FI125" s="46">
        <f t="shared" si="360"/>
        <v>0</v>
      </c>
      <c r="FJ125" s="3">
        <f t="shared" si="361"/>
        <v>0</v>
      </c>
      <c r="FK125" s="46">
        <f t="shared" si="362"/>
        <v>0</v>
      </c>
      <c r="FM125" s="74">
        <f>EL125+'EXTRALABORAL B '!BH308</f>
        <v>0</v>
      </c>
      <c r="FN125" s="74">
        <f t="shared" si="363"/>
        <v>0</v>
      </c>
    </row>
    <row r="126" spans="1:170">
      <c r="A126" s="3">
        <v>123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3">
        <f t="shared" si="321"/>
        <v>0</v>
      </c>
      <c r="DP126" s="3">
        <f t="shared" si="322"/>
        <v>0</v>
      </c>
      <c r="DQ126" s="3">
        <f t="shared" si="323"/>
        <v>0</v>
      </c>
      <c r="DR126" s="3" t="s">
        <v>69</v>
      </c>
      <c r="DS126" s="3">
        <f t="shared" si="324"/>
        <v>0</v>
      </c>
      <c r="DT126" s="3">
        <f t="shared" si="325"/>
        <v>0</v>
      </c>
      <c r="DU126" s="3">
        <f t="shared" si="326"/>
        <v>0</v>
      </c>
      <c r="DV126" s="3">
        <f t="shared" si="327"/>
        <v>0</v>
      </c>
      <c r="DW126" s="3">
        <f t="shared" si="328"/>
        <v>0</v>
      </c>
      <c r="DX126" s="3">
        <f t="shared" si="329"/>
        <v>0</v>
      </c>
      <c r="DY126" s="3">
        <f t="shared" si="330"/>
        <v>0</v>
      </c>
      <c r="DZ126" s="3">
        <f t="shared" si="331"/>
        <v>0</v>
      </c>
      <c r="EA126" s="3">
        <f t="shared" si="332"/>
        <v>0</v>
      </c>
      <c r="EB126" s="3" t="s">
        <v>70</v>
      </c>
      <c r="EC126" s="3">
        <f t="shared" si="333"/>
        <v>0</v>
      </c>
      <c r="ED126" s="3" t="s">
        <v>70</v>
      </c>
      <c r="EE126" s="3">
        <f t="shared" si="334"/>
        <v>0</v>
      </c>
      <c r="EF126" s="3">
        <f t="shared" si="335"/>
        <v>0</v>
      </c>
      <c r="EG126" s="3">
        <f t="shared" si="336"/>
        <v>0</v>
      </c>
      <c r="EH126" s="3">
        <f t="shared" si="337"/>
        <v>0</v>
      </c>
      <c r="EI126" s="3">
        <f t="shared" si="338"/>
        <v>0</v>
      </c>
      <c r="EJ126" s="3">
        <f t="shared" si="339"/>
        <v>0</v>
      </c>
      <c r="EK126" s="3">
        <f t="shared" si="340"/>
        <v>0</v>
      </c>
      <c r="EL126" s="24">
        <f t="shared" si="341"/>
        <v>0</v>
      </c>
      <c r="EM126" s="24"/>
      <c r="EN126" s="46">
        <f t="shared" si="342"/>
        <v>0</v>
      </c>
      <c r="EO126" s="46">
        <f t="shared" si="343"/>
        <v>0</v>
      </c>
      <c r="EP126" s="47">
        <f t="shared" si="344"/>
        <v>0</v>
      </c>
      <c r="EQ126" s="3" t="s">
        <v>69</v>
      </c>
      <c r="ER126" s="3">
        <f t="shared" si="345"/>
        <v>0</v>
      </c>
      <c r="ES126" s="3">
        <f t="shared" si="346"/>
        <v>0</v>
      </c>
      <c r="ET126" s="46">
        <f t="shared" si="347"/>
        <v>0</v>
      </c>
      <c r="EU126" s="46">
        <f t="shared" si="348"/>
        <v>0</v>
      </c>
      <c r="EV126" s="46">
        <f t="shared" si="349"/>
        <v>0</v>
      </c>
      <c r="EW126" s="46">
        <f t="shared" si="350"/>
        <v>0</v>
      </c>
      <c r="EX126" s="46">
        <f t="shared" si="351"/>
        <v>0</v>
      </c>
      <c r="EY126" s="46">
        <f t="shared" si="352"/>
        <v>0</v>
      </c>
      <c r="EZ126" s="3">
        <f t="shared" si="353"/>
        <v>0</v>
      </c>
      <c r="FA126" s="3" t="s">
        <v>70</v>
      </c>
      <c r="FB126" s="3">
        <f t="shared" si="354"/>
        <v>0</v>
      </c>
      <c r="FC126" s="3" t="s">
        <v>70</v>
      </c>
      <c r="FD126" s="46">
        <f t="shared" si="355"/>
        <v>0</v>
      </c>
      <c r="FE126" s="46">
        <f t="shared" si="356"/>
        <v>0</v>
      </c>
      <c r="FF126" s="46">
        <f t="shared" si="357"/>
        <v>0</v>
      </c>
      <c r="FG126" s="46">
        <f t="shared" si="358"/>
        <v>0</v>
      </c>
      <c r="FH126" s="46">
        <f t="shared" si="359"/>
        <v>0</v>
      </c>
      <c r="FI126" s="46">
        <f t="shared" si="360"/>
        <v>0</v>
      </c>
      <c r="FJ126" s="3">
        <f t="shared" si="361"/>
        <v>0</v>
      </c>
      <c r="FK126" s="46">
        <f t="shared" si="362"/>
        <v>0</v>
      </c>
      <c r="FM126" s="74">
        <f>EL126+'EXTRALABORAL B '!BH309</f>
        <v>0</v>
      </c>
      <c r="FN126" s="74">
        <f t="shared" si="363"/>
        <v>0</v>
      </c>
    </row>
    <row r="127" spans="1:170">
      <c r="A127" s="3">
        <v>124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3">
        <f t="shared" si="321"/>
        <v>0</v>
      </c>
      <c r="DP127" s="3">
        <f t="shared" si="322"/>
        <v>0</v>
      </c>
      <c r="DQ127" s="3">
        <f t="shared" si="323"/>
        <v>0</v>
      </c>
      <c r="DR127" s="3" t="s">
        <v>69</v>
      </c>
      <c r="DS127" s="3">
        <f t="shared" si="324"/>
        <v>0</v>
      </c>
      <c r="DT127" s="3">
        <f t="shared" si="325"/>
        <v>0</v>
      </c>
      <c r="DU127" s="3">
        <f t="shared" si="326"/>
        <v>0</v>
      </c>
      <c r="DV127" s="3">
        <f t="shared" si="327"/>
        <v>0</v>
      </c>
      <c r="DW127" s="3">
        <f t="shared" si="328"/>
        <v>0</v>
      </c>
      <c r="DX127" s="3">
        <f t="shared" si="329"/>
        <v>0</v>
      </c>
      <c r="DY127" s="3">
        <f t="shared" si="330"/>
        <v>0</v>
      </c>
      <c r="DZ127" s="3">
        <f t="shared" si="331"/>
        <v>0</v>
      </c>
      <c r="EA127" s="3">
        <f t="shared" si="332"/>
        <v>0</v>
      </c>
      <c r="EB127" s="3" t="s">
        <v>70</v>
      </c>
      <c r="EC127" s="3">
        <f t="shared" si="333"/>
        <v>0</v>
      </c>
      <c r="ED127" s="3" t="s">
        <v>70</v>
      </c>
      <c r="EE127" s="3">
        <f t="shared" si="334"/>
        <v>0</v>
      </c>
      <c r="EF127" s="3">
        <f t="shared" si="335"/>
        <v>0</v>
      </c>
      <c r="EG127" s="3">
        <f t="shared" si="336"/>
        <v>0</v>
      </c>
      <c r="EH127" s="3">
        <f t="shared" si="337"/>
        <v>0</v>
      </c>
      <c r="EI127" s="3">
        <f t="shared" si="338"/>
        <v>0</v>
      </c>
      <c r="EJ127" s="3">
        <f t="shared" si="339"/>
        <v>0</v>
      </c>
      <c r="EK127" s="3">
        <f t="shared" si="340"/>
        <v>0</v>
      </c>
      <c r="EL127" s="24">
        <f t="shared" si="341"/>
        <v>0</v>
      </c>
      <c r="EM127" s="24"/>
      <c r="EN127" s="46">
        <f t="shared" si="342"/>
        <v>0</v>
      </c>
      <c r="EO127" s="46">
        <f t="shared" si="343"/>
        <v>0</v>
      </c>
      <c r="EP127" s="47">
        <f t="shared" si="344"/>
        <v>0</v>
      </c>
      <c r="EQ127" s="3" t="s">
        <v>69</v>
      </c>
      <c r="ER127" s="3">
        <f t="shared" si="345"/>
        <v>0</v>
      </c>
      <c r="ES127" s="3">
        <f t="shared" si="346"/>
        <v>0</v>
      </c>
      <c r="ET127" s="46">
        <f t="shared" si="347"/>
        <v>0</v>
      </c>
      <c r="EU127" s="46">
        <f t="shared" si="348"/>
        <v>0</v>
      </c>
      <c r="EV127" s="46">
        <f t="shared" si="349"/>
        <v>0</v>
      </c>
      <c r="EW127" s="46">
        <f t="shared" si="350"/>
        <v>0</v>
      </c>
      <c r="EX127" s="46">
        <f t="shared" si="351"/>
        <v>0</v>
      </c>
      <c r="EY127" s="46">
        <f t="shared" si="352"/>
        <v>0</v>
      </c>
      <c r="EZ127" s="3">
        <f t="shared" si="353"/>
        <v>0</v>
      </c>
      <c r="FA127" s="3" t="s">
        <v>70</v>
      </c>
      <c r="FB127" s="3">
        <f t="shared" si="354"/>
        <v>0</v>
      </c>
      <c r="FC127" s="3" t="s">
        <v>70</v>
      </c>
      <c r="FD127" s="46">
        <f t="shared" si="355"/>
        <v>0</v>
      </c>
      <c r="FE127" s="46">
        <f t="shared" si="356"/>
        <v>0</v>
      </c>
      <c r="FF127" s="46">
        <f t="shared" si="357"/>
        <v>0</v>
      </c>
      <c r="FG127" s="46">
        <f t="shared" si="358"/>
        <v>0</v>
      </c>
      <c r="FH127" s="46">
        <f t="shared" si="359"/>
        <v>0</v>
      </c>
      <c r="FI127" s="46">
        <f t="shared" si="360"/>
        <v>0</v>
      </c>
      <c r="FJ127" s="3">
        <f t="shared" si="361"/>
        <v>0</v>
      </c>
      <c r="FK127" s="46">
        <f t="shared" si="362"/>
        <v>0</v>
      </c>
      <c r="FM127" s="74">
        <f>EL127+'EXTRALABORAL B '!BH310</f>
        <v>0</v>
      </c>
      <c r="FN127" s="74">
        <f t="shared" si="363"/>
        <v>0</v>
      </c>
    </row>
    <row r="128" spans="1:170">
      <c r="A128" s="3">
        <v>125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3">
        <f t="shared" si="321"/>
        <v>0</v>
      </c>
      <c r="DP128" s="3">
        <f t="shared" si="322"/>
        <v>0</v>
      </c>
      <c r="DQ128" s="3">
        <f t="shared" si="323"/>
        <v>0</v>
      </c>
      <c r="DR128" s="3" t="s">
        <v>69</v>
      </c>
      <c r="DS128" s="3">
        <f t="shared" si="324"/>
        <v>0</v>
      </c>
      <c r="DT128" s="3">
        <f t="shared" si="325"/>
        <v>0</v>
      </c>
      <c r="DU128" s="3">
        <f t="shared" si="326"/>
        <v>0</v>
      </c>
      <c r="DV128" s="3">
        <f t="shared" si="327"/>
        <v>0</v>
      </c>
      <c r="DW128" s="3">
        <f t="shared" si="328"/>
        <v>0</v>
      </c>
      <c r="DX128" s="3">
        <f t="shared" si="329"/>
        <v>0</v>
      </c>
      <c r="DY128" s="3">
        <f t="shared" si="330"/>
        <v>0</v>
      </c>
      <c r="DZ128" s="3">
        <f t="shared" si="331"/>
        <v>0</v>
      </c>
      <c r="EA128" s="3">
        <f t="shared" si="332"/>
        <v>0</v>
      </c>
      <c r="EB128" s="3" t="s">
        <v>70</v>
      </c>
      <c r="EC128" s="3">
        <f t="shared" si="333"/>
        <v>0</v>
      </c>
      <c r="ED128" s="3" t="s">
        <v>70</v>
      </c>
      <c r="EE128" s="3">
        <f t="shared" si="334"/>
        <v>0</v>
      </c>
      <c r="EF128" s="3">
        <f t="shared" si="335"/>
        <v>0</v>
      </c>
      <c r="EG128" s="3">
        <f t="shared" si="336"/>
        <v>0</v>
      </c>
      <c r="EH128" s="3">
        <f t="shared" si="337"/>
        <v>0</v>
      </c>
      <c r="EI128" s="3">
        <f t="shared" si="338"/>
        <v>0</v>
      </c>
      <c r="EJ128" s="3">
        <f t="shared" si="339"/>
        <v>0</v>
      </c>
      <c r="EK128" s="3">
        <f t="shared" si="340"/>
        <v>0</v>
      </c>
      <c r="EL128" s="24">
        <f t="shared" si="341"/>
        <v>0</v>
      </c>
      <c r="EM128" s="24"/>
      <c r="EN128" s="46">
        <f t="shared" si="342"/>
        <v>0</v>
      </c>
      <c r="EO128" s="46">
        <f t="shared" si="343"/>
        <v>0</v>
      </c>
      <c r="EP128" s="47">
        <f t="shared" si="344"/>
        <v>0</v>
      </c>
      <c r="EQ128" s="3" t="s">
        <v>69</v>
      </c>
      <c r="ER128" s="3">
        <f t="shared" si="345"/>
        <v>0</v>
      </c>
      <c r="ES128" s="3">
        <f t="shared" si="346"/>
        <v>0</v>
      </c>
      <c r="ET128" s="46">
        <f t="shared" si="347"/>
        <v>0</v>
      </c>
      <c r="EU128" s="46">
        <f t="shared" si="348"/>
        <v>0</v>
      </c>
      <c r="EV128" s="46">
        <f t="shared" si="349"/>
        <v>0</v>
      </c>
      <c r="EW128" s="46">
        <f t="shared" si="350"/>
        <v>0</v>
      </c>
      <c r="EX128" s="46">
        <f t="shared" si="351"/>
        <v>0</v>
      </c>
      <c r="EY128" s="46">
        <f t="shared" si="352"/>
        <v>0</v>
      </c>
      <c r="EZ128" s="3">
        <f t="shared" si="353"/>
        <v>0</v>
      </c>
      <c r="FA128" s="3" t="s">
        <v>70</v>
      </c>
      <c r="FB128" s="3">
        <f t="shared" si="354"/>
        <v>0</v>
      </c>
      <c r="FC128" s="3" t="s">
        <v>70</v>
      </c>
      <c r="FD128" s="46">
        <f t="shared" si="355"/>
        <v>0</v>
      </c>
      <c r="FE128" s="46">
        <f t="shared" si="356"/>
        <v>0</v>
      </c>
      <c r="FF128" s="46">
        <f t="shared" si="357"/>
        <v>0</v>
      </c>
      <c r="FG128" s="46">
        <f t="shared" si="358"/>
        <v>0</v>
      </c>
      <c r="FH128" s="46">
        <f t="shared" si="359"/>
        <v>0</v>
      </c>
      <c r="FI128" s="46">
        <f t="shared" si="360"/>
        <v>0</v>
      </c>
      <c r="FJ128" s="3">
        <f t="shared" si="361"/>
        <v>0</v>
      </c>
      <c r="FK128" s="46">
        <f t="shared" si="362"/>
        <v>0</v>
      </c>
      <c r="FM128" s="74">
        <f>EL128+'EXTRALABORAL B '!BH311</f>
        <v>0</v>
      </c>
      <c r="FN128" s="74">
        <f t="shared" si="363"/>
        <v>0</v>
      </c>
    </row>
    <row r="129" spans="1:170">
      <c r="A129" s="3">
        <v>126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3">
        <f t="shared" si="321"/>
        <v>0</v>
      </c>
      <c r="DP129" s="3">
        <f t="shared" si="322"/>
        <v>0</v>
      </c>
      <c r="DQ129" s="3">
        <f t="shared" si="323"/>
        <v>0</v>
      </c>
      <c r="DR129" s="3" t="s">
        <v>69</v>
      </c>
      <c r="DS129" s="3">
        <f t="shared" si="324"/>
        <v>0</v>
      </c>
      <c r="DT129" s="3">
        <f t="shared" si="325"/>
        <v>0</v>
      </c>
      <c r="DU129" s="3">
        <f t="shared" si="326"/>
        <v>0</v>
      </c>
      <c r="DV129" s="3">
        <f t="shared" si="327"/>
        <v>0</v>
      </c>
      <c r="DW129" s="3">
        <f t="shared" si="328"/>
        <v>0</v>
      </c>
      <c r="DX129" s="3">
        <f t="shared" si="329"/>
        <v>0</v>
      </c>
      <c r="DY129" s="3">
        <f t="shared" si="330"/>
        <v>0</v>
      </c>
      <c r="DZ129" s="3">
        <f t="shared" si="331"/>
        <v>0</v>
      </c>
      <c r="EA129" s="3">
        <f t="shared" si="332"/>
        <v>0</v>
      </c>
      <c r="EB129" s="3" t="s">
        <v>70</v>
      </c>
      <c r="EC129" s="3">
        <f t="shared" si="333"/>
        <v>0</v>
      </c>
      <c r="ED129" s="3" t="s">
        <v>70</v>
      </c>
      <c r="EE129" s="3">
        <f t="shared" si="334"/>
        <v>0</v>
      </c>
      <c r="EF129" s="3">
        <f t="shared" si="335"/>
        <v>0</v>
      </c>
      <c r="EG129" s="3">
        <f t="shared" si="336"/>
        <v>0</v>
      </c>
      <c r="EH129" s="3">
        <f t="shared" si="337"/>
        <v>0</v>
      </c>
      <c r="EI129" s="3">
        <f t="shared" si="338"/>
        <v>0</v>
      </c>
      <c r="EJ129" s="3">
        <f t="shared" si="339"/>
        <v>0</v>
      </c>
      <c r="EK129" s="3">
        <f t="shared" si="340"/>
        <v>0</v>
      </c>
      <c r="EL129" s="24">
        <f t="shared" si="341"/>
        <v>0</v>
      </c>
      <c r="EM129" s="24"/>
      <c r="EN129" s="46">
        <f t="shared" si="342"/>
        <v>0</v>
      </c>
      <c r="EO129" s="46">
        <f t="shared" si="343"/>
        <v>0</v>
      </c>
      <c r="EP129" s="47">
        <f t="shared" si="344"/>
        <v>0</v>
      </c>
      <c r="EQ129" s="3" t="s">
        <v>69</v>
      </c>
      <c r="ER129" s="3">
        <f t="shared" si="345"/>
        <v>0</v>
      </c>
      <c r="ES129" s="3">
        <f t="shared" si="346"/>
        <v>0</v>
      </c>
      <c r="ET129" s="46">
        <f t="shared" si="347"/>
        <v>0</v>
      </c>
      <c r="EU129" s="46">
        <f t="shared" si="348"/>
        <v>0</v>
      </c>
      <c r="EV129" s="46">
        <f t="shared" si="349"/>
        <v>0</v>
      </c>
      <c r="EW129" s="46">
        <f t="shared" si="350"/>
        <v>0</v>
      </c>
      <c r="EX129" s="46">
        <f t="shared" si="351"/>
        <v>0</v>
      </c>
      <c r="EY129" s="46">
        <f t="shared" si="352"/>
        <v>0</v>
      </c>
      <c r="EZ129" s="3">
        <f t="shared" si="353"/>
        <v>0</v>
      </c>
      <c r="FA129" s="3" t="s">
        <v>70</v>
      </c>
      <c r="FB129" s="3">
        <f t="shared" si="354"/>
        <v>0</v>
      </c>
      <c r="FC129" s="3" t="s">
        <v>70</v>
      </c>
      <c r="FD129" s="46">
        <f t="shared" si="355"/>
        <v>0</v>
      </c>
      <c r="FE129" s="46">
        <f t="shared" si="356"/>
        <v>0</v>
      </c>
      <c r="FF129" s="46">
        <f t="shared" si="357"/>
        <v>0</v>
      </c>
      <c r="FG129" s="46">
        <f t="shared" si="358"/>
        <v>0</v>
      </c>
      <c r="FH129" s="46">
        <f t="shared" si="359"/>
        <v>0</v>
      </c>
      <c r="FI129" s="46">
        <f t="shared" si="360"/>
        <v>0</v>
      </c>
      <c r="FJ129" s="3">
        <f t="shared" si="361"/>
        <v>0</v>
      </c>
      <c r="FK129" s="46">
        <f t="shared" si="362"/>
        <v>0</v>
      </c>
      <c r="FM129" s="74">
        <f>EL129+'EXTRALABORAL B '!BH312</f>
        <v>0</v>
      </c>
      <c r="FN129" s="74">
        <f t="shared" si="363"/>
        <v>0</v>
      </c>
    </row>
    <row r="130" spans="1:170">
      <c r="A130" s="3">
        <v>127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3">
        <f t="shared" si="321"/>
        <v>0</v>
      </c>
      <c r="DP130" s="3">
        <f t="shared" si="322"/>
        <v>0</v>
      </c>
      <c r="DQ130" s="3">
        <f t="shared" si="323"/>
        <v>0</v>
      </c>
      <c r="DR130" s="3" t="s">
        <v>69</v>
      </c>
      <c r="DS130" s="3">
        <f t="shared" si="324"/>
        <v>0</v>
      </c>
      <c r="DT130" s="3">
        <f t="shared" si="325"/>
        <v>0</v>
      </c>
      <c r="DU130" s="3">
        <f t="shared" si="326"/>
        <v>0</v>
      </c>
      <c r="DV130" s="3">
        <f t="shared" si="327"/>
        <v>0</v>
      </c>
      <c r="DW130" s="3">
        <f t="shared" si="328"/>
        <v>0</v>
      </c>
      <c r="DX130" s="3">
        <f t="shared" si="329"/>
        <v>0</v>
      </c>
      <c r="DY130" s="3">
        <f t="shared" si="330"/>
        <v>0</v>
      </c>
      <c r="DZ130" s="3">
        <f t="shared" si="331"/>
        <v>0</v>
      </c>
      <c r="EA130" s="3">
        <f t="shared" si="332"/>
        <v>0</v>
      </c>
      <c r="EB130" s="3" t="s">
        <v>70</v>
      </c>
      <c r="EC130" s="3">
        <f t="shared" si="333"/>
        <v>0</v>
      </c>
      <c r="ED130" s="3" t="s">
        <v>70</v>
      </c>
      <c r="EE130" s="3">
        <f t="shared" si="334"/>
        <v>0</v>
      </c>
      <c r="EF130" s="3">
        <f t="shared" si="335"/>
        <v>0</v>
      </c>
      <c r="EG130" s="3">
        <f t="shared" si="336"/>
        <v>0</v>
      </c>
      <c r="EH130" s="3">
        <f t="shared" si="337"/>
        <v>0</v>
      </c>
      <c r="EI130" s="3">
        <f t="shared" si="338"/>
        <v>0</v>
      </c>
      <c r="EJ130" s="3">
        <f t="shared" si="339"/>
        <v>0</v>
      </c>
      <c r="EK130" s="3">
        <f t="shared" si="340"/>
        <v>0</v>
      </c>
      <c r="EL130" s="24">
        <f t="shared" si="341"/>
        <v>0</v>
      </c>
      <c r="EM130" s="24"/>
      <c r="EN130" s="46">
        <f t="shared" si="342"/>
        <v>0</v>
      </c>
      <c r="EO130" s="46">
        <f t="shared" si="343"/>
        <v>0</v>
      </c>
      <c r="EP130" s="47">
        <f t="shared" si="344"/>
        <v>0</v>
      </c>
      <c r="EQ130" s="3" t="s">
        <v>69</v>
      </c>
      <c r="ER130" s="3">
        <f t="shared" si="345"/>
        <v>0</v>
      </c>
      <c r="ES130" s="3">
        <f t="shared" si="346"/>
        <v>0</v>
      </c>
      <c r="ET130" s="46">
        <f t="shared" si="347"/>
        <v>0</v>
      </c>
      <c r="EU130" s="46">
        <f t="shared" si="348"/>
        <v>0</v>
      </c>
      <c r="EV130" s="46">
        <f t="shared" si="349"/>
        <v>0</v>
      </c>
      <c r="EW130" s="46">
        <f t="shared" si="350"/>
        <v>0</v>
      </c>
      <c r="EX130" s="46">
        <f t="shared" si="351"/>
        <v>0</v>
      </c>
      <c r="EY130" s="46">
        <f t="shared" si="352"/>
        <v>0</v>
      </c>
      <c r="EZ130" s="3">
        <f t="shared" si="353"/>
        <v>0</v>
      </c>
      <c r="FA130" s="3" t="s">
        <v>70</v>
      </c>
      <c r="FB130" s="3">
        <f t="shared" si="354"/>
        <v>0</v>
      </c>
      <c r="FC130" s="3" t="s">
        <v>70</v>
      </c>
      <c r="FD130" s="46">
        <f t="shared" si="355"/>
        <v>0</v>
      </c>
      <c r="FE130" s="46">
        <f t="shared" si="356"/>
        <v>0</v>
      </c>
      <c r="FF130" s="46">
        <f t="shared" si="357"/>
        <v>0</v>
      </c>
      <c r="FG130" s="46">
        <f t="shared" si="358"/>
        <v>0</v>
      </c>
      <c r="FH130" s="46">
        <f t="shared" si="359"/>
        <v>0</v>
      </c>
      <c r="FI130" s="46">
        <f t="shared" si="360"/>
        <v>0</v>
      </c>
      <c r="FJ130" s="3">
        <f t="shared" si="361"/>
        <v>0</v>
      </c>
      <c r="FK130" s="46">
        <f t="shared" si="362"/>
        <v>0</v>
      </c>
      <c r="FM130" s="74">
        <f>EL130+'EXTRALABORAL B '!BH313</f>
        <v>0</v>
      </c>
      <c r="FN130" s="74">
        <f t="shared" si="363"/>
        <v>0</v>
      </c>
    </row>
    <row r="131" spans="1:170">
      <c r="A131" s="3">
        <v>128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3">
        <f t="shared" si="321"/>
        <v>0</v>
      </c>
      <c r="DP131" s="3">
        <f t="shared" si="322"/>
        <v>0</v>
      </c>
      <c r="DQ131" s="3">
        <f t="shared" si="323"/>
        <v>0</v>
      </c>
      <c r="DR131" s="3" t="s">
        <v>69</v>
      </c>
      <c r="DS131" s="3">
        <f t="shared" si="324"/>
        <v>0</v>
      </c>
      <c r="DT131" s="3">
        <f t="shared" si="325"/>
        <v>0</v>
      </c>
      <c r="DU131" s="3">
        <f t="shared" si="326"/>
        <v>0</v>
      </c>
      <c r="DV131" s="3">
        <f t="shared" si="327"/>
        <v>0</v>
      </c>
      <c r="DW131" s="3">
        <f t="shared" si="328"/>
        <v>0</v>
      </c>
      <c r="DX131" s="3">
        <f t="shared" si="329"/>
        <v>0</v>
      </c>
      <c r="DY131" s="3">
        <f t="shared" si="330"/>
        <v>0</v>
      </c>
      <c r="DZ131" s="3">
        <f t="shared" si="331"/>
        <v>0</v>
      </c>
      <c r="EA131" s="3">
        <f t="shared" si="332"/>
        <v>0</v>
      </c>
      <c r="EB131" s="3" t="s">
        <v>70</v>
      </c>
      <c r="EC131" s="3">
        <f t="shared" si="333"/>
        <v>0</v>
      </c>
      <c r="ED131" s="3" t="s">
        <v>70</v>
      </c>
      <c r="EE131" s="3">
        <f t="shared" si="334"/>
        <v>0</v>
      </c>
      <c r="EF131" s="3">
        <f t="shared" si="335"/>
        <v>0</v>
      </c>
      <c r="EG131" s="3">
        <f t="shared" si="336"/>
        <v>0</v>
      </c>
      <c r="EH131" s="3">
        <f t="shared" si="337"/>
        <v>0</v>
      </c>
      <c r="EI131" s="3">
        <f t="shared" si="338"/>
        <v>0</v>
      </c>
      <c r="EJ131" s="3">
        <f t="shared" si="339"/>
        <v>0</v>
      </c>
      <c r="EK131" s="3">
        <f t="shared" si="340"/>
        <v>0</v>
      </c>
      <c r="EL131" s="24">
        <f t="shared" si="341"/>
        <v>0</v>
      </c>
      <c r="EM131" s="24"/>
      <c r="EN131" s="46">
        <f t="shared" si="342"/>
        <v>0</v>
      </c>
      <c r="EO131" s="46">
        <f t="shared" si="343"/>
        <v>0</v>
      </c>
      <c r="EP131" s="47">
        <f t="shared" si="344"/>
        <v>0</v>
      </c>
      <c r="EQ131" s="3" t="s">
        <v>69</v>
      </c>
      <c r="ER131" s="3">
        <f t="shared" si="345"/>
        <v>0</v>
      </c>
      <c r="ES131" s="3">
        <f t="shared" si="346"/>
        <v>0</v>
      </c>
      <c r="ET131" s="46">
        <f t="shared" si="347"/>
        <v>0</v>
      </c>
      <c r="EU131" s="46">
        <f t="shared" si="348"/>
        <v>0</v>
      </c>
      <c r="EV131" s="46">
        <f t="shared" si="349"/>
        <v>0</v>
      </c>
      <c r="EW131" s="46">
        <f t="shared" si="350"/>
        <v>0</v>
      </c>
      <c r="EX131" s="46">
        <f t="shared" si="351"/>
        <v>0</v>
      </c>
      <c r="EY131" s="46">
        <f t="shared" si="352"/>
        <v>0</v>
      </c>
      <c r="EZ131" s="3">
        <f t="shared" si="353"/>
        <v>0</v>
      </c>
      <c r="FA131" s="3" t="s">
        <v>70</v>
      </c>
      <c r="FB131" s="3">
        <f t="shared" si="354"/>
        <v>0</v>
      </c>
      <c r="FC131" s="3" t="s">
        <v>70</v>
      </c>
      <c r="FD131" s="46">
        <f t="shared" si="355"/>
        <v>0</v>
      </c>
      <c r="FE131" s="46">
        <f t="shared" si="356"/>
        <v>0</v>
      </c>
      <c r="FF131" s="46">
        <f t="shared" si="357"/>
        <v>0</v>
      </c>
      <c r="FG131" s="46">
        <f t="shared" si="358"/>
        <v>0</v>
      </c>
      <c r="FH131" s="46">
        <f t="shared" si="359"/>
        <v>0</v>
      </c>
      <c r="FI131" s="46">
        <f t="shared" si="360"/>
        <v>0</v>
      </c>
      <c r="FJ131" s="3">
        <f t="shared" si="361"/>
        <v>0</v>
      </c>
      <c r="FK131" s="46">
        <f t="shared" si="362"/>
        <v>0</v>
      </c>
      <c r="FM131" s="74">
        <f>EL131+'EXTRALABORAL B '!BH314</f>
        <v>0</v>
      </c>
      <c r="FN131" s="74">
        <f t="shared" si="363"/>
        <v>0</v>
      </c>
    </row>
    <row r="132" spans="1:170">
      <c r="A132" s="3">
        <v>129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3">
        <f t="shared" si="321"/>
        <v>0</v>
      </c>
      <c r="DP132" s="3">
        <f t="shared" si="322"/>
        <v>0</v>
      </c>
      <c r="DQ132" s="3">
        <f t="shared" si="323"/>
        <v>0</v>
      </c>
      <c r="DR132" s="3" t="s">
        <v>69</v>
      </c>
      <c r="DS132" s="3">
        <f t="shared" si="324"/>
        <v>0</v>
      </c>
      <c r="DT132" s="3">
        <f t="shared" si="325"/>
        <v>0</v>
      </c>
      <c r="DU132" s="3">
        <f t="shared" si="326"/>
        <v>0</v>
      </c>
      <c r="DV132" s="3">
        <f t="shared" si="327"/>
        <v>0</v>
      </c>
      <c r="DW132" s="3">
        <f t="shared" si="328"/>
        <v>0</v>
      </c>
      <c r="DX132" s="3">
        <f t="shared" si="329"/>
        <v>0</v>
      </c>
      <c r="DY132" s="3">
        <f t="shared" si="330"/>
        <v>0</v>
      </c>
      <c r="DZ132" s="3">
        <f t="shared" si="331"/>
        <v>0</v>
      </c>
      <c r="EA132" s="3">
        <f t="shared" si="332"/>
        <v>0</v>
      </c>
      <c r="EB132" s="3" t="s">
        <v>70</v>
      </c>
      <c r="EC132" s="3">
        <f t="shared" si="333"/>
        <v>0</v>
      </c>
      <c r="ED132" s="3" t="s">
        <v>70</v>
      </c>
      <c r="EE132" s="3">
        <f t="shared" si="334"/>
        <v>0</v>
      </c>
      <c r="EF132" s="3">
        <f t="shared" si="335"/>
        <v>0</v>
      </c>
      <c r="EG132" s="3">
        <f t="shared" si="336"/>
        <v>0</v>
      </c>
      <c r="EH132" s="3">
        <f t="shared" si="337"/>
        <v>0</v>
      </c>
      <c r="EI132" s="3">
        <f t="shared" si="338"/>
        <v>0</v>
      </c>
      <c r="EJ132" s="3">
        <f t="shared" si="339"/>
        <v>0</v>
      </c>
      <c r="EK132" s="3">
        <f t="shared" si="340"/>
        <v>0</v>
      </c>
      <c r="EL132" s="24">
        <f t="shared" si="341"/>
        <v>0</v>
      </c>
      <c r="EM132" s="24"/>
      <c r="EN132" s="46">
        <f t="shared" si="342"/>
        <v>0</v>
      </c>
      <c r="EO132" s="46">
        <f t="shared" si="343"/>
        <v>0</v>
      </c>
      <c r="EP132" s="47">
        <f t="shared" si="344"/>
        <v>0</v>
      </c>
      <c r="EQ132" s="3" t="s">
        <v>69</v>
      </c>
      <c r="ER132" s="3">
        <f t="shared" si="345"/>
        <v>0</v>
      </c>
      <c r="ES132" s="3">
        <f t="shared" si="346"/>
        <v>0</v>
      </c>
      <c r="ET132" s="46">
        <f t="shared" si="347"/>
        <v>0</v>
      </c>
      <c r="EU132" s="46">
        <f t="shared" si="348"/>
        <v>0</v>
      </c>
      <c r="EV132" s="46">
        <f t="shared" si="349"/>
        <v>0</v>
      </c>
      <c r="EW132" s="46">
        <f t="shared" si="350"/>
        <v>0</v>
      </c>
      <c r="EX132" s="46">
        <f t="shared" si="351"/>
        <v>0</v>
      </c>
      <c r="EY132" s="46">
        <f t="shared" si="352"/>
        <v>0</v>
      </c>
      <c r="EZ132" s="3">
        <f t="shared" si="353"/>
        <v>0</v>
      </c>
      <c r="FA132" s="3" t="s">
        <v>70</v>
      </c>
      <c r="FB132" s="3">
        <f t="shared" si="354"/>
        <v>0</v>
      </c>
      <c r="FC132" s="3" t="s">
        <v>70</v>
      </c>
      <c r="FD132" s="46">
        <f t="shared" si="355"/>
        <v>0</v>
      </c>
      <c r="FE132" s="46">
        <f t="shared" si="356"/>
        <v>0</v>
      </c>
      <c r="FF132" s="46">
        <f t="shared" si="357"/>
        <v>0</v>
      </c>
      <c r="FG132" s="46">
        <f t="shared" si="358"/>
        <v>0</v>
      </c>
      <c r="FH132" s="46">
        <f t="shared" si="359"/>
        <v>0</v>
      </c>
      <c r="FI132" s="46">
        <f t="shared" si="360"/>
        <v>0</v>
      </c>
      <c r="FJ132" s="3">
        <f t="shared" si="361"/>
        <v>0</v>
      </c>
      <c r="FK132" s="46">
        <f t="shared" si="362"/>
        <v>0</v>
      </c>
      <c r="FM132" s="74">
        <f>EL132+'EXTRALABORAL B '!BH315</f>
        <v>0</v>
      </c>
      <c r="FN132" s="74">
        <f t="shared" si="363"/>
        <v>0</v>
      </c>
    </row>
    <row r="133" spans="1:170">
      <c r="A133" s="3">
        <v>130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3">
        <f t="shared" si="321"/>
        <v>0</v>
      </c>
      <c r="DP133" s="3">
        <f t="shared" si="322"/>
        <v>0</v>
      </c>
      <c r="DQ133" s="3">
        <f t="shared" si="323"/>
        <v>0</v>
      </c>
      <c r="DR133" s="3" t="s">
        <v>69</v>
      </c>
      <c r="DS133" s="3">
        <f t="shared" si="324"/>
        <v>0</v>
      </c>
      <c r="DT133" s="3">
        <f t="shared" si="325"/>
        <v>0</v>
      </c>
      <c r="DU133" s="3">
        <f t="shared" si="326"/>
        <v>0</v>
      </c>
      <c r="DV133" s="3">
        <f t="shared" si="327"/>
        <v>0</v>
      </c>
      <c r="DW133" s="3">
        <f t="shared" si="328"/>
        <v>0</v>
      </c>
      <c r="DX133" s="3">
        <f t="shared" si="329"/>
        <v>0</v>
      </c>
      <c r="DY133" s="3">
        <f t="shared" si="330"/>
        <v>0</v>
      </c>
      <c r="DZ133" s="3">
        <f t="shared" si="331"/>
        <v>0</v>
      </c>
      <c r="EA133" s="3">
        <f t="shared" si="332"/>
        <v>0</v>
      </c>
      <c r="EB133" s="3" t="s">
        <v>70</v>
      </c>
      <c r="EC133" s="3">
        <f t="shared" si="333"/>
        <v>0</v>
      </c>
      <c r="ED133" s="3" t="s">
        <v>70</v>
      </c>
      <c r="EE133" s="3">
        <f t="shared" si="334"/>
        <v>0</v>
      </c>
      <c r="EF133" s="3">
        <f t="shared" si="335"/>
        <v>0</v>
      </c>
      <c r="EG133" s="3">
        <f t="shared" si="336"/>
        <v>0</v>
      </c>
      <c r="EH133" s="3">
        <f t="shared" si="337"/>
        <v>0</v>
      </c>
      <c r="EI133" s="3">
        <f t="shared" si="338"/>
        <v>0</v>
      </c>
      <c r="EJ133" s="3">
        <f t="shared" si="339"/>
        <v>0</v>
      </c>
      <c r="EK133" s="3">
        <f t="shared" si="340"/>
        <v>0</v>
      </c>
      <c r="EL133" s="24">
        <f t="shared" si="341"/>
        <v>0</v>
      </c>
      <c r="EM133" s="24"/>
      <c r="EN133" s="46">
        <f t="shared" si="342"/>
        <v>0</v>
      </c>
      <c r="EO133" s="46">
        <f t="shared" si="343"/>
        <v>0</v>
      </c>
      <c r="EP133" s="47">
        <f t="shared" si="344"/>
        <v>0</v>
      </c>
      <c r="EQ133" s="3" t="s">
        <v>69</v>
      </c>
      <c r="ER133" s="3">
        <f t="shared" si="345"/>
        <v>0</v>
      </c>
      <c r="ES133" s="3">
        <f t="shared" si="346"/>
        <v>0</v>
      </c>
      <c r="ET133" s="46">
        <f t="shared" si="347"/>
        <v>0</v>
      </c>
      <c r="EU133" s="46">
        <f t="shared" si="348"/>
        <v>0</v>
      </c>
      <c r="EV133" s="46">
        <f t="shared" si="349"/>
        <v>0</v>
      </c>
      <c r="EW133" s="46">
        <f t="shared" si="350"/>
        <v>0</v>
      </c>
      <c r="EX133" s="46">
        <f t="shared" si="351"/>
        <v>0</v>
      </c>
      <c r="EY133" s="46">
        <f t="shared" si="352"/>
        <v>0</v>
      </c>
      <c r="EZ133" s="3">
        <f t="shared" si="353"/>
        <v>0</v>
      </c>
      <c r="FA133" s="3" t="s">
        <v>70</v>
      </c>
      <c r="FB133" s="3">
        <f t="shared" si="354"/>
        <v>0</v>
      </c>
      <c r="FC133" s="3" t="s">
        <v>70</v>
      </c>
      <c r="FD133" s="46">
        <f t="shared" si="355"/>
        <v>0</v>
      </c>
      <c r="FE133" s="46">
        <f t="shared" si="356"/>
        <v>0</v>
      </c>
      <c r="FF133" s="46">
        <f t="shared" si="357"/>
        <v>0</v>
      </c>
      <c r="FG133" s="46">
        <f t="shared" si="358"/>
        <v>0</v>
      </c>
      <c r="FH133" s="46">
        <f t="shared" si="359"/>
        <v>0</v>
      </c>
      <c r="FI133" s="46">
        <f t="shared" si="360"/>
        <v>0</v>
      </c>
      <c r="FJ133" s="3">
        <f t="shared" si="361"/>
        <v>0</v>
      </c>
      <c r="FK133" s="46">
        <f t="shared" si="362"/>
        <v>0</v>
      </c>
      <c r="FM133" s="74">
        <f>EL133+'EXTRALABORAL B '!BH316</f>
        <v>0</v>
      </c>
      <c r="FN133" s="74">
        <f t="shared" si="363"/>
        <v>0</v>
      </c>
    </row>
    <row r="134" spans="1:170">
      <c r="A134" s="3">
        <v>131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3">
        <f t="shared" si="321"/>
        <v>0</v>
      </c>
      <c r="DP134" s="3">
        <f t="shared" si="322"/>
        <v>0</v>
      </c>
      <c r="DQ134" s="3">
        <f t="shared" si="323"/>
        <v>0</v>
      </c>
      <c r="DR134" s="3" t="s">
        <v>69</v>
      </c>
      <c r="DS134" s="3">
        <f t="shared" si="324"/>
        <v>0</v>
      </c>
      <c r="DT134" s="3">
        <f t="shared" si="325"/>
        <v>0</v>
      </c>
      <c r="DU134" s="3">
        <f t="shared" si="326"/>
        <v>0</v>
      </c>
      <c r="DV134" s="3">
        <f t="shared" si="327"/>
        <v>0</v>
      </c>
      <c r="DW134" s="3">
        <f t="shared" si="328"/>
        <v>0</v>
      </c>
      <c r="DX134" s="3">
        <f t="shared" si="329"/>
        <v>0</v>
      </c>
      <c r="DY134" s="3">
        <f t="shared" si="330"/>
        <v>0</v>
      </c>
      <c r="DZ134" s="3">
        <f t="shared" si="331"/>
        <v>0</v>
      </c>
      <c r="EA134" s="3">
        <f t="shared" si="332"/>
        <v>0</v>
      </c>
      <c r="EB134" s="3" t="s">
        <v>70</v>
      </c>
      <c r="EC134" s="3">
        <f t="shared" si="333"/>
        <v>0</v>
      </c>
      <c r="ED134" s="3" t="s">
        <v>70</v>
      </c>
      <c r="EE134" s="3">
        <f t="shared" si="334"/>
        <v>0</v>
      </c>
      <c r="EF134" s="3">
        <f t="shared" si="335"/>
        <v>0</v>
      </c>
      <c r="EG134" s="3">
        <f t="shared" si="336"/>
        <v>0</v>
      </c>
      <c r="EH134" s="3">
        <f t="shared" si="337"/>
        <v>0</v>
      </c>
      <c r="EI134" s="3">
        <f t="shared" si="338"/>
        <v>0</v>
      </c>
      <c r="EJ134" s="3">
        <f t="shared" si="339"/>
        <v>0</v>
      </c>
      <c r="EK134" s="3">
        <f t="shared" si="340"/>
        <v>0</v>
      </c>
      <c r="EL134" s="24">
        <f t="shared" si="341"/>
        <v>0</v>
      </c>
      <c r="EM134" s="24"/>
      <c r="EN134" s="46">
        <f t="shared" si="342"/>
        <v>0</v>
      </c>
      <c r="EO134" s="46">
        <f t="shared" si="343"/>
        <v>0</v>
      </c>
      <c r="EP134" s="47">
        <f t="shared" si="344"/>
        <v>0</v>
      </c>
      <c r="EQ134" s="3" t="s">
        <v>69</v>
      </c>
      <c r="ER134" s="3">
        <f t="shared" si="345"/>
        <v>0</v>
      </c>
      <c r="ES134" s="3">
        <f t="shared" si="346"/>
        <v>0</v>
      </c>
      <c r="ET134" s="46">
        <f t="shared" si="347"/>
        <v>0</v>
      </c>
      <c r="EU134" s="46">
        <f t="shared" si="348"/>
        <v>0</v>
      </c>
      <c r="EV134" s="46">
        <f t="shared" si="349"/>
        <v>0</v>
      </c>
      <c r="EW134" s="46">
        <f t="shared" si="350"/>
        <v>0</v>
      </c>
      <c r="EX134" s="46">
        <f t="shared" si="351"/>
        <v>0</v>
      </c>
      <c r="EY134" s="46">
        <f t="shared" si="352"/>
        <v>0</v>
      </c>
      <c r="EZ134" s="3">
        <f t="shared" si="353"/>
        <v>0</v>
      </c>
      <c r="FA134" s="3" t="s">
        <v>70</v>
      </c>
      <c r="FB134" s="3">
        <f t="shared" si="354"/>
        <v>0</v>
      </c>
      <c r="FC134" s="3" t="s">
        <v>70</v>
      </c>
      <c r="FD134" s="46">
        <f t="shared" si="355"/>
        <v>0</v>
      </c>
      <c r="FE134" s="46">
        <f t="shared" si="356"/>
        <v>0</v>
      </c>
      <c r="FF134" s="46">
        <f t="shared" si="357"/>
        <v>0</v>
      </c>
      <c r="FG134" s="46">
        <f t="shared" si="358"/>
        <v>0</v>
      </c>
      <c r="FH134" s="46">
        <f t="shared" si="359"/>
        <v>0</v>
      </c>
      <c r="FI134" s="46">
        <f t="shared" si="360"/>
        <v>0</v>
      </c>
      <c r="FJ134" s="3">
        <f t="shared" si="361"/>
        <v>0</v>
      </c>
      <c r="FK134" s="46">
        <f t="shared" si="362"/>
        <v>0</v>
      </c>
      <c r="FM134" s="74">
        <f>EL134+'EXTRALABORAL B '!BH317</f>
        <v>0</v>
      </c>
      <c r="FN134" s="74">
        <f t="shared" si="363"/>
        <v>0</v>
      </c>
    </row>
    <row r="135" spans="1:170">
      <c r="A135" s="3">
        <v>132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3">
        <f t="shared" si="321"/>
        <v>0</v>
      </c>
      <c r="DP135" s="3">
        <f t="shared" si="322"/>
        <v>0</v>
      </c>
      <c r="DQ135" s="3">
        <f t="shared" si="323"/>
        <v>0</v>
      </c>
      <c r="DR135" s="3" t="s">
        <v>69</v>
      </c>
      <c r="DS135" s="3">
        <f t="shared" si="324"/>
        <v>0</v>
      </c>
      <c r="DT135" s="3">
        <f t="shared" si="325"/>
        <v>0</v>
      </c>
      <c r="DU135" s="3">
        <f t="shared" si="326"/>
        <v>0</v>
      </c>
      <c r="DV135" s="3">
        <f t="shared" si="327"/>
        <v>0</v>
      </c>
      <c r="DW135" s="3">
        <f t="shared" si="328"/>
        <v>0</v>
      </c>
      <c r="DX135" s="3">
        <f t="shared" si="329"/>
        <v>0</v>
      </c>
      <c r="DY135" s="3">
        <f t="shared" si="330"/>
        <v>0</v>
      </c>
      <c r="DZ135" s="3">
        <f t="shared" si="331"/>
        <v>0</v>
      </c>
      <c r="EA135" s="3">
        <f t="shared" si="332"/>
        <v>0</v>
      </c>
      <c r="EB135" s="3" t="s">
        <v>70</v>
      </c>
      <c r="EC135" s="3">
        <f t="shared" si="333"/>
        <v>0</v>
      </c>
      <c r="ED135" s="3" t="s">
        <v>70</v>
      </c>
      <c r="EE135" s="3">
        <f t="shared" si="334"/>
        <v>0</v>
      </c>
      <c r="EF135" s="3">
        <f t="shared" si="335"/>
        <v>0</v>
      </c>
      <c r="EG135" s="3">
        <f t="shared" si="336"/>
        <v>0</v>
      </c>
      <c r="EH135" s="3">
        <f t="shared" si="337"/>
        <v>0</v>
      </c>
      <c r="EI135" s="3">
        <f t="shared" si="338"/>
        <v>0</v>
      </c>
      <c r="EJ135" s="3">
        <f t="shared" si="339"/>
        <v>0</v>
      </c>
      <c r="EK135" s="3">
        <f t="shared" si="340"/>
        <v>0</v>
      </c>
      <c r="EL135" s="24">
        <f t="shared" si="341"/>
        <v>0</v>
      </c>
      <c r="EM135" s="24"/>
      <c r="EN135" s="46">
        <f t="shared" si="342"/>
        <v>0</v>
      </c>
      <c r="EO135" s="46">
        <f t="shared" si="343"/>
        <v>0</v>
      </c>
      <c r="EP135" s="47">
        <f t="shared" si="344"/>
        <v>0</v>
      </c>
      <c r="EQ135" s="3" t="s">
        <v>69</v>
      </c>
      <c r="ER135" s="3">
        <f t="shared" si="345"/>
        <v>0</v>
      </c>
      <c r="ES135" s="3">
        <f t="shared" si="346"/>
        <v>0</v>
      </c>
      <c r="ET135" s="46">
        <f t="shared" si="347"/>
        <v>0</v>
      </c>
      <c r="EU135" s="46">
        <f t="shared" si="348"/>
        <v>0</v>
      </c>
      <c r="EV135" s="46">
        <f t="shared" si="349"/>
        <v>0</v>
      </c>
      <c r="EW135" s="46">
        <f t="shared" si="350"/>
        <v>0</v>
      </c>
      <c r="EX135" s="46">
        <f t="shared" si="351"/>
        <v>0</v>
      </c>
      <c r="EY135" s="46">
        <f t="shared" si="352"/>
        <v>0</v>
      </c>
      <c r="EZ135" s="3">
        <f t="shared" si="353"/>
        <v>0</v>
      </c>
      <c r="FA135" s="3" t="s">
        <v>70</v>
      </c>
      <c r="FB135" s="3">
        <f t="shared" si="354"/>
        <v>0</v>
      </c>
      <c r="FC135" s="3" t="s">
        <v>70</v>
      </c>
      <c r="FD135" s="46">
        <f t="shared" si="355"/>
        <v>0</v>
      </c>
      <c r="FE135" s="46">
        <f t="shared" si="356"/>
        <v>0</v>
      </c>
      <c r="FF135" s="46">
        <f t="shared" si="357"/>
        <v>0</v>
      </c>
      <c r="FG135" s="46">
        <f t="shared" si="358"/>
        <v>0</v>
      </c>
      <c r="FH135" s="46">
        <f t="shared" si="359"/>
        <v>0</v>
      </c>
      <c r="FI135" s="46">
        <f t="shared" si="360"/>
        <v>0</v>
      </c>
      <c r="FJ135" s="3">
        <f t="shared" si="361"/>
        <v>0</v>
      </c>
      <c r="FK135" s="46">
        <f t="shared" si="362"/>
        <v>0</v>
      </c>
      <c r="FM135" s="74">
        <f>EL135+'EXTRALABORAL B '!BH318</f>
        <v>0</v>
      </c>
      <c r="FN135" s="74">
        <f t="shared" si="363"/>
        <v>0</v>
      </c>
    </row>
    <row r="136" spans="1:170">
      <c r="A136" s="3">
        <v>133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3">
        <f t="shared" si="321"/>
        <v>0</v>
      </c>
      <c r="DP136" s="3">
        <f t="shared" si="322"/>
        <v>0</v>
      </c>
      <c r="DQ136" s="3">
        <f t="shared" si="323"/>
        <v>0</v>
      </c>
      <c r="DR136" s="3" t="s">
        <v>69</v>
      </c>
      <c r="DS136" s="3">
        <f t="shared" si="324"/>
        <v>0</v>
      </c>
      <c r="DT136" s="3">
        <f t="shared" si="325"/>
        <v>0</v>
      </c>
      <c r="DU136" s="3">
        <f t="shared" si="326"/>
        <v>0</v>
      </c>
      <c r="DV136" s="3">
        <f t="shared" si="327"/>
        <v>0</v>
      </c>
      <c r="DW136" s="3">
        <f t="shared" si="328"/>
        <v>0</v>
      </c>
      <c r="DX136" s="3">
        <f t="shared" si="329"/>
        <v>0</v>
      </c>
      <c r="DY136" s="3">
        <f t="shared" si="330"/>
        <v>0</v>
      </c>
      <c r="DZ136" s="3">
        <f t="shared" si="331"/>
        <v>0</v>
      </c>
      <c r="EA136" s="3">
        <f t="shared" si="332"/>
        <v>0</v>
      </c>
      <c r="EB136" s="3" t="s">
        <v>70</v>
      </c>
      <c r="EC136" s="3">
        <f t="shared" si="333"/>
        <v>0</v>
      </c>
      <c r="ED136" s="3" t="s">
        <v>70</v>
      </c>
      <c r="EE136" s="3">
        <f t="shared" si="334"/>
        <v>0</v>
      </c>
      <c r="EF136" s="3">
        <f t="shared" si="335"/>
        <v>0</v>
      </c>
      <c r="EG136" s="3">
        <f t="shared" si="336"/>
        <v>0</v>
      </c>
      <c r="EH136" s="3">
        <f t="shared" si="337"/>
        <v>0</v>
      </c>
      <c r="EI136" s="3">
        <f t="shared" si="338"/>
        <v>0</v>
      </c>
      <c r="EJ136" s="3">
        <f t="shared" si="339"/>
        <v>0</v>
      </c>
      <c r="EK136" s="3">
        <f t="shared" si="340"/>
        <v>0</v>
      </c>
      <c r="EL136" s="24">
        <f t="shared" si="341"/>
        <v>0</v>
      </c>
      <c r="EM136" s="24"/>
      <c r="EN136" s="46">
        <f t="shared" si="342"/>
        <v>0</v>
      </c>
      <c r="EO136" s="46">
        <f t="shared" si="343"/>
        <v>0</v>
      </c>
      <c r="EP136" s="47">
        <f t="shared" si="344"/>
        <v>0</v>
      </c>
      <c r="EQ136" s="3" t="s">
        <v>69</v>
      </c>
      <c r="ER136" s="3">
        <f t="shared" si="345"/>
        <v>0</v>
      </c>
      <c r="ES136" s="3">
        <f t="shared" si="346"/>
        <v>0</v>
      </c>
      <c r="ET136" s="46">
        <f t="shared" si="347"/>
        <v>0</v>
      </c>
      <c r="EU136" s="46">
        <f t="shared" si="348"/>
        <v>0</v>
      </c>
      <c r="EV136" s="46">
        <f t="shared" si="349"/>
        <v>0</v>
      </c>
      <c r="EW136" s="46">
        <f t="shared" si="350"/>
        <v>0</v>
      </c>
      <c r="EX136" s="46">
        <f t="shared" si="351"/>
        <v>0</v>
      </c>
      <c r="EY136" s="46">
        <f t="shared" si="352"/>
        <v>0</v>
      </c>
      <c r="EZ136" s="3">
        <f t="shared" si="353"/>
        <v>0</v>
      </c>
      <c r="FA136" s="3" t="s">
        <v>70</v>
      </c>
      <c r="FB136" s="3">
        <f t="shared" si="354"/>
        <v>0</v>
      </c>
      <c r="FC136" s="3" t="s">
        <v>70</v>
      </c>
      <c r="FD136" s="46">
        <f t="shared" si="355"/>
        <v>0</v>
      </c>
      <c r="FE136" s="46">
        <f t="shared" si="356"/>
        <v>0</v>
      </c>
      <c r="FF136" s="46">
        <f t="shared" si="357"/>
        <v>0</v>
      </c>
      <c r="FG136" s="46">
        <f t="shared" si="358"/>
        <v>0</v>
      </c>
      <c r="FH136" s="46">
        <f t="shared" si="359"/>
        <v>0</v>
      </c>
      <c r="FI136" s="46">
        <f t="shared" si="360"/>
        <v>0</v>
      </c>
      <c r="FJ136" s="3">
        <f t="shared" si="361"/>
        <v>0</v>
      </c>
      <c r="FK136" s="46">
        <f t="shared" si="362"/>
        <v>0</v>
      </c>
      <c r="FM136" s="74">
        <f>EL136+'EXTRALABORAL B '!BH319</f>
        <v>0</v>
      </c>
      <c r="FN136" s="74">
        <f t="shared" si="363"/>
        <v>0</v>
      </c>
    </row>
    <row r="137" spans="1:170">
      <c r="A137" s="3">
        <v>134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3">
        <f t="shared" si="321"/>
        <v>0</v>
      </c>
      <c r="DP137" s="3">
        <f t="shared" si="322"/>
        <v>0</v>
      </c>
      <c r="DQ137" s="3">
        <f t="shared" si="323"/>
        <v>0</v>
      </c>
      <c r="DR137" s="3" t="s">
        <v>69</v>
      </c>
      <c r="DS137" s="3">
        <f t="shared" si="324"/>
        <v>0</v>
      </c>
      <c r="DT137" s="3">
        <f t="shared" si="325"/>
        <v>0</v>
      </c>
      <c r="DU137" s="3">
        <f t="shared" si="326"/>
        <v>0</v>
      </c>
      <c r="DV137" s="3">
        <f t="shared" si="327"/>
        <v>0</v>
      </c>
      <c r="DW137" s="3">
        <f t="shared" si="328"/>
        <v>0</v>
      </c>
      <c r="DX137" s="3">
        <f t="shared" si="329"/>
        <v>0</v>
      </c>
      <c r="DY137" s="3">
        <f t="shared" si="330"/>
        <v>0</v>
      </c>
      <c r="DZ137" s="3">
        <f t="shared" si="331"/>
        <v>0</v>
      </c>
      <c r="EA137" s="3">
        <f t="shared" si="332"/>
        <v>0</v>
      </c>
      <c r="EB137" s="3" t="s">
        <v>70</v>
      </c>
      <c r="EC137" s="3">
        <f t="shared" si="333"/>
        <v>0</v>
      </c>
      <c r="ED137" s="3" t="s">
        <v>70</v>
      </c>
      <c r="EE137" s="3">
        <f t="shared" si="334"/>
        <v>0</v>
      </c>
      <c r="EF137" s="3">
        <f t="shared" si="335"/>
        <v>0</v>
      </c>
      <c r="EG137" s="3">
        <f t="shared" si="336"/>
        <v>0</v>
      </c>
      <c r="EH137" s="3">
        <f t="shared" si="337"/>
        <v>0</v>
      </c>
      <c r="EI137" s="3">
        <f t="shared" si="338"/>
        <v>0</v>
      </c>
      <c r="EJ137" s="3">
        <f t="shared" si="339"/>
        <v>0</v>
      </c>
      <c r="EK137" s="3">
        <f t="shared" si="340"/>
        <v>0</v>
      </c>
      <c r="EL137" s="24">
        <f t="shared" si="341"/>
        <v>0</v>
      </c>
      <c r="EM137" s="24"/>
      <c r="EN137" s="46">
        <f t="shared" si="342"/>
        <v>0</v>
      </c>
      <c r="EO137" s="46">
        <f t="shared" si="343"/>
        <v>0</v>
      </c>
      <c r="EP137" s="47">
        <f t="shared" si="344"/>
        <v>0</v>
      </c>
      <c r="EQ137" s="3" t="s">
        <v>69</v>
      </c>
      <c r="ER137" s="3">
        <f t="shared" si="345"/>
        <v>0</v>
      </c>
      <c r="ES137" s="3">
        <f t="shared" si="346"/>
        <v>0</v>
      </c>
      <c r="ET137" s="46">
        <f t="shared" si="347"/>
        <v>0</v>
      </c>
      <c r="EU137" s="46">
        <f t="shared" si="348"/>
        <v>0</v>
      </c>
      <c r="EV137" s="46">
        <f t="shared" si="349"/>
        <v>0</v>
      </c>
      <c r="EW137" s="46">
        <f t="shared" si="350"/>
        <v>0</v>
      </c>
      <c r="EX137" s="46">
        <f t="shared" si="351"/>
        <v>0</v>
      </c>
      <c r="EY137" s="46">
        <f t="shared" si="352"/>
        <v>0</v>
      </c>
      <c r="EZ137" s="3">
        <f t="shared" si="353"/>
        <v>0</v>
      </c>
      <c r="FA137" s="3" t="s">
        <v>70</v>
      </c>
      <c r="FB137" s="3">
        <f t="shared" si="354"/>
        <v>0</v>
      </c>
      <c r="FC137" s="3" t="s">
        <v>70</v>
      </c>
      <c r="FD137" s="46">
        <f t="shared" si="355"/>
        <v>0</v>
      </c>
      <c r="FE137" s="46">
        <f t="shared" si="356"/>
        <v>0</v>
      </c>
      <c r="FF137" s="46">
        <f t="shared" si="357"/>
        <v>0</v>
      </c>
      <c r="FG137" s="46">
        <f t="shared" si="358"/>
        <v>0</v>
      </c>
      <c r="FH137" s="46">
        <f t="shared" si="359"/>
        <v>0</v>
      </c>
      <c r="FI137" s="46">
        <f t="shared" si="360"/>
        <v>0</v>
      </c>
      <c r="FJ137" s="3">
        <f t="shared" si="361"/>
        <v>0</v>
      </c>
      <c r="FK137" s="46">
        <f t="shared" si="362"/>
        <v>0</v>
      </c>
      <c r="FM137" s="74">
        <f>EL137+'EXTRALABORAL B '!BH320</f>
        <v>0</v>
      </c>
      <c r="FN137" s="74">
        <f t="shared" si="363"/>
        <v>0</v>
      </c>
    </row>
    <row r="138" spans="1:170">
      <c r="A138" s="3">
        <v>135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3">
        <f t="shared" si="321"/>
        <v>0</v>
      </c>
      <c r="DP138" s="3">
        <f t="shared" si="322"/>
        <v>0</v>
      </c>
      <c r="DQ138" s="3">
        <f t="shared" si="323"/>
        <v>0</v>
      </c>
      <c r="DR138" s="3" t="s">
        <v>69</v>
      </c>
      <c r="DS138" s="3">
        <f t="shared" si="324"/>
        <v>0</v>
      </c>
      <c r="DT138" s="3">
        <f t="shared" si="325"/>
        <v>0</v>
      </c>
      <c r="DU138" s="3">
        <f t="shared" si="326"/>
        <v>0</v>
      </c>
      <c r="DV138" s="3">
        <f t="shared" si="327"/>
        <v>0</v>
      </c>
      <c r="DW138" s="3">
        <f t="shared" si="328"/>
        <v>0</v>
      </c>
      <c r="DX138" s="3">
        <f t="shared" si="329"/>
        <v>0</v>
      </c>
      <c r="DY138" s="3">
        <f t="shared" si="330"/>
        <v>0</v>
      </c>
      <c r="DZ138" s="3">
        <f t="shared" si="331"/>
        <v>0</v>
      </c>
      <c r="EA138" s="3">
        <f t="shared" si="332"/>
        <v>0</v>
      </c>
      <c r="EB138" s="3" t="s">
        <v>70</v>
      </c>
      <c r="EC138" s="3">
        <f t="shared" si="333"/>
        <v>0</v>
      </c>
      <c r="ED138" s="3" t="s">
        <v>70</v>
      </c>
      <c r="EE138" s="3">
        <f t="shared" si="334"/>
        <v>0</v>
      </c>
      <c r="EF138" s="3">
        <f t="shared" si="335"/>
        <v>0</v>
      </c>
      <c r="EG138" s="3">
        <f t="shared" si="336"/>
        <v>0</v>
      </c>
      <c r="EH138" s="3">
        <f t="shared" si="337"/>
        <v>0</v>
      </c>
      <c r="EI138" s="3">
        <f t="shared" si="338"/>
        <v>0</v>
      </c>
      <c r="EJ138" s="3">
        <f t="shared" si="339"/>
        <v>0</v>
      </c>
      <c r="EK138" s="3">
        <f t="shared" si="340"/>
        <v>0</v>
      </c>
      <c r="EL138" s="24">
        <f t="shared" si="341"/>
        <v>0</v>
      </c>
      <c r="EM138" s="24"/>
      <c r="EN138" s="46">
        <f t="shared" si="342"/>
        <v>0</v>
      </c>
      <c r="EO138" s="46">
        <f t="shared" si="343"/>
        <v>0</v>
      </c>
      <c r="EP138" s="47">
        <f t="shared" si="344"/>
        <v>0</v>
      </c>
      <c r="EQ138" s="3" t="s">
        <v>69</v>
      </c>
      <c r="ER138" s="3">
        <f t="shared" si="345"/>
        <v>0</v>
      </c>
      <c r="ES138" s="3">
        <f t="shared" si="346"/>
        <v>0</v>
      </c>
      <c r="ET138" s="46">
        <f t="shared" si="347"/>
        <v>0</v>
      </c>
      <c r="EU138" s="46">
        <f t="shared" si="348"/>
        <v>0</v>
      </c>
      <c r="EV138" s="46">
        <f t="shared" si="349"/>
        <v>0</v>
      </c>
      <c r="EW138" s="46">
        <f t="shared" si="350"/>
        <v>0</v>
      </c>
      <c r="EX138" s="46">
        <f t="shared" si="351"/>
        <v>0</v>
      </c>
      <c r="EY138" s="46">
        <f t="shared" si="352"/>
        <v>0</v>
      </c>
      <c r="EZ138" s="3">
        <f t="shared" si="353"/>
        <v>0</v>
      </c>
      <c r="FA138" s="3" t="s">
        <v>70</v>
      </c>
      <c r="FB138" s="3">
        <f t="shared" si="354"/>
        <v>0</v>
      </c>
      <c r="FC138" s="3" t="s">
        <v>70</v>
      </c>
      <c r="FD138" s="46">
        <f t="shared" si="355"/>
        <v>0</v>
      </c>
      <c r="FE138" s="46">
        <f t="shared" si="356"/>
        <v>0</v>
      </c>
      <c r="FF138" s="46">
        <f t="shared" si="357"/>
        <v>0</v>
      </c>
      <c r="FG138" s="46">
        <f t="shared" si="358"/>
        <v>0</v>
      </c>
      <c r="FH138" s="46">
        <f t="shared" si="359"/>
        <v>0</v>
      </c>
      <c r="FI138" s="46">
        <f t="shared" si="360"/>
        <v>0</v>
      </c>
      <c r="FJ138" s="3">
        <f t="shared" si="361"/>
        <v>0</v>
      </c>
      <c r="FK138" s="46">
        <f t="shared" si="362"/>
        <v>0</v>
      </c>
      <c r="FM138" s="74">
        <f>EL138+'EXTRALABORAL B '!BH321</f>
        <v>0</v>
      </c>
      <c r="FN138" s="74">
        <f t="shared" si="363"/>
        <v>0</v>
      </c>
    </row>
    <row r="139" spans="1:170">
      <c r="A139" s="3">
        <v>136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3">
        <f t="shared" si="321"/>
        <v>0</v>
      </c>
      <c r="DP139" s="3">
        <f t="shared" si="322"/>
        <v>0</v>
      </c>
      <c r="DQ139" s="3">
        <f t="shared" si="323"/>
        <v>0</v>
      </c>
      <c r="DR139" s="3" t="s">
        <v>69</v>
      </c>
      <c r="DS139" s="3">
        <f t="shared" si="324"/>
        <v>0</v>
      </c>
      <c r="DT139" s="3">
        <f t="shared" si="325"/>
        <v>0</v>
      </c>
      <c r="DU139" s="3">
        <f t="shared" si="326"/>
        <v>0</v>
      </c>
      <c r="DV139" s="3">
        <f t="shared" si="327"/>
        <v>0</v>
      </c>
      <c r="DW139" s="3">
        <f t="shared" si="328"/>
        <v>0</v>
      </c>
      <c r="DX139" s="3">
        <f t="shared" si="329"/>
        <v>0</v>
      </c>
      <c r="DY139" s="3">
        <f t="shared" si="330"/>
        <v>0</v>
      </c>
      <c r="DZ139" s="3">
        <f t="shared" si="331"/>
        <v>0</v>
      </c>
      <c r="EA139" s="3">
        <f t="shared" si="332"/>
        <v>0</v>
      </c>
      <c r="EB139" s="3" t="s">
        <v>70</v>
      </c>
      <c r="EC139" s="3">
        <f t="shared" si="333"/>
        <v>0</v>
      </c>
      <c r="ED139" s="3" t="s">
        <v>70</v>
      </c>
      <c r="EE139" s="3">
        <f t="shared" si="334"/>
        <v>0</v>
      </c>
      <c r="EF139" s="3">
        <f t="shared" si="335"/>
        <v>0</v>
      </c>
      <c r="EG139" s="3">
        <f t="shared" si="336"/>
        <v>0</v>
      </c>
      <c r="EH139" s="3">
        <f t="shared" si="337"/>
        <v>0</v>
      </c>
      <c r="EI139" s="3">
        <f t="shared" si="338"/>
        <v>0</v>
      </c>
      <c r="EJ139" s="3">
        <f t="shared" si="339"/>
        <v>0</v>
      </c>
      <c r="EK139" s="3">
        <f t="shared" si="340"/>
        <v>0</v>
      </c>
      <c r="EL139" s="24">
        <f t="shared" si="341"/>
        <v>0</v>
      </c>
      <c r="EM139" s="24"/>
      <c r="EN139" s="46">
        <f t="shared" si="342"/>
        <v>0</v>
      </c>
      <c r="EO139" s="46">
        <f t="shared" si="343"/>
        <v>0</v>
      </c>
      <c r="EP139" s="47">
        <f t="shared" si="344"/>
        <v>0</v>
      </c>
      <c r="EQ139" s="3" t="s">
        <v>69</v>
      </c>
      <c r="ER139" s="3">
        <f t="shared" si="345"/>
        <v>0</v>
      </c>
      <c r="ES139" s="3">
        <f t="shared" si="346"/>
        <v>0</v>
      </c>
      <c r="ET139" s="46">
        <f t="shared" si="347"/>
        <v>0</v>
      </c>
      <c r="EU139" s="46">
        <f t="shared" si="348"/>
        <v>0</v>
      </c>
      <c r="EV139" s="46">
        <f t="shared" si="349"/>
        <v>0</v>
      </c>
      <c r="EW139" s="46">
        <f t="shared" si="350"/>
        <v>0</v>
      </c>
      <c r="EX139" s="46">
        <f t="shared" si="351"/>
        <v>0</v>
      </c>
      <c r="EY139" s="46">
        <f t="shared" si="352"/>
        <v>0</v>
      </c>
      <c r="EZ139" s="3">
        <f t="shared" si="353"/>
        <v>0</v>
      </c>
      <c r="FA139" s="3" t="s">
        <v>70</v>
      </c>
      <c r="FB139" s="3">
        <f t="shared" si="354"/>
        <v>0</v>
      </c>
      <c r="FC139" s="3" t="s">
        <v>70</v>
      </c>
      <c r="FD139" s="46">
        <f t="shared" si="355"/>
        <v>0</v>
      </c>
      <c r="FE139" s="46">
        <f t="shared" si="356"/>
        <v>0</v>
      </c>
      <c r="FF139" s="46">
        <f t="shared" si="357"/>
        <v>0</v>
      </c>
      <c r="FG139" s="46">
        <f t="shared" si="358"/>
        <v>0</v>
      </c>
      <c r="FH139" s="46">
        <f t="shared" si="359"/>
        <v>0</v>
      </c>
      <c r="FI139" s="46">
        <f t="shared" si="360"/>
        <v>0</v>
      </c>
      <c r="FJ139" s="3">
        <f t="shared" si="361"/>
        <v>0</v>
      </c>
      <c r="FK139" s="46">
        <f t="shared" si="362"/>
        <v>0</v>
      </c>
      <c r="FM139" s="74">
        <f>EL139+'EXTRALABORAL B '!BH322</f>
        <v>0</v>
      </c>
      <c r="FN139" s="74">
        <f t="shared" si="363"/>
        <v>0</v>
      </c>
    </row>
    <row r="140" spans="1:170">
      <c r="A140" s="3">
        <v>137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3">
        <f t="shared" si="321"/>
        <v>0</v>
      </c>
      <c r="DP140" s="3">
        <f t="shared" si="322"/>
        <v>0</v>
      </c>
      <c r="DQ140" s="3">
        <f t="shared" si="323"/>
        <v>0</v>
      </c>
      <c r="DR140" s="3" t="s">
        <v>69</v>
      </c>
      <c r="DS140" s="3">
        <f t="shared" si="324"/>
        <v>0</v>
      </c>
      <c r="DT140" s="3">
        <f t="shared" si="325"/>
        <v>0</v>
      </c>
      <c r="DU140" s="3">
        <f t="shared" si="326"/>
        <v>0</v>
      </c>
      <c r="DV140" s="3">
        <f t="shared" si="327"/>
        <v>0</v>
      </c>
      <c r="DW140" s="3">
        <f t="shared" si="328"/>
        <v>0</v>
      </c>
      <c r="DX140" s="3">
        <f t="shared" si="329"/>
        <v>0</v>
      </c>
      <c r="DY140" s="3">
        <f t="shared" si="330"/>
        <v>0</v>
      </c>
      <c r="DZ140" s="3">
        <f t="shared" si="331"/>
        <v>0</v>
      </c>
      <c r="EA140" s="3">
        <f t="shared" si="332"/>
        <v>0</v>
      </c>
      <c r="EB140" s="3" t="s">
        <v>70</v>
      </c>
      <c r="EC140" s="3">
        <f t="shared" si="333"/>
        <v>0</v>
      </c>
      <c r="ED140" s="3" t="s">
        <v>70</v>
      </c>
      <c r="EE140" s="3">
        <f t="shared" si="334"/>
        <v>0</v>
      </c>
      <c r="EF140" s="3">
        <f t="shared" si="335"/>
        <v>0</v>
      </c>
      <c r="EG140" s="3">
        <f t="shared" si="336"/>
        <v>0</v>
      </c>
      <c r="EH140" s="3">
        <f t="shared" si="337"/>
        <v>0</v>
      </c>
      <c r="EI140" s="3">
        <f t="shared" si="338"/>
        <v>0</v>
      </c>
      <c r="EJ140" s="3">
        <f t="shared" si="339"/>
        <v>0</v>
      </c>
      <c r="EK140" s="3">
        <f t="shared" si="340"/>
        <v>0</v>
      </c>
      <c r="EL140" s="24">
        <f t="shared" si="341"/>
        <v>0</v>
      </c>
      <c r="EM140" s="24"/>
      <c r="EN140" s="46">
        <f t="shared" si="342"/>
        <v>0</v>
      </c>
      <c r="EO140" s="46">
        <f t="shared" si="343"/>
        <v>0</v>
      </c>
      <c r="EP140" s="47">
        <f t="shared" si="344"/>
        <v>0</v>
      </c>
      <c r="EQ140" s="3" t="s">
        <v>69</v>
      </c>
      <c r="ER140" s="3">
        <f t="shared" si="345"/>
        <v>0</v>
      </c>
      <c r="ES140" s="3">
        <f t="shared" si="346"/>
        <v>0</v>
      </c>
      <c r="ET140" s="46">
        <f t="shared" si="347"/>
        <v>0</v>
      </c>
      <c r="EU140" s="46">
        <f t="shared" si="348"/>
        <v>0</v>
      </c>
      <c r="EV140" s="46">
        <f t="shared" si="349"/>
        <v>0</v>
      </c>
      <c r="EW140" s="46">
        <f t="shared" si="350"/>
        <v>0</v>
      </c>
      <c r="EX140" s="46">
        <f t="shared" si="351"/>
        <v>0</v>
      </c>
      <c r="EY140" s="46">
        <f t="shared" si="352"/>
        <v>0</v>
      </c>
      <c r="EZ140" s="3">
        <f t="shared" si="353"/>
        <v>0</v>
      </c>
      <c r="FA140" s="3" t="s">
        <v>70</v>
      </c>
      <c r="FB140" s="3">
        <f t="shared" si="354"/>
        <v>0</v>
      </c>
      <c r="FC140" s="3" t="s">
        <v>70</v>
      </c>
      <c r="FD140" s="46">
        <f t="shared" si="355"/>
        <v>0</v>
      </c>
      <c r="FE140" s="46">
        <f t="shared" si="356"/>
        <v>0</v>
      </c>
      <c r="FF140" s="46">
        <f t="shared" si="357"/>
        <v>0</v>
      </c>
      <c r="FG140" s="46">
        <f t="shared" si="358"/>
        <v>0</v>
      </c>
      <c r="FH140" s="46">
        <f t="shared" si="359"/>
        <v>0</v>
      </c>
      <c r="FI140" s="46">
        <f t="shared" si="360"/>
        <v>0</v>
      </c>
      <c r="FJ140" s="3">
        <f t="shared" si="361"/>
        <v>0</v>
      </c>
      <c r="FK140" s="46">
        <f t="shared" si="362"/>
        <v>0</v>
      </c>
      <c r="FM140" s="74">
        <f>EL140+'EXTRALABORAL B '!BH323</f>
        <v>0</v>
      </c>
      <c r="FN140" s="74">
        <f t="shared" si="363"/>
        <v>0</v>
      </c>
    </row>
    <row r="141" spans="1:170">
      <c r="A141" s="3">
        <v>138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3">
        <f t="shared" si="321"/>
        <v>0</v>
      </c>
      <c r="DP141" s="3">
        <f t="shared" si="322"/>
        <v>0</v>
      </c>
      <c r="DQ141" s="3">
        <f t="shared" si="323"/>
        <v>0</v>
      </c>
      <c r="DR141" s="3" t="s">
        <v>69</v>
      </c>
      <c r="DS141" s="3">
        <f t="shared" si="324"/>
        <v>0</v>
      </c>
      <c r="DT141" s="3">
        <f t="shared" si="325"/>
        <v>0</v>
      </c>
      <c r="DU141" s="3">
        <f t="shared" si="326"/>
        <v>0</v>
      </c>
      <c r="DV141" s="3">
        <f t="shared" si="327"/>
        <v>0</v>
      </c>
      <c r="DW141" s="3">
        <f t="shared" si="328"/>
        <v>0</v>
      </c>
      <c r="DX141" s="3">
        <f t="shared" si="329"/>
        <v>0</v>
      </c>
      <c r="DY141" s="3">
        <f t="shared" si="330"/>
        <v>0</v>
      </c>
      <c r="DZ141" s="3">
        <f t="shared" si="331"/>
        <v>0</v>
      </c>
      <c r="EA141" s="3">
        <f t="shared" si="332"/>
        <v>0</v>
      </c>
      <c r="EB141" s="3" t="s">
        <v>70</v>
      </c>
      <c r="EC141" s="3">
        <f t="shared" si="333"/>
        <v>0</v>
      </c>
      <c r="ED141" s="3" t="s">
        <v>70</v>
      </c>
      <c r="EE141" s="3">
        <f t="shared" si="334"/>
        <v>0</v>
      </c>
      <c r="EF141" s="3">
        <f t="shared" si="335"/>
        <v>0</v>
      </c>
      <c r="EG141" s="3">
        <f t="shared" si="336"/>
        <v>0</v>
      </c>
      <c r="EH141" s="3">
        <f t="shared" si="337"/>
        <v>0</v>
      </c>
      <c r="EI141" s="3">
        <f t="shared" si="338"/>
        <v>0</v>
      </c>
      <c r="EJ141" s="3">
        <f t="shared" si="339"/>
        <v>0</v>
      </c>
      <c r="EK141" s="3">
        <f t="shared" si="340"/>
        <v>0</v>
      </c>
      <c r="EL141" s="24">
        <f t="shared" si="341"/>
        <v>0</v>
      </c>
      <c r="EM141" s="24"/>
      <c r="EN141" s="46">
        <f t="shared" si="342"/>
        <v>0</v>
      </c>
      <c r="EO141" s="46">
        <f t="shared" si="343"/>
        <v>0</v>
      </c>
      <c r="EP141" s="47">
        <f t="shared" si="344"/>
        <v>0</v>
      </c>
      <c r="EQ141" s="3" t="s">
        <v>69</v>
      </c>
      <c r="ER141" s="3">
        <f t="shared" si="345"/>
        <v>0</v>
      </c>
      <c r="ES141" s="3">
        <f t="shared" si="346"/>
        <v>0</v>
      </c>
      <c r="ET141" s="46">
        <f t="shared" si="347"/>
        <v>0</v>
      </c>
      <c r="EU141" s="46">
        <f t="shared" si="348"/>
        <v>0</v>
      </c>
      <c r="EV141" s="46">
        <f t="shared" si="349"/>
        <v>0</v>
      </c>
      <c r="EW141" s="46">
        <f t="shared" si="350"/>
        <v>0</v>
      </c>
      <c r="EX141" s="46">
        <f t="shared" si="351"/>
        <v>0</v>
      </c>
      <c r="EY141" s="46">
        <f t="shared" si="352"/>
        <v>0</v>
      </c>
      <c r="EZ141" s="3">
        <f t="shared" si="353"/>
        <v>0</v>
      </c>
      <c r="FA141" s="3" t="s">
        <v>70</v>
      </c>
      <c r="FB141" s="3">
        <f t="shared" si="354"/>
        <v>0</v>
      </c>
      <c r="FC141" s="3" t="s">
        <v>70</v>
      </c>
      <c r="FD141" s="46">
        <f t="shared" si="355"/>
        <v>0</v>
      </c>
      <c r="FE141" s="46">
        <f t="shared" si="356"/>
        <v>0</v>
      </c>
      <c r="FF141" s="46">
        <f t="shared" si="357"/>
        <v>0</v>
      </c>
      <c r="FG141" s="46">
        <f t="shared" si="358"/>
        <v>0</v>
      </c>
      <c r="FH141" s="46">
        <f t="shared" si="359"/>
        <v>0</v>
      </c>
      <c r="FI141" s="46">
        <f t="shared" si="360"/>
        <v>0</v>
      </c>
      <c r="FJ141" s="3">
        <f t="shared" si="361"/>
        <v>0</v>
      </c>
      <c r="FK141" s="46">
        <f t="shared" si="362"/>
        <v>0</v>
      </c>
      <c r="FM141" s="74">
        <f>EL141+'EXTRALABORAL B '!BH324</f>
        <v>0</v>
      </c>
      <c r="FN141" s="74">
        <f t="shared" si="363"/>
        <v>0</v>
      </c>
    </row>
    <row r="142" spans="1:170">
      <c r="A142" s="3">
        <v>139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3">
        <f t="shared" si="321"/>
        <v>0</v>
      </c>
      <c r="DP142" s="3">
        <f t="shared" si="322"/>
        <v>0</v>
      </c>
      <c r="DQ142" s="3">
        <f t="shared" si="323"/>
        <v>0</v>
      </c>
      <c r="DR142" s="3" t="s">
        <v>69</v>
      </c>
      <c r="DS142" s="3">
        <f t="shared" si="324"/>
        <v>0</v>
      </c>
      <c r="DT142" s="3">
        <f t="shared" si="325"/>
        <v>0</v>
      </c>
      <c r="DU142" s="3">
        <f t="shared" si="326"/>
        <v>0</v>
      </c>
      <c r="DV142" s="3">
        <f t="shared" si="327"/>
        <v>0</v>
      </c>
      <c r="DW142" s="3">
        <f t="shared" si="328"/>
        <v>0</v>
      </c>
      <c r="DX142" s="3">
        <f t="shared" si="329"/>
        <v>0</v>
      </c>
      <c r="DY142" s="3">
        <f t="shared" si="330"/>
        <v>0</v>
      </c>
      <c r="DZ142" s="3">
        <f t="shared" si="331"/>
        <v>0</v>
      </c>
      <c r="EA142" s="3">
        <f t="shared" si="332"/>
        <v>0</v>
      </c>
      <c r="EB142" s="3" t="s">
        <v>70</v>
      </c>
      <c r="EC142" s="3">
        <f t="shared" si="333"/>
        <v>0</v>
      </c>
      <c r="ED142" s="3" t="s">
        <v>70</v>
      </c>
      <c r="EE142" s="3">
        <f t="shared" si="334"/>
        <v>0</v>
      </c>
      <c r="EF142" s="3">
        <f t="shared" si="335"/>
        <v>0</v>
      </c>
      <c r="EG142" s="3">
        <f t="shared" si="336"/>
        <v>0</v>
      </c>
      <c r="EH142" s="3">
        <f t="shared" si="337"/>
        <v>0</v>
      </c>
      <c r="EI142" s="3">
        <f t="shared" si="338"/>
        <v>0</v>
      </c>
      <c r="EJ142" s="3">
        <f t="shared" si="339"/>
        <v>0</v>
      </c>
      <c r="EK142" s="3">
        <f t="shared" si="340"/>
        <v>0</v>
      </c>
      <c r="EL142" s="24">
        <f t="shared" si="341"/>
        <v>0</v>
      </c>
      <c r="EM142" s="24"/>
      <c r="EN142" s="46">
        <f t="shared" si="342"/>
        <v>0</v>
      </c>
      <c r="EO142" s="46">
        <f t="shared" si="343"/>
        <v>0</v>
      </c>
      <c r="EP142" s="47">
        <f t="shared" si="344"/>
        <v>0</v>
      </c>
      <c r="EQ142" s="3" t="s">
        <v>69</v>
      </c>
      <c r="ER142" s="3">
        <f t="shared" si="345"/>
        <v>0</v>
      </c>
      <c r="ES142" s="3">
        <f t="shared" si="346"/>
        <v>0</v>
      </c>
      <c r="ET142" s="46">
        <f t="shared" si="347"/>
        <v>0</v>
      </c>
      <c r="EU142" s="46">
        <f t="shared" si="348"/>
        <v>0</v>
      </c>
      <c r="EV142" s="46">
        <f t="shared" si="349"/>
        <v>0</v>
      </c>
      <c r="EW142" s="46">
        <f t="shared" si="350"/>
        <v>0</v>
      </c>
      <c r="EX142" s="46">
        <f t="shared" si="351"/>
        <v>0</v>
      </c>
      <c r="EY142" s="46">
        <f t="shared" si="352"/>
        <v>0</v>
      </c>
      <c r="EZ142" s="3">
        <f t="shared" si="353"/>
        <v>0</v>
      </c>
      <c r="FA142" s="3" t="s">
        <v>70</v>
      </c>
      <c r="FB142" s="3">
        <f t="shared" si="354"/>
        <v>0</v>
      </c>
      <c r="FC142" s="3" t="s">
        <v>70</v>
      </c>
      <c r="FD142" s="46">
        <f t="shared" si="355"/>
        <v>0</v>
      </c>
      <c r="FE142" s="46">
        <f t="shared" si="356"/>
        <v>0</v>
      </c>
      <c r="FF142" s="46">
        <f t="shared" si="357"/>
        <v>0</v>
      </c>
      <c r="FG142" s="46">
        <f t="shared" si="358"/>
        <v>0</v>
      </c>
      <c r="FH142" s="46">
        <f t="shared" si="359"/>
        <v>0</v>
      </c>
      <c r="FI142" s="46">
        <f t="shared" si="360"/>
        <v>0</v>
      </c>
      <c r="FJ142" s="3">
        <f t="shared" si="361"/>
        <v>0</v>
      </c>
      <c r="FK142" s="46">
        <f t="shared" si="362"/>
        <v>0</v>
      </c>
      <c r="FM142" s="74">
        <f>EL142+'EXTRALABORAL B '!BH325</f>
        <v>0</v>
      </c>
      <c r="FN142" s="74">
        <f t="shared" si="363"/>
        <v>0</v>
      </c>
    </row>
    <row r="143" spans="1:170">
      <c r="A143" s="3">
        <v>140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3">
        <f t="shared" si="321"/>
        <v>0</v>
      </c>
      <c r="DP143" s="3">
        <f t="shared" si="322"/>
        <v>0</v>
      </c>
      <c r="DQ143" s="3">
        <f t="shared" si="323"/>
        <v>0</v>
      </c>
      <c r="DR143" s="3" t="s">
        <v>69</v>
      </c>
      <c r="DS143" s="3">
        <f t="shared" si="324"/>
        <v>0</v>
      </c>
      <c r="DT143" s="3">
        <f t="shared" si="325"/>
        <v>0</v>
      </c>
      <c r="DU143" s="3">
        <f t="shared" si="326"/>
        <v>0</v>
      </c>
      <c r="DV143" s="3">
        <f t="shared" si="327"/>
        <v>0</v>
      </c>
      <c r="DW143" s="3">
        <f t="shared" si="328"/>
        <v>0</v>
      </c>
      <c r="DX143" s="3">
        <f t="shared" si="329"/>
        <v>0</v>
      </c>
      <c r="DY143" s="3">
        <f t="shared" si="330"/>
        <v>0</v>
      </c>
      <c r="DZ143" s="3">
        <f t="shared" si="331"/>
        <v>0</v>
      </c>
      <c r="EA143" s="3">
        <f t="shared" si="332"/>
        <v>0</v>
      </c>
      <c r="EB143" s="3" t="s">
        <v>70</v>
      </c>
      <c r="EC143" s="3">
        <f t="shared" si="333"/>
        <v>0</v>
      </c>
      <c r="ED143" s="3" t="s">
        <v>70</v>
      </c>
      <c r="EE143" s="3">
        <f t="shared" si="334"/>
        <v>0</v>
      </c>
      <c r="EF143" s="3">
        <f t="shared" si="335"/>
        <v>0</v>
      </c>
      <c r="EG143" s="3">
        <f t="shared" si="336"/>
        <v>0</v>
      </c>
      <c r="EH143" s="3">
        <f t="shared" si="337"/>
        <v>0</v>
      </c>
      <c r="EI143" s="3">
        <f t="shared" si="338"/>
        <v>0</v>
      </c>
      <c r="EJ143" s="3">
        <f t="shared" si="339"/>
        <v>0</v>
      </c>
      <c r="EK143" s="3">
        <f t="shared" si="340"/>
        <v>0</v>
      </c>
      <c r="EL143" s="24">
        <f t="shared" si="341"/>
        <v>0</v>
      </c>
      <c r="EM143" s="24"/>
      <c r="EN143" s="46">
        <f t="shared" si="342"/>
        <v>0</v>
      </c>
      <c r="EO143" s="46">
        <f t="shared" si="343"/>
        <v>0</v>
      </c>
      <c r="EP143" s="47">
        <f t="shared" si="344"/>
        <v>0</v>
      </c>
      <c r="EQ143" s="3" t="s">
        <v>69</v>
      </c>
      <c r="ER143" s="3">
        <f t="shared" si="345"/>
        <v>0</v>
      </c>
      <c r="ES143" s="3">
        <f t="shared" si="346"/>
        <v>0</v>
      </c>
      <c r="ET143" s="46">
        <f t="shared" si="347"/>
        <v>0</v>
      </c>
      <c r="EU143" s="46">
        <f t="shared" si="348"/>
        <v>0</v>
      </c>
      <c r="EV143" s="46">
        <f t="shared" si="349"/>
        <v>0</v>
      </c>
      <c r="EW143" s="46">
        <f t="shared" si="350"/>
        <v>0</v>
      </c>
      <c r="EX143" s="46">
        <f t="shared" si="351"/>
        <v>0</v>
      </c>
      <c r="EY143" s="46">
        <f t="shared" si="352"/>
        <v>0</v>
      </c>
      <c r="EZ143" s="3">
        <f t="shared" si="353"/>
        <v>0</v>
      </c>
      <c r="FA143" s="3" t="s">
        <v>70</v>
      </c>
      <c r="FB143" s="3">
        <f t="shared" si="354"/>
        <v>0</v>
      </c>
      <c r="FC143" s="3" t="s">
        <v>70</v>
      </c>
      <c r="FD143" s="46">
        <f t="shared" si="355"/>
        <v>0</v>
      </c>
      <c r="FE143" s="46">
        <f t="shared" si="356"/>
        <v>0</v>
      </c>
      <c r="FF143" s="46">
        <f t="shared" si="357"/>
        <v>0</v>
      </c>
      <c r="FG143" s="46">
        <f t="shared" si="358"/>
        <v>0</v>
      </c>
      <c r="FH143" s="46">
        <f t="shared" si="359"/>
        <v>0</v>
      </c>
      <c r="FI143" s="46">
        <f t="shared" si="360"/>
        <v>0</v>
      </c>
      <c r="FJ143" s="3">
        <f t="shared" si="361"/>
        <v>0</v>
      </c>
      <c r="FK143" s="46">
        <f t="shared" si="362"/>
        <v>0</v>
      </c>
      <c r="FM143" s="74">
        <f>EL143+'EXTRALABORAL B '!BH326</f>
        <v>0</v>
      </c>
      <c r="FN143" s="74">
        <f t="shared" si="363"/>
        <v>0</v>
      </c>
    </row>
    <row r="144" spans="1:170">
      <c r="A144" s="3">
        <v>141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3">
        <f t="shared" si="321"/>
        <v>0</v>
      </c>
      <c r="DP144" s="3">
        <f t="shared" si="322"/>
        <v>0</v>
      </c>
      <c r="DQ144" s="3">
        <f t="shared" si="323"/>
        <v>0</v>
      </c>
      <c r="DR144" s="3" t="s">
        <v>69</v>
      </c>
      <c r="DS144" s="3">
        <f t="shared" si="324"/>
        <v>0</v>
      </c>
      <c r="DT144" s="3">
        <f t="shared" si="325"/>
        <v>0</v>
      </c>
      <c r="DU144" s="3">
        <f t="shared" si="326"/>
        <v>0</v>
      </c>
      <c r="DV144" s="3">
        <f t="shared" si="327"/>
        <v>0</v>
      </c>
      <c r="DW144" s="3">
        <f t="shared" si="328"/>
        <v>0</v>
      </c>
      <c r="DX144" s="3">
        <f t="shared" si="329"/>
        <v>0</v>
      </c>
      <c r="DY144" s="3">
        <f t="shared" si="330"/>
        <v>0</v>
      </c>
      <c r="DZ144" s="3">
        <f t="shared" si="331"/>
        <v>0</v>
      </c>
      <c r="EA144" s="3">
        <f t="shared" si="332"/>
        <v>0</v>
      </c>
      <c r="EB144" s="3" t="s">
        <v>70</v>
      </c>
      <c r="EC144" s="3">
        <f t="shared" si="333"/>
        <v>0</v>
      </c>
      <c r="ED144" s="3" t="s">
        <v>70</v>
      </c>
      <c r="EE144" s="3">
        <f t="shared" si="334"/>
        <v>0</v>
      </c>
      <c r="EF144" s="3">
        <f t="shared" si="335"/>
        <v>0</v>
      </c>
      <c r="EG144" s="3">
        <f t="shared" si="336"/>
        <v>0</v>
      </c>
      <c r="EH144" s="3">
        <f t="shared" si="337"/>
        <v>0</v>
      </c>
      <c r="EI144" s="3">
        <f t="shared" si="338"/>
        <v>0</v>
      </c>
      <c r="EJ144" s="3">
        <f t="shared" si="339"/>
        <v>0</v>
      </c>
      <c r="EK144" s="3">
        <f t="shared" si="340"/>
        <v>0</v>
      </c>
      <c r="EL144" s="24">
        <f t="shared" si="341"/>
        <v>0</v>
      </c>
      <c r="EM144" s="24"/>
      <c r="EN144" s="46">
        <f t="shared" si="342"/>
        <v>0</v>
      </c>
      <c r="EO144" s="46">
        <f t="shared" si="343"/>
        <v>0</v>
      </c>
      <c r="EP144" s="47">
        <f t="shared" si="344"/>
        <v>0</v>
      </c>
      <c r="EQ144" s="3" t="s">
        <v>69</v>
      </c>
      <c r="ER144" s="3">
        <f t="shared" si="345"/>
        <v>0</v>
      </c>
      <c r="ES144" s="3">
        <f t="shared" si="346"/>
        <v>0</v>
      </c>
      <c r="ET144" s="46">
        <f t="shared" si="347"/>
        <v>0</v>
      </c>
      <c r="EU144" s="46">
        <f t="shared" si="348"/>
        <v>0</v>
      </c>
      <c r="EV144" s="46">
        <f t="shared" si="349"/>
        <v>0</v>
      </c>
      <c r="EW144" s="46">
        <f t="shared" si="350"/>
        <v>0</v>
      </c>
      <c r="EX144" s="46">
        <f t="shared" si="351"/>
        <v>0</v>
      </c>
      <c r="EY144" s="46">
        <f t="shared" si="352"/>
        <v>0</v>
      </c>
      <c r="EZ144" s="3">
        <f t="shared" si="353"/>
        <v>0</v>
      </c>
      <c r="FA144" s="3" t="s">
        <v>70</v>
      </c>
      <c r="FB144" s="3">
        <f t="shared" si="354"/>
        <v>0</v>
      </c>
      <c r="FC144" s="3" t="s">
        <v>70</v>
      </c>
      <c r="FD144" s="46">
        <f t="shared" si="355"/>
        <v>0</v>
      </c>
      <c r="FE144" s="46">
        <f t="shared" si="356"/>
        <v>0</v>
      </c>
      <c r="FF144" s="46">
        <f t="shared" si="357"/>
        <v>0</v>
      </c>
      <c r="FG144" s="46">
        <f t="shared" si="358"/>
        <v>0</v>
      </c>
      <c r="FH144" s="46">
        <f t="shared" si="359"/>
        <v>0</v>
      </c>
      <c r="FI144" s="46">
        <f t="shared" si="360"/>
        <v>0</v>
      </c>
      <c r="FJ144" s="3">
        <f t="shared" si="361"/>
        <v>0</v>
      </c>
      <c r="FK144" s="46">
        <f t="shared" si="362"/>
        <v>0</v>
      </c>
      <c r="FM144" s="74">
        <f>EL144+'EXTRALABORAL B '!BH327</f>
        <v>0</v>
      </c>
      <c r="FN144" s="74">
        <f t="shared" si="363"/>
        <v>0</v>
      </c>
    </row>
    <row r="145" spans="1:170">
      <c r="A145" s="3">
        <v>142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3">
        <f t="shared" si="321"/>
        <v>0</v>
      </c>
      <c r="DP145" s="3">
        <f t="shared" si="322"/>
        <v>0</v>
      </c>
      <c r="DQ145" s="3">
        <f t="shared" si="323"/>
        <v>0</v>
      </c>
      <c r="DR145" s="3" t="s">
        <v>69</v>
      </c>
      <c r="DS145" s="3">
        <f t="shared" si="324"/>
        <v>0</v>
      </c>
      <c r="DT145" s="3">
        <f t="shared" si="325"/>
        <v>0</v>
      </c>
      <c r="DU145" s="3">
        <f t="shared" si="326"/>
        <v>0</v>
      </c>
      <c r="DV145" s="3">
        <f t="shared" si="327"/>
        <v>0</v>
      </c>
      <c r="DW145" s="3">
        <f t="shared" si="328"/>
        <v>0</v>
      </c>
      <c r="DX145" s="3">
        <f t="shared" si="329"/>
        <v>0</v>
      </c>
      <c r="DY145" s="3">
        <f t="shared" si="330"/>
        <v>0</v>
      </c>
      <c r="DZ145" s="3">
        <f t="shared" si="331"/>
        <v>0</v>
      </c>
      <c r="EA145" s="3">
        <f t="shared" si="332"/>
        <v>0</v>
      </c>
      <c r="EB145" s="3" t="s">
        <v>70</v>
      </c>
      <c r="EC145" s="3">
        <f t="shared" si="333"/>
        <v>0</v>
      </c>
      <c r="ED145" s="3" t="s">
        <v>70</v>
      </c>
      <c r="EE145" s="3">
        <f t="shared" si="334"/>
        <v>0</v>
      </c>
      <c r="EF145" s="3">
        <f t="shared" si="335"/>
        <v>0</v>
      </c>
      <c r="EG145" s="3">
        <f t="shared" si="336"/>
        <v>0</v>
      </c>
      <c r="EH145" s="3">
        <f t="shared" si="337"/>
        <v>0</v>
      </c>
      <c r="EI145" s="3">
        <f t="shared" si="338"/>
        <v>0</v>
      </c>
      <c r="EJ145" s="3">
        <f t="shared" si="339"/>
        <v>0</v>
      </c>
      <c r="EK145" s="3">
        <f t="shared" si="340"/>
        <v>0</v>
      </c>
      <c r="EL145" s="24">
        <f t="shared" si="341"/>
        <v>0</v>
      </c>
      <c r="EM145" s="24"/>
      <c r="EN145" s="46">
        <f t="shared" si="342"/>
        <v>0</v>
      </c>
      <c r="EO145" s="46">
        <f t="shared" si="343"/>
        <v>0</v>
      </c>
      <c r="EP145" s="47">
        <f t="shared" si="344"/>
        <v>0</v>
      </c>
      <c r="EQ145" s="3" t="s">
        <v>69</v>
      </c>
      <c r="ER145" s="3">
        <f t="shared" si="345"/>
        <v>0</v>
      </c>
      <c r="ES145" s="3">
        <f t="shared" si="346"/>
        <v>0</v>
      </c>
      <c r="ET145" s="46">
        <f t="shared" si="347"/>
        <v>0</v>
      </c>
      <c r="EU145" s="46">
        <f t="shared" si="348"/>
        <v>0</v>
      </c>
      <c r="EV145" s="46">
        <f t="shared" si="349"/>
        <v>0</v>
      </c>
      <c r="EW145" s="46">
        <f t="shared" si="350"/>
        <v>0</v>
      </c>
      <c r="EX145" s="46">
        <f t="shared" si="351"/>
        <v>0</v>
      </c>
      <c r="EY145" s="46">
        <f t="shared" si="352"/>
        <v>0</v>
      </c>
      <c r="EZ145" s="3">
        <f t="shared" si="353"/>
        <v>0</v>
      </c>
      <c r="FA145" s="3" t="s">
        <v>70</v>
      </c>
      <c r="FB145" s="3">
        <f t="shared" si="354"/>
        <v>0</v>
      </c>
      <c r="FC145" s="3" t="s">
        <v>70</v>
      </c>
      <c r="FD145" s="46">
        <f t="shared" si="355"/>
        <v>0</v>
      </c>
      <c r="FE145" s="46">
        <f t="shared" si="356"/>
        <v>0</v>
      </c>
      <c r="FF145" s="46">
        <f t="shared" si="357"/>
        <v>0</v>
      </c>
      <c r="FG145" s="46">
        <f t="shared" si="358"/>
        <v>0</v>
      </c>
      <c r="FH145" s="46">
        <f t="shared" si="359"/>
        <v>0</v>
      </c>
      <c r="FI145" s="46">
        <f t="shared" si="360"/>
        <v>0</v>
      </c>
      <c r="FJ145" s="3">
        <f t="shared" si="361"/>
        <v>0</v>
      </c>
      <c r="FK145" s="46">
        <f t="shared" si="362"/>
        <v>0</v>
      </c>
      <c r="FM145" s="74">
        <f>EL145+'EXTRALABORAL B '!BH328</f>
        <v>0</v>
      </c>
      <c r="FN145" s="74">
        <f t="shared" si="363"/>
        <v>0</v>
      </c>
    </row>
    <row r="146" spans="1:170">
      <c r="A146" s="3">
        <v>143</v>
      </c>
      <c r="B146" s="3"/>
      <c r="C146" s="3"/>
      <c r="D146" s="3"/>
      <c r="E146" s="8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3">
        <f t="shared" si="321"/>
        <v>0</v>
      </c>
      <c r="DP146" s="3">
        <f t="shared" si="322"/>
        <v>0</v>
      </c>
      <c r="DQ146" s="3">
        <f t="shared" si="323"/>
        <v>0</v>
      </c>
      <c r="DR146" s="3" t="s">
        <v>69</v>
      </c>
      <c r="DS146" s="3">
        <f t="shared" si="324"/>
        <v>0</v>
      </c>
      <c r="DT146" s="3">
        <f t="shared" si="325"/>
        <v>0</v>
      </c>
      <c r="DU146" s="3">
        <f t="shared" si="326"/>
        <v>0</v>
      </c>
      <c r="DV146" s="3">
        <f t="shared" si="327"/>
        <v>0</v>
      </c>
      <c r="DW146" s="3">
        <f t="shared" si="328"/>
        <v>0</v>
      </c>
      <c r="DX146" s="3">
        <f t="shared" si="329"/>
        <v>0</v>
      </c>
      <c r="DY146" s="3">
        <f t="shared" si="330"/>
        <v>0</v>
      </c>
      <c r="DZ146" s="3">
        <f t="shared" si="331"/>
        <v>0</v>
      </c>
      <c r="EA146" s="3">
        <f t="shared" si="332"/>
        <v>0</v>
      </c>
      <c r="EB146" s="3" t="s">
        <v>70</v>
      </c>
      <c r="EC146" s="3">
        <f t="shared" si="333"/>
        <v>0</v>
      </c>
      <c r="ED146" s="3" t="s">
        <v>70</v>
      </c>
      <c r="EE146" s="3">
        <f t="shared" si="334"/>
        <v>0</v>
      </c>
      <c r="EF146" s="3">
        <f t="shared" si="335"/>
        <v>0</v>
      </c>
      <c r="EG146" s="3">
        <f t="shared" si="336"/>
        <v>0</v>
      </c>
      <c r="EH146" s="3">
        <f t="shared" si="337"/>
        <v>0</v>
      </c>
      <c r="EI146" s="3">
        <f t="shared" si="338"/>
        <v>0</v>
      </c>
      <c r="EJ146" s="3">
        <f t="shared" si="339"/>
        <v>0</v>
      </c>
      <c r="EK146" s="3">
        <f t="shared" si="340"/>
        <v>0</v>
      </c>
      <c r="EL146" s="24">
        <f t="shared" si="341"/>
        <v>0</v>
      </c>
      <c r="EM146" s="24"/>
      <c r="EN146" s="46">
        <f t="shared" si="342"/>
        <v>0</v>
      </c>
      <c r="EO146" s="46">
        <f t="shared" si="343"/>
        <v>0</v>
      </c>
      <c r="EP146" s="47">
        <f t="shared" si="344"/>
        <v>0</v>
      </c>
      <c r="EQ146" s="3" t="s">
        <v>69</v>
      </c>
      <c r="ER146" s="3">
        <f t="shared" si="345"/>
        <v>0</v>
      </c>
      <c r="ES146" s="3">
        <f t="shared" si="346"/>
        <v>0</v>
      </c>
      <c r="ET146" s="46">
        <f t="shared" si="347"/>
        <v>0</v>
      </c>
      <c r="EU146" s="46">
        <f t="shared" si="348"/>
        <v>0</v>
      </c>
      <c r="EV146" s="46">
        <f t="shared" si="349"/>
        <v>0</v>
      </c>
      <c r="EW146" s="46">
        <f t="shared" si="350"/>
        <v>0</v>
      </c>
      <c r="EX146" s="46">
        <f t="shared" si="351"/>
        <v>0</v>
      </c>
      <c r="EY146" s="46">
        <f t="shared" si="352"/>
        <v>0</v>
      </c>
      <c r="EZ146" s="3">
        <f t="shared" si="353"/>
        <v>0</v>
      </c>
      <c r="FA146" s="3" t="s">
        <v>70</v>
      </c>
      <c r="FB146" s="3">
        <f t="shared" si="354"/>
        <v>0</v>
      </c>
      <c r="FC146" s="3" t="s">
        <v>70</v>
      </c>
      <c r="FD146" s="46">
        <f t="shared" si="355"/>
        <v>0</v>
      </c>
      <c r="FE146" s="46">
        <f t="shared" si="356"/>
        <v>0</v>
      </c>
      <c r="FF146" s="46">
        <f t="shared" si="357"/>
        <v>0</v>
      </c>
      <c r="FG146" s="46">
        <f t="shared" si="358"/>
        <v>0</v>
      </c>
      <c r="FH146" s="46">
        <f t="shared" si="359"/>
        <v>0</v>
      </c>
      <c r="FI146" s="46">
        <f t="shared" si="360"/>
        <v>0</v>
      </c>
      <c r="FJ146" s="3">
        <f t="shared" si="361"/>
        <v>0</v>
      </c>
      <c r="FK146" s="46">
        <f t="shared" si="362"/>
        <v>0</v>
      </c>
      <c r="FM146" s="74">
        <f>EL146+'EXTRALABORAL B '!BH329</f>
        <v>0</v>
      </c>
      <c r="FN146" s="74">
        <f t="shared" si="363"/>
        <v>0</v>
      </c>
    </row>
    <row r="147" spans="1:170">
      <c r="A147" s="3">
        <v>144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3">
        <f t="shared" si="321"/>
        <v>0</v>
      </c>
      <c r="DP147" s="3">
        <f t="shared" si="322"/>
        <v>0</v>
      </c>
      <c r="DQ147" s="3">
        <f t="shared" si="323"/>
        <v>0</v>
      </c>
      <c r="DR147" s="3" t="s">
        <v>69</v>
      </c>
      <c r="DS147" s="3">
        <f t="shared" si="324"/>
        <v>0</v>
      </c>
      <c r="DT147" s="3">
        <f t="shared" si="325"/>
        <v>0</v>
      </c>
      <c r="DU147" s="3">
        <f t="shared" si="326"/>
        <v>0</v>
      </c>
      <c r="DV147" s="3">
        <f t="shared" si="327"/>
        <v>0</v>
      </c>
      <c r="DW147" s="3">
        <f t="shared" si="328"/>
        <v>0</v>
      </c>
      <c r="DX147" s="3">
        <f t="shared" si="329"/>
        <v>0</v>
      </c>
      <c r="DY147" s="3">
        <f t="shared" si="330"/>
        <v>0</v>
      </c>
      <c r="DZ147" s="3">
        <f t="shared" si="331"/>
        <v>0</v>
      </c>
      <c r="EA147" s="3">
        <f t="shared" si="332"/>
        <v>0</v>
      </c>
      <c r="EB147" s="3" t="s">
        <v>70</v>
      </c>
      <c r="EC147" s="3">
        <f t="shared" si="333"/>
        <v>0</v>
      </c>
      <c r="ED147" s="3" t="s">
        <v>70</v>
      </c>
      <c r="EE147" s="3">
        <f t="shared" si="334"/>
        <v>0</v>
      </c>
      <c r="EF147" s="3">
        <f t="shared" si="335"/>
        <v>0</v>
      </c>
      <c r="EG147" s="3">
        <f t="shared" si="336"/>
        <v>0</v>
      </c>
      <c r="EH147" s="3">
        <f t="shared" si="337"/>
        <v>0</v>
      </c>
      <c r="EI147" s="3">
        <f t="shared" si="338"/>
        <v>0</v>
      </c>
      <c r="EJ147" s="3">
        <f t="shared" si="339"/>
        <v>0</v>
      </c>
      <c r="EK147" s="3">
        <f t="shared" si="340"/>
        <v>0</v>
      </c>
      <c r="EL147" s="24">
        <f t="shared" si="341"/>
        <v>0</v>
      </c>
      <c r="EM147" s="24"/>
      <c r="EN147" s="46">
        <f t="shared" si="342"/>
        <v>0</v>
      </c>
      <c r="EO147" s="46">
        <f t="shared" si="343"/>
        <v>0</v>
      </c>
      <c r="EP147" s="47">
        <f t="shared" si="344"/>
        <v>0</v>
      </c>
      <c r="EQ147" s="3" t="s">
        <v>69</v>
      </c>
      <c r="ER147" s="3">
        <f t="shared" si="345"/>
        <v>0</v>
      </c>
      <c r="ES147" s="3">
        <f t="shared" si="346"/>
        <v>0</v>
      </c>
      <c r="ET147" s="46">
        <f t="shared" si="347"/>
        <v>0</v>
      </c>
      <c r="EU147" s="46">
        <f t="shared" si="348"/>
        <v>0</v>
      </c>
      <c r="EV147" s="46">
        <f t="shared" si="349"/>
        <v>0</v>
      </c>
      <c r="EW147" s="46">
        <f t="shared" si="350"/>
        <v>0</v>
      </c>
      <c r="EX147" s="46">
        <f t="shared" si="351"/>
        <v>0</v>
      </c>
      <c r="EY147" s="46">
        <f t="shared" si="352"/>
        <v>0</v>
      </c>
      <c r="EZ147" s="3">
        <f t="shared" si="353"/>
        <v>0</v>
      </c>
      <c r="FA147" s="3" t="s">
        <v>70</v>
      </c>
      <c r="FB147" s="3">
        <f t="shared" si="354"/>
        <v>0</v>
      </c>
      <c r="FC147" s="3" t="s">
        <v>70</v>
      </c>
      <c r="FD147" s="46">
        <f t="shared" si="355"/>
        <v>0</v>
      </c>
      <c r="FE147" s="46">
        <f t="shared" si="356"/>
        <v>0</v>
      </c>
      <c r="FF147" s="46">
        <f t="shared" si="357"/>
        <v>0</v>
      </c>
      <c r="FG147" s="46">
        <f t="shared" si="358"/>
        <v>0</v>
      </c>
      <c r="FH147" s="46">
        <f t="shared" si="359"/>
        <v>0</v>
      </c>
      <c r="FI147" s="46">
        <f t="shared" si="360"/>
        <v>0</v>
      </c>
      <c r="FJ147" s="3">
        <f t="shared" si="361"/>
        <v>0</v>
      </c>
      <c r="FK147" s="46">
        <f t="shared" si="362"/>
        <v>0</v>
      </c>
      <c r="FM147" s="74">
        <f>EL147+'EXTRALABORAL B '!BH330</f>
        <v>0</v>
      </c>
      <c r="FN147" s="74">
        <f t="shared" si="363"/>
        <v>0</v>
      </c>
    </row>
    <row r="148" spans="1:170">
      <c r="A148" s="3">
        <v>145</v>
      </c>
      <c r="B148" s="8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3">
        <f t="shared" si="321"/>
        <v>0</v>
      </c>
      <c r="DP148" s="3">
        <f t="shared" si="322"/>
        <v>0</v>
      </c>
      <c r="DQ148" s="3">
        <f t="shared" si="323"/>
        <v>0</v>
      </c>
      <c r="DR148" s="3" t="s">
        <v>69</v>
      </c>
      <c r="DS148" s="3">
        <f t="shared" si="324"/>
        <v>0</v>
      </c>
      <c r="DT148" s="3">
        <f t="shared" si="325"/>
        <v>0</v>
      </c>
      <c r="DU148" s="3">
        <f t="shared" si="326"/>
        <v>0</v>
      </c>
      <c r="DV148" s="3">
        <f t="shared" si="327"/>
        <v>0</v>
      </c>
      <c r="DW148" s="3">
        <f t="shared" si="328"/>
        <v>0</v>
      </c>
      <c r="DX148" s="3">
        <f t="shared" si="329"/>
        <v>0</v>
      </c>
      <c r="DY148" s="3">
        <f t="shared" si="330"/>
        <v>0</v>
      </c>
      <c r="DZ148" s="3">
        <f t="shared" si="331"/>
        <v>0</v>
      </c>
      <c r="EA148" s="3">
        <f t="shared" si="332"/>
        <v>0</v>
      </c>
      <c r="EB148" s="3" t="s">
        <v>70</v>
      </c>
      <c r="EC148" s="3">
        <f t="shared" si="333"/>
        <v>0</v>
      </c>
      <c r="ED148" s="3" t="s">
        <v>70</v>
      </c>
      <c r="EE148" s="3">
        <f t="shared" si="334"/>
        <v>0</v>
      </c>
      <c r="EF148" s="3">
        <f t="shared" si="335"/>
        <v>0</v>
      </c>
      <c r="EG148" s="3">
        <f t="shared" si="336"/>
        <v>0</v>
      </c>
      <c r="EH148" s="3">
        <f t="shared" si="337"/>
        <v>0</v>
      </c>
      <c r="EI148" s="3">
        <f t="shared" si="338"/>
        <v>0</v>
      </c>
      <c r="EJ148" s="3">
        <f t="shared" si="339"/>
        <v>0</v>
      </c>
      <c r="EK148" s="3">
        <f t="shared" si="340"/>
        <v>0</v>
      </c>
      <c r="EL148" s="24">
        <f t="shared" si="341"/>
        <v>0</v>
      </c>
      <c r="EM148" s="24"/>
      <c r="EN148" s="46">
        <f t="shared" si="342"/>
        <v>0</v>
      </c>
      <c r="EO148" s="46">
        <f t="shared" si="343"/>
        <v>0</v>
      </c>
      <c r="EP148" s="47">
        <f t="shared" si="344"/>
        <v>0</v>
      </c>
      <c r="EQ148" s="3" t="s">
        <v>69</v>
      </c>
      <c r="ER148" s="3">
        <f t="shared" si="345"/>
        <v>0</v>
      </c>
      <c r="ES148" s="3">
        <f t="shared" si="346"/>
        <v>0</v>
      </c>
      <c r="ET148" s="46">
        <f t="shared" si="347"/>
        <v>0</v>
      </c>
      <c r="EU148" s="46">
        <f t="shared" si="348"/>
        <v>0</v>
      </c>
      <c r="EV148" s="46">
        <f t="shared" si="349"/>
        <v>0</v>
      </c>
      <c r="EW148" s="46">
        <f t="shared" si="350"/>
        <v>0</v>
      </c>
      <c r="EX148" s="46">
        <f t="shared" si="351"/>
        <v>0</v>
      </c>
      <c r="EY148" s="46">
        <f t="shared" si="352"/>
        <v>0</v>
      </c>
      <c r="EZ148" s="3">
        <f t="shared" si="353"/>
        <v>0</v>
      </c>
      <c r="FA148" s="3" t="s">
        <v>70</v>
      </c>
      <c r="FB148" s="3">
        <f t="shared" si="354"/>
        <v>0</v>
      </c>
      <c r="FC148" s="3" t="s">
        <v>70</v>
      </c>
      <c r="FD148" s="46">
        <f t="shared" si="355"/>
        <v>0</v>
      </c>
      <c r="FE148" s="46">
        <f t="shared" si="356"/>
        <v>0</v>
      </c>
      <c r="FF148" s="46">
        <f t="shared" si="357"/>
        <v>0</v>
      </c>
      <c r="FG148" s="46">
        <f t="shared" si="358"/>
        <v>0</v>
      </c>
      <c r="FH148" s="46">
        <f t="shared" si="359"/>
        <v>0</v>
      </c>
      <c r="FI148" s="46">
        <f t="shared" si="360"/>
        <v>0</v>
      </c>
      <c r="FJ148" s="3">
        <f t="shared" si="361"/>
        <v>0</v>
      </c>
      <c r="FK148" s="46">
        <f t="shared" si="362"/>
        <v>0</v>
      </c>
      <c r="FM148" s="74">
        <f>EL148+'EXTRALABORAL B '!BH331</f>
        <v>0</v>
      </c>
      <c r="FN148" s="74">
        <f t="shared" si="363"/>
        <v>0</v>
      </c>
    </row>
    <row r="149" spans="1:170">
      <c r="A149" s="3">
        <v>146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3">
        <f t="shared" si="321"/>
        <v>0</v>
      </c>
      <c r="DP149" s="3">
        <f t="shared" si="322"/>
        <v>0</v>
      </c>
      <c r="DQ149" s="3">
        <f t="shared" si="323"/>
        <v>0</v>
      </c>
      <c r="DR149" s="3" t="s">
        <v>69</v>
      </c>
      <c r="DS149" s="3">
        <f t="shared" si="324"/>
        <v>0</v>
      </c>
      <c r="DT149" s="3">
        <f t="shared" si="325"/>
        <v>0</v>
      </c>
      <c r="DU149" s="3">
        <f t="shared" si="326"/>
        <v>0</v>
      </c>
      <c r="DV149" s="3">
        <f t="shared" si="327"/>
        <v>0</v>
      </c>
      <c r="DW149" s="3">
        <f t="shared" si="328"/>
        <v>0</v>
      </c>
      <c r="DX149" s="3">
        <f t="shared" si="329"/>
        <v>0</v>
      </c>
      <c r="DY149" s="3">
        <f t="shared" si="330"/>
        <v>0</v>
      </c>
      <c r="DZ149" s="3">
        <f t="shared" si="331"/>
        <v>0</v>
      </c>
      <c r="EA149" s="3">
        <f t="shared" si="332"/>
        <v>0</v>
      </c>
      <c r="EB149" s="3" t="s">
        <v>70</v>
      </c>
      <c r="EC149" s="3">
        <f t="shared" si="333"/>
        <v>0</v>
      </c>
      <c r="ED149" s="3" t="s">
        <v>70</v>
      </c>
      <c r="EE149" s="3">
        <f t="shared" si="334"/>
        <v>0</v>
      </c>
      <c r="EF149" s="3">
        <f t="shared" si="335"/>
        <v>0</v>
      </c>
      <c r="EG149" s="3">
        <f t="shared" si="336"/>
        <v>0</v>
      </c>
      <c r="EH149" s="3">
        <f t="shared" si="337"/>
        <v>0</v>
      </c>
      <c r="EI149" s="3">
        <f t="shared" si="338"/>
        <v>0</v>
      </c>
      <c r="EJ149" s="3">
        <f t="shared" si="339"/>
        <v>0</v>
      </c>
      <c r="EK149" s="3">
        <f t="shared" si="340"/>
        <v>0</v>
      </c>
      <c r="EL149" s="24">
        <f t="shared" si="341"/>
        <v>0</v>
      </c>
      <c r="EM149" s="24"/>
      <c r="EN149" s="46">
        <f t="shared" si="342"/>
        <v>0</v>
      </c>
      <c r="EO149" s="46">
        <f t="shared" si="343"/>
        <v>0</v>
      </c>
      <c r="EP149" s="47">
        <f t="shared" si="344"/>
        <v>0</v>
      </c>
      <c r="EQ149" s="3" t="s">
        <v>69</v>
      </c>
      <c r="ER149" s="3">
        <f t="shared" si="345"/>
        <v>0</v>
      </c>
      <c r="ES149" s="3">
        <f t="shared" si="346"/>
        <v>0</v>
      </c>
      <c r="ET149" s="46">
        <f t="shared" si="347"/>
        <v>0</v>
      </c>
      <c r="EU149" s="46">
        <f t="shared" si="348"/>
        <v>0</v>
      </c>
      <c r="EV149" s="46">
        <f t="shared" si="349"/>
        <v>0</v>
      </c>
      <c r="EW149" s="46">
        <f t="shared" si="350"/>
        <v>0</v>
      </c>
      <c r="EX149" s="46">
        <f t="shared" si="351"/>
        <v>0</v>
      </c>
      <c r="EY149" s="46">
        <f t="shared" si="352"/>
        <v>0</v>
      </c>
      <c r="EZ149" s="3">
        <f t="shared" si="353"/>
        <v>0</v>
      </c>
      <c r="FA149" s="3" t="s">
        <v>70</v>
      </c>
      <c r="FB149" s="3">
        <f t="shared" si="354"/>
        <v>0</v>
      </c>
      <c r="FC149" s="3" t="s">
        <v>70</v>
      </c>
      <c r="FD149" s="46">
        <f t="shared" si="355"/>
        <v>0</v>
      </c>
      <c r="FE149" s="46">
        <f t="shared" si="356"/>
        <v>0</v>
      </c>
      <c r="FF149" s="46">
        <f t="shared" si="357"/>
        <v>0</v>
      </c>
      <c r="FG149" s="46">
        <f t="shared" si="358"/>
        <v>0</v>
      </c>
      <c r="FH149" s="46">
        <f t="shared" si="359"/>
        <v>0</v>
      </c>
      <c r="FI149" s="46">
        <f t="shared" si="360"/>
        <v>0</v>
      </c>
      <c r="FJ149" s="3">
        <f t="shared" si="361"/>
        <v>0</v>
      </c>
      <c r="FK149" s="46">
        <f t="shared" si="362"/>
        <v>0</v>
      </c>
      <c r="FM149" s="74">
        <f>EL149+'EXTRALABORAL B '!BH332</f>
        <v>0</v>
      </c>
      <c r="FN149" s="74">
        <f t="shared" si="363"/>
        <v>0</v>
      </c>
    </row>
    <row r="150" spans="1:170">
      <c r="A150" s="3">
        <v>147</v>
      </c>
      <c r="B150" s="8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3">
        <f t="shared" si="321"/>
        <v>0</v>
      </c>
      <c r="DP150" s="3">
        <f t="shared" si="322"/>
        <v>0</v>
      </c>
      <c r="DQ150" s="3">
        <f t="shared" si="323"/>
        <v>0</v>
      </c>
      <c r="DR150" s="3" t="s">
        <v>69</v>
      </c>
      <c r="DS150" s="3">
        <f t="shared" si="324"/>
        <v>0</v>
      </c>
      <c r="DT150" s="3">
        <f t="shared" si="325"/>
        <v>0</v>
      </c>
      <c r="DU150" s="3">
        <f t="shared" si="326"/>
        <v>0</v>
      </c>
      <c r="DV150" s="3">
        <f t="shared" si="327"/>
        <v>0</v>
      </c>
      <c r="DW150" s="3">
        <f t="shared" si="328"/>
        <v>0</v>
      </c>
      <c r="DX150" s="3">
        <f t="shared" si="329"/>
        <v>0</v>
      </c>
      <c r="DY150" s="3">
        <f t="shared" si="330"/>
        <v>0</v>
      </c>
      <c r="DZ150" s="3">
        <f t="shared" si="331"/>
        <v>0</v>
      </c>
      <c r="EA150" s="3">
        <f t="shared" si="332"/>
        <v>0</v>
      </c>
      <c r="EB150" s="3" t="s">
        <v>70</v>
      </c>
      <c r="EC150" s="3">
        <f t="shared" si="333"/>
        <v>0</v>
      </c>
      <c r="ED150" s="3" t="s">
        <v>70</v>
      </c>
      <c r="EE150" s="3">
        <f t="shared" si="334"/>
        <v>0</v>
      </c>
      <c r="EF150" s="3">
        <f t="shared" si="335"/>
        <v>0</v>
      </c>
      <c r="EG150" s="3">
        <f t="shared" si="336"/>
        <v>0</v>
      </c>
      <c r="EH150" s="3">
        <f t="shared" si="337"/>
        <v>0</v>
      </c>
      <c r="EI150" s="3">
        <f t="shared" si="338"/>
        <v>0</v>
      </c>
      <c r="EJ150" s="3">
        <f t="shared" si="339"/>
        <v>0</v>
      </c>
      <c r="EK150" s="3">
        <f t="shared" si="340"/>
        <v>0</v>
      </c>
      <c r="EL150" s="24">
        <f t="shared" si="341"/>
        <v>0</v>
      </c>
      <c r="EM150" s="24"/>
      <c r="EN150" s="46">
        <f t="shared" si="342"/>
        <v>0</v>
      </c>
      <c r="EO150" s="46">
        <f t="shared" si="343"/>
        <v>0</v>
      </c>
      <c r="EP150" s="47">
        <f t="shared" si="344"/>
        <v>0</v>
      </c>
      <c r="EQ150" s="3" t="s">
        <v>69</v>
      </c>
      <c r="ER150" s="3">
        <f t="shared" si="345"/>
        <v>0</v>
      </c>
      <c r="ES150" s="3">
        <f t="shared" si="346"/>
        <v>0</v>
      </c>
      <c r="ET150" s="46">
        <f t="shared" si="347"/>
        <v>0</v>
      </c>
      <c r="EU150" s="46">
        <f t="shared" si="348"/>
        <v>0</v>
      </c>
      <c r="EV150" s="46">
        <f t="shared" si="349"/>
        <v>0</v>
      </c>
      <c r="EW150" s="46">
        <f t="shared" si="350"/>
        <v>0</v>
      </c>
      <c r="EX150" s="46">
        <f t="shared" si="351"/>
        <v>0</v>
      </c>
      <c r="EY150" s="46">
        <f t="shared" si="352"/>
        <v>0</v>
      </c>
      <c r="EZ150" s="3">
        <f t="shared" si="353"/>
        <v>0</v>
      </c>
      <c r="FA150" s="3" t="s">
        <v>70</v>
      </c>
      <c r="FB150" s="3">
        <f t="shared" si="354"/>
        <v>0</v>
      </c>
      <c r="FC150" s="3" t="s">
        <v>70</v>
      </c>
      <c r="FD150" s="46">
        <f t="shared" si="355"/>
        <v>0</v>
      </c>
      <c r="FE150" s="46">
        <f t="shared" si="356"/>
        <v>0</v>
      </c>
      <c r="FF150" s="46">
        <f t="shared" si="357"/>
        <v>0</v>
      </c>
      <c r="FG150" s="46">
        <f t="shared" si="358"/>
        <v>0</v>
      </c>
      <c r="FH150" s="46">
        <f t="shared" si="359"/>
        <v>0</v>
      </c>
      <c r="FI150" s="46">
        <f t="shared" si="360"/>
        <v>0</v>
      </c>
      <c r="FJ150" s="3">
        <f t="shared" si="361"/>
        <v>0</v>
      </c>
      <c r="FK150" s="46">
        <f t="shared" si="362"/>
        <v>0</v>
      </c>
      <c r="FM150" s="74">
        <f>EL150+'EXTRALABORAL B '!BH333</f>
        <v>0</v>
      </c>
      <c r="FN150" s="74">
        <f t="shared" si="363"/>
        <v>0</v>
      </c>
    </row>
    <row r="151" spans="1:170">
      <c r="A151" s="3">
        <v>148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3">
        <f t="shared" si="321"/>
        <v>0</v>
      </c>
      <c r="DP151" s="3">
        <f t="shared" si="322"/>
        <v>0</v>
      </c>
      <c r="DQ151" s="3">
        <f t="shared" si="323"/>
        <v>0</v>
      </c>
      <c r="DR151" s="3" t="s">
        <v>69</v>
      </c>
      <c r="DS151" s="3">
        <f t="shared" si="324"/>
        <v>0</v>
      </c>
      <c r="DT151" s="3">
        <f t="shared" si="325"/>
        <v>0</v>
      </c>
      <c r="DU151" s="3">
        <f t="shared" si="326"/>
        <v>0</v>
      </c>
      <c r="DV151" s="3">
        <f t="shared" si="327"/>
        <v>0</v>
      </c>
      <c r="DW151" s="3">
        <f t="shared" si="328"/>
        <v>0</v>
      </c>
      <c r="DX151" s="3">
        <f t="shared" si="329"/>
        <v>0</v>
      </c>
      <c r="DY151" s="3">
        <f t="shared" si="330"/>
        <v>0</v>
      </c>
      <c r="DZ151" s="3">
        <f t="shared" si="331"/>
        <v>0</v>
      </c>
      <c r="EA151" s="3">
        <f t="shared" si="332"/>
        <v>0</v>
      </c>
      <c r="EB151" s="3" t="s">
        <v>70</v>
      </c>
      <c r="EC151" s="3">
        <f t="shared" si="333"/>
        <v>0</v>
      </c>
      <c r="ED151" s="3" t="s">
        <v>70</v>
      </c>
      <c r="EE151" s="3">
        <f t="shared" si="334"/>
        <v>0</v>
      </c>
      <c r="EF151" s="3">
        <f t="shared" si="335"/>
        <v>0</v>
      </c>
      <c r="EG151" s="3">
        <f t="shared" si="336"/>
        <v>0</v>
      </c>
      <c r="EH151" s="3">
        <f t="shared" si="337"/>
        <v>0</v>
      </c>
      <c r="EI151" s="3">
        <f t="shared" si="338"/>
        <v>0</v>
      </c>
      <c r="EJ151" s="3">
        <f t="shared" si="339"/>
        <v>0</v>
      </c>
      <c r="EK151" s="3">
        <f t="shared" si="340"/>
        <v>0</v>
      </c>
      <c r="EL151" s="24">
        <f t="shared" si="341"/>
        <v>0</v>
      </c>
      <c r="EM151" s="24"/>
      <c r="EN151" s="46">
        <f t="shared" si="342"/>
        <v>0</v>
      </c>
      <c r="EO151" s="46">
        <f t="shared" si="343"/>
        <v>0</v>
      </c>
      <c r="EP151" s="47">
        <f t="shared" si="344"/>
        <v>0</v>
      </c>
      <c r="EQ151" s="3" t="s">
        <v>69</v>
      </c>
      <c r="ER151" s="3">
        <f t="shared" si="345"/>
        <v>0</v>
      </c>
      <c r="ES151" s="3">
        <f t="shared" si="346"/>
        <v>0</v>
      </c>
      <c r="ET151" s="46">
        <f t="shared" si="347"/>
        <v>0</v>
      </c>
      <c r="EU151" s="46">
        <f t="shared" si="348"/>
        <v>0</v>
      </c>
      <c r="EV151" s="46">
        <f t="shared" si="349"/>
        <v>0</v>
      </c>
      <c r="EW151" s="46">
        <f t="shared" si="350"/>
        <v>0</v>
      </c>
      <c r="EX151" s="46">
        <f t="shared" si="351"/>
        <v>0</v>
      </c>
      <c r="EY151" s="46">
        <f t="shared" si="352"/>
        <v>0</v>
      </c>
      <c r="EZ151" s="3">
        <f t="shared" si="353"/>
        <v>0</v>
      </c>
      <c r="FA151" s="3" t="s">
        <v>70</v>
      </c>
      <c r="FB151" s="3">
        <f t="shared" si="354"/>
        <v>0</v>
      </c>
      <c r="FC151" s="3" t="s">
        <v>70</v>
      </c>
      <c r="FD151" s="46">
        <f t="shared" si="355"/>
        <v>0</v>
      </c>
      <c r="FE151" s="46">
        <f t="shared" si="356"/>
        <v>0</v>
      </c>
      <c r="FF151" s="46">
        <f t="shared" si="357"/>
        <v>0</v>
      </c>
      <c r="FG151" s="46">
        <f t="shared" si="358"/>
        <v>0</v>
      </c>
      <c r="FH151" s="46">
        <f t="shared" si="359"/>
        <v>0</v>
      </c>
      <c r="FI151" s="46">
        <f t="shared" si="360"/>
        <v>0</v>
      </c>
      <c r="FJ151" s="3">
        <f t="shared" si="361"/>
        <v>0</v>
      </c>
      <c r="FK151" s="46">
        <f t="shared" si="362"/>
        <v>0</v>
      </c>
      <c r="FM151" s="74">
        <f>EL151+'EXTRALABORAL B '!BH334</f>
        <v>0</v>
      </c>
      <c r="FN151" s="74">
        <f t="shared" si="363"/>
        <v>0</v>
      </c>
    </row>
    <row r="152" spans="1:170">
      <c r="A152" s="3">
        <v>149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3">
        <f t="shared" si="321"/>
        <v>0</v>
      </c>
      <c r="DP152" s="3">
        <f t="shared" si="322"/>
        <v>0</v>
      </c>
      <c r="DQ152" s="3">
        <f t="shared" si="323"/>
        <v>0</v>
      </c>
      <c r="DR152" s="3" t="s">
        <v>69</v>
      </c>
      <c r="DS152" s="3">
        <f t="shared" si="324"/>
        <v>0</v>
      </c>
      <c r="DT152" s="3">
        <f t="shared" si="325"/>
        <v>0</v>
      </c>
      <c r="DU152" s="3">
        <f t="shared" si="326"/>
        <v>0</v>
      </c>
      <c r="DV152" s="3">
        <f t="shared" si="327"/>
        <v>0</v>
      </c>
      <c r="DW152" s="3">
        <f t="shared" si="328"/>
        <v>0</v>
      </c>
      <c r="DX152" s="3">
        <f t="shared" si="329"/>
        <v>0</v>
      </c>
      <c r="DY152" s="3">
        <f t="shared" si="330"/>
        <v>0</v>
      </c>
      <c r="DZ152" s="3">
        <f t="shared" si="331"/>
        <v>0</v>
      </c>
      <c r="EA152" s="3">
        <f t="shared" si="332"/>
        <v>0</v>
      </c>
      <c r="EB152" s="3" t="s">
        <v>70</v>
      </c>
      <c r="EC152" s="3">
        <f t="shared" si="333"/>
        <v>0</v>
      </c>
      <c r="ED152" s="3" t="s">
        <v>70</v>
      </c>
      <c r="EE152" s="3">
        <f t="shared" si="334"/>
        <v>0</v>
      </c>
      <c r="EF152" s="3">
        <f t="shared" si="335"/>
        <v>0</v>
      </c>
      <c r="EG152" s="3">
        <f t="shared" si="336"/>
        <v>0</v>
      </c>
      <c r="EH152" s="3">
        <f t="shared" si="337"/>
        <v>0</v>
      </c>
      <c r="EI152" s="3">
        <f t="shared" si="338"/>
        <v>0</v>
      </c>
      <c r="EJ152" s="3">
        <f t="shared" si="339"/>
        <v>0</v>
      </c>
      <c r="EK152" s="3">
        <f t="shared" si="340"/>
        <v>0</v>
      </c>
      <c r="EL152" s="24">
        <f t="shared" si="341"/>
        <v>0</v>
      </c>
      <c r="EM152" s="24"/>
      <c r="EN152" s="46">
        <f t="shared" si="342"/>
        <v>0</v>
      </c>
      <c r="EO152" s="46">
        <f t="shared" si="343"/>
        <v>0</v>
      </c>
      <c r="EP152" s="47">
        <f t="shared" si="344"/>
        <v>0</v>
      </c>
      <c r="EQ152" s="3" t="s">
        <v>69</v>
      </c>
      <c r="ER152" s="3">
        <f t="shared" si="345"/>
        <v>0</v>
      </c>
      <c r="ES152" s="3">
        <f t="shared" si="346"/>
        <v>0</v>
      </c>
      <c r="ET152" s="46">
        <f t="shared" si="347"/>
        <v>0</v>
      </c>
      <c r="EU152" s="46">
        <f t="shared" si="348"/>
        <v>0</v>
      </c>
      <c r="EV152" s="46">
        <f t="shared" si="349"/>
        <v>0</v>
      </c>
      <c r="EW152" s="46">
        <f t="shared" si="350"/>
        <v>0</v>
      </c>
      <c r="EX152" s="46">
        <f t="shared" si="351"/>
        <v>0</v>
      </c>
      <c r="EY152" s="46">
        <f t="shared" si="352"/>
        <v>0</v>
      </c>
      <c r="EZ152" s="3">
        <f t="shared" si="353"/>
        <v>0</v>
      </c>
      <c r="FA152" s="3" t="s">
        <v>70</v>
      </c>
      <c r="FB152" s="3">
        <f t="shared" si="354"/>
        <v>0</v>
      </c>
      <c r="FC152" s="3" t="s">
        <v>70</v>
      </c>
      <c r="FD152" s="46">
        <f t="shared" si="355"/>
        <v>0</v>
      </c>
      <c r="FE152" s="46">
        <f t="shared" si="356"/>
        <v>0</v>
      </c>
      <c r="FF152" s="46">
        <f t="shared" si="357"/>
        <v>0</v>
      </c>
      <c r="FG152" s="46">
        <f t="shared" si="358"/>
        <v>0</v>
      </c>
      <c r="FH152" s="46">
        <f t="shared" si="359"/>
        <v>0</v>
      </c>
      <c r="FI152" s="46">
        <f t="shared" si="360"/>
        <v>0</v>
      </c>
      <c r="FJ152" s="3">
        <f t="shared" si="361"/>
        <v>0</v>
      </c>
      <c r="FK152" s="46">
        <f t="shared" si="362"/>
        <v>0</v>
      </c>
      <c r="FM152" s="74">
        <f>EL152+'EXTRALABORAL B '!BH335</f>
        <v>0</v>
      </c>
      <c r="FN152" s="74">
        <f t="shared" si="363"/>
        <v>0</v>
      </c>
    </row>
    <row r="153" spans="1:170">
      <c r="A153" s="3">
        <v>150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3">
        <f t="shared" si="321"/>
        <v>0</v>
      </c>
      <c r="DP153" s="3">
        <f t="shared" si="322"/>
        <v>0</v>
      </c>
      <c r="DQ153" s="3">
        <f t="shared" si="323"/>
        <v>0</v>
      </c>
      <c r="DR153" s="3" t="s">
        <v>69</v>
      </c>
      <c r="DS153" s="3">
        <f t="shared" si="324"/>
        <v>0</v>
      </c>
      <c r="DT153" s="3">
        <f t="shared" si="325"/>
        <v>0</v>
      </c>
      <c r="DU153" s="3">
        <f t="shared" si="326"/>
        <v>0</v>
      </c>
      <c r="DV153" s="3">
        <f t="shared" si="327"/>
        <v>0</v>
      </c>
      <c r="DW153" s="3">
        <f t="shared" si="328"/>
        <v>0</v>
      </c>
      <c r="DX153" s="3">
        <f t="shared" si="329"/>
        <v>0</v>
      </c>
      <c r="DY153" s="3">
        <f t="shared" si="330"/>
        <v>0</v>
      </c>
      <c r="DZ153" s="3">
        <f t="shared" si="331"/>
        <v>0</v>
      </c>
      <c r="EA153" s="3">
        <f t="shared" si="332"/>
        <v>0</v>
      </c>
      <c r="EB153" s="3" t="s">
        <v>70</v>
      </c>
      <c r="EC153" s="3">
        <f t="shared" si="333"/>
        <v>0</v>
      </c>
      <c r="ED153" s="3" t="s">
        <v>70</v>
      </c>
      <c r="EE153" s="3">
        <f t="shared" si="334"/>
        <v>0</v>
      </c>
      <c r="EF153" s="3">
        <f t="shared" si="335"/>
        <v>0</v>
      </c>
      <c r="EG153" s="3">
        <f t="shared" si="336"/>
        <v>0</v>
      </c>
      <c r="EH153" s="3">
        <f t="shared" si="337"/>
        <v>0</v>
      </c>
      <c r="EI153" s="3">
        <f t="shared" si="338"/>
        <v>0</v>
      </c>
      <c r="EJ153" s="3">
        <f t="shared" si="339"/>
        <v>0</v>
      </c>
      <c r="EK153" s="3">
        <f t="shared" si="340"/>
        <v>0</v>
      </c>
      <c r="EL153" s="24">
        <f t="shared" si="341"/>
        <v>0</v>
      </c>
      <c r="EM153" s="24"/>
      <c r="EN153" s="46">
        <f t="shared" si="342"/>
        <v>0</v>
      </c>
      <c r="EO153" s="46">
        <f t="shared" si="343"/>
        <v>0</v>
      </c>
      <c r="EP153" s="47">
        <f t="shared" si="344"/>
        <v>0</v>
      </c>
      <c r="EQ153" s="3" t="s">
        <v>69</v>
      </c>
      <c r="ER153" s="3">
        <f t="shared" si="345"/>
        <v>0</v>
      </c>
      <c r="ES153" s="3">
        <f t="shared" si="346"/>
        <v>0</v>
      </c>
      <c r="ET153" s="46">
        <f t="shared" si="347"/>
        <v>0</v>
      </c>
      <c r="EU153" s="46">
        <f t="shared" si="348"/>
        <v>0</v>
      </c>
      <c r="EV153" s="46">
        <f t="shared" si="349"/>
        <v>0</v>
      </c>
      <c r="EW153" s="46">
        <f t="shared" si="350"/>
        <v>0</v>
      </c>
      <c r="EX153" s="46">
        <f t="shared" si="351"/>
        <v>0</v>
      </c>
      <c r="EY153" s="46">
        <f t="shared" si="352"/>
        <v>0</v>
      </c>
      <c r="EZ153" s="3">
        <f t="shared" si="353"/>
        <v>0</v>
      </c>
      <c r="FA153" s="3" t="s">
        <v>70</v>
      </c>
      <c r="FB153" s="3">
        <f t="shared" si="354"/>
        <v>0</v>
      </c>
      <c r="FC153" s="3" t="s">
        <v>70</v>
      </c>
      <c r="FD153" s="46">
        <f t="shared" si="355"/>
        <v>0</v>
      </c>
      <c r="FE153" s="46">
        <f t="shared" si="356"/>
        <v>0</v>
      </c>
      <c r="FF153" s="46">
        <f t="shared" si="357"/>
        <v>0</v>
      </c>
      <c r="FG153" s="46">
        <f t="shared" si="358"/>
        <v>0</v>
      </c>
      <c r="FH153" s="46">
        <f t="shared" si="359"/>
        <v>0</v>
      </c>
      <c r="FI153" s="46">
        <f t="shared" si="360"/>
        <v>0</v>
      </c>
      <c r="FJ153" s="3">
        <f t="shared" si="361"/>
        <v>0</v>
      </c>
      <c r="FK153" s="46">
        <f t="shared" si="362"/>
        <v>0</v>
      </c>
      <c r="FM153" s="74">
        <f>EL153+'EXTRALABORAL B '!BH336</f>
        <v>0</v>
      </c>
      <c r="FN153" s="74">
        <f t="shared" si="363"/>
        <v>0</v>
      </c>
    </row>
    <row r="154" spans="1:170">
      <c r="A154" s="3">
        <v>151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3">
        <f t="shared" si="321"/>
        <v>0</v>
      </c>
      <c r="DP154" s="3">
        <f t="shared" si="322"/>
        <v>0</v>
      </c>
      <c r="DQ154" s="3">
        <f t="shared" si="323"/>
        <v>0</v>
      </c>
      <c r="DR154" s="3" t="s">
        <v>69</v>
      </c>
      <c r="DS154" s="3">
        <f t="shared" si="324"/>
        <v>0</v>
      </c>
      <c r="DT154" s="3">
        <f t="shared" si="325"/>
        <v>0</v>
      </c>
      <c r="DU154" s="3">
        <f t="shared" si="326"/>
        <v>0</v>
      </c>
      <c r="DV154" s="3">
        <f t="shared" si="327"/>
        <v>0</v>
      </c>
      <c r="DW154" s="3">
        <f t="shared" si="328"/>
        <v>0</v>
      </c>
      <c r="DX154" s="3">
        <f t="shared" si="329"/>
        <v>0</v>
      </c>
      <c r="DY154" s="3">
        <f t="shared" si="330"/>
        <v>0</v>
      </c>
      <c r="DZ154" s="3">
        <f t="shared" si="331"/>
        <v>0</v>
      </c>
      <c r="EA154" s="3">
        <f t="shared" si="332"/>
        <v>0</v>
      </c>
      <c r="EB154" s="3" t="s">
        <v>70</v>
      </c>
      <c r="EC154" s="3">
        <f t="shared" si="333"/>
        <v>0</v>
      </c>
      <c r="ED154" s="3" t="s">
        <v>70</v>
      </c>
      <c r="EE154" s="3">
        <f t="shared" si="334"/>
        <v>0</v>
      </c>
      <c r="EF154" s="3">
        <f t="shared" si="335"/>
        <v>0</v>
      </c>
      <c r="EG154" s="3">
        <f t="shared" si="336"/>
        <v>0</v>
      </c>
      <c r="EH154" s="3">
        <f t="shared" si="337"/>
        <v>0</v>
      </c>
      <c r="EI154" s="3">
        <f t="shared" si="338"/>
        <v>0</v>
      </c>
      <c r="EJ154" s="3">
        <f t="shared" si="339"/>
        <v>0</v>
      </c>
      <c r="EK154" s="3">
        <f t="shared" si="340"/>
        <v>0</v>
      </c>
      <c r="EL154" s="24">
        <f t="shared" si="341"/>
        <v>0</v>
      </c>
      <c r="EM154" s="24"/>
      <c r="EN154" s="46">
        <f t="shared" si="342"/>
        <v>0</v>
      </c>
      <c r="EO154" s="46">
        <f t="shared" si="343"/>
        <v>0</v>
      </c>
      <c r="EP154" s="47">
        <f t="shared" si="344"/>
        <v>0</v>
      </c>
      <c r="EQ154" s="3" t="s">
        <v>69</v>
      </c>
      <c r="ER154" s="3">
        <f t="shared" si="345"/>
        <v>0</v>
      </c>
      <c r="ES154" s="3">
        <f t="shared" si="346"/>
        <v>0</v>
      </c>
      <c r="ET154" s="46">
        <f t="shared" si="347"/>
        <v>0</v>
      </c>
      <c r="EU154" s="46">
        <f t="shared" si="348"/>
        <v>0</v>
      </c>
      <c r="EV154" s="46">
        <f t="shared" si="349"/>
        <v>0</v>
      </c>
      <c r="EW154" s="46">
        <f t="shared" si="350"/>
        <v>0</v>
      </c>
      <c r="EX154" s="46">
        <f t="shared" si="351"/>
        <v>0</v>
      </c>
      <c r="EY154" s="46">
        <f t="shared" si="352"/>
        <v>0</v>
      </c>
      <c r="EZ154" s="3">
        <f t="shared" si="353"/>
        <v>0</v>
      </c>
      <c r="FA154" s="3" t="s">
        <v>70</v>
      </c>
      <c r="FB154" s="3">
        <f t="shared" si="354"/>
        <v>0</v>
      </c>
      <c r="FC154" s="3" t="s">
        <v>70</v>
      </c>
      <c r="FD154" s="46">
        <f t="shared" si="355"/>
        <v>0</v>
      </c>
      <c r="FE154" s="46">
        <f t="shared" si="356"/>
        <v>0</v>
      </c>
      <c r="FF154" s="46">
        <f t="shared" si="357"/>
        <v>0</v>
      </c>
      <c r="FG154" s="46">
        <f t="shared" si="358"/>
        <v>0</v>
      </c>
      <c r="FH154" s="46">
        <f t="shared" si="359"/>
        <v>0</v>
      </c>
      <c r="FI154" s="46">
        <f t="shared" si="360"/>
        <v>0</v>
      </c>
      <c r="FJ154" s="3">
        <f t="shared" si="361"/>
        <v>0</v>
      </c>
      <c r="FK154" s="46">
        <f t="shared" si="362"/>
        <v>0</v>
      </c>
      <c r="FM154" s="74">
        <f>EL154+'EXTRALABORAL B '!BH337</f>
        <v>0</v>
      </c>
      <c r="FN154" s="74">
        <f t="shared" si="363"/>
        <v>0</v>
      </c>
    </row>
    <row r="155" spans="1:170">
      <c r="A155" s="3">
        <v>152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3">
        <f t="shared" si="321"/>
        <v>0</v>
      </c>
      <c r="DP155" s="3">
        <f t="shared" si="322"/>
        <v>0</v>
      </c>
      <c r="DQ155" s="3">
        <f t="shared" si="323"/>
        <v>0</v>
      </c>
      <c r="DR155" s="3" t="s">
        <v>69</v>
      </c>
      <c r="DS155" s="3">
        <f t="shared" si="324"/>
        <v>0</v>
      </c>
      <c r="DT155" s="3">
        <f t="shared" si="325"/>
        <v>0</v>
      </c>
      <c r="DU155" s="3">
        <f t="shared" si="326"/>
        <v>0</v>
      </c>
      <c r="DV155" s="3">
        <f t="shared" si="327"/>
        <v>0</v>
      </c>
      <c r="DW155" s="3">
        <f t="shared" si="328"/>
        <v>0</v>
      </c>
      <c r="DX155" s="3">
        <f t="shared" si="329"/>
        <v>0</v>
      </c>
      <c r="DY155" s="3">
        <f t="shared" si="330"/>
        <v>0</v>
      </c>
      <c r="DZ155" s="3">
        <f t="shared" si="331"/>
        <v>0</v>
      </c>
      <c r="EA155" s="3">
        <f t="shared" si="332"/>
        <v>0</v>
      </c>
      <c r="EB155" s="3" t="s">
        <v>70</v>
      </c>
      <c r="EC155" s="3">
        <f t="shared" si="333"/>
        <v>0</v>
      </c>
      <c r="ED155" s="3" t="s">
        <v>70</v>
      </c>
      <c r="EE155" s="3">
        <f t="shared" si="334"/>
        <v>0</v>
      </c>
      <c r="EF155" s="3">
        <f t="shared" si="335"/>
        <v>0</v>
      </c>
      <c r="EG155" s="3">
        <f t="shared" si="336"/>
        <v>0</v>
      </c>
      <c r="EH155" s="3">
        <f t="shared" si="337"/>
        <v>0</v>
      </c>
      <c r="EI155" s="3">
        <f t="shared" si="338"/>
        <v>0</v>
      </c>
      <c r="EJ155" s="3">
        <f t="shared" si="339"/>
        <v>0</v>
      </c>
      <c r="EK155" s="3">
        <f t="shared" si="340"/>
        <v>0</v>
      </c>
      <c r="EL155" s="24">
        <f t="shared" si="341"/>
        <v>0</v>
      </c>
      <c r="EM155" s="24"/>
      <c r="EN155" s="46">
        <f t="shared" si="342"/>
        <v>0</v>
      </c>
      <c r="EO155" s="46">
        <f t="shared" si="343"/>
        <v>0</v>
      </c>
      <c r="EP155" s="47">
        <f t="shared" si="344"/>
        <v>0</v>
      </c>
      <c r="EQ155" s="3" t="s">
        <v>69</v>
      </c>
      <c r="ER155" s="3">
        <f t="shared" si="345"/>
        <v>0</v>
      </c>
      <c r="ES155" s="3">
        <f t="shared" si="346"/>
        <v>0</v>
      </c>
      <c r="ET155" s="46">
        <f t="shared" si="347"/>
        <v>0</v>
      </c>
      <c r="EU155" s="46">
        <f t="shared" si="348"/>
        <v>0</v>
      </c>
      <c r="EV155" s="46">
        <f t="shared" si="349"/>
        <v>0</v>
      </c>
      <c r="EW155" s="46">
        <f t="shared" si="350"/>
        <v>0</v>
      </c>
      <c r="EX155" s="46">
        <f t="shared" si="351"/>
        <v>0</v>
      </c>
      <c r="EY155" s="46">
        <f t="shared" si="352"/>
        <v>0</v>
      </c>
      <c r="EZ155" s="3">
        <f t="shared" si="353"/>
        <v>0</v>
      </c>
      <c r="FA155" s="3" t="s">
        <v>70</v>
      </c>
      <c r="FB155" s="3">
        <f t="shared" si="354"/>
        <v>0</v>
      </c>
      <c r="FC155" s="3" t="s">
        <v>70</v>
      </c>
      <c r="FD155" s="46">
        <f t="shared" si="355"/>
        <v>0</v>
      </c>
      <c r="FE155" s="46">
        <f t="shared" si="356"/>
        <v>0</v>
      </c>
      <c r="FF155" s="46">
        <f t="shared" si="357"/>
        <v>0</v>
      </c>
      <c r="FG155" s="46">
        <f t="shared" si="358"/>
        <v>0</v>
      </c>
      <c r="FH155" s="46">
        <f t="shared" si="359"/>
        <v>0</v>
      </c>
      <c r="FI155" s="46">
        <f t="shared" si="360"/>
        <v>0</v>
      </c>
      <c r="FJ155" s="3">
        <f t="shared" si="361"/>
        <v>0</v>
      </c>
      <c r="FK155" s="46">
        <f t="shared" si="362"/>
        <v>0</v>
      </c>
      <c r="FM155" s="74">
        <f>EL155+'EXTRALABORAL B '!BH338</f>
        <v>0</v>
      </c>
      <c r="FN155" s="74">
        <f t="shared" si="363"/>
        <v>0</v>
      </c>
    </row>
    <row r="156" spans="1:170">
      <c r="A156" s="3">
        <v>153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3">
        <f t="shared" si="321"/>
        <v>0</v>
      </c>
      <c r="DP156" s="3">
        <f t="shared" si="322"/>
        <v>0</v>
      </c>
      <c r="DQ156" s="3">
        <f t="shared" si="323"/>
        <v>0</v>
      </c>
      <c r="DR156" s="3" t="s">
        <v>69</v>
      </c>
      <c r="DS156" s="3">
        <f t="shared" si="324"/>
        <v>0</v>
      </c>
      <c r="DT156" s="3">
        <f t="shared" si="325"/>
        <v>0</v>
      </c>
      <c r="DU156" s="3">
        <f t="shared" si="326"/>
        <v>0</v>
      </c>
      <c r="DV156" s="3">
        <f t="shared" si="327"/>
        <v>0</v>
      </c>
      <c r="DW156" s="3">
        <f t="shared" si="328"/>
        <v>0</v>
      </c>
      <c r="DX156" s="3">
        <f t="shared" si="329"/>
        <v>0</v>
      </c>
      <c r="DY156" s="3">
        <f t="shared" si="330"/>
        <v>0</v>
      </c>
      <c r="DZ156" s="3">
        <f t="shared" si="331"/>
        <v>0</v>
      </c>
      <c r="EA156" s="3">
        <f t="shared" si="332"/>
        <v>0</v>
      </c>
      <c r="EB156" s="3" t="s">
        <v>70</v>
      </c>
      <c r="EC156" s="3">
        <f t="shared" si="333"/>
        <v>0</v>
      </c>
      <c r="ED156" s="3" t="s">
        <v>70</v>
      </c>
      <c r="EE156" s="3">
        <f t="shared" si="334"/>
        <v>0</v>
      </c>
      <c r="EF156" s="3">
        <f t="shared" si="335"/>
        <v>0</v>
      </c>
      <c r="EG156" s="3">
        <f t="shared" si="336"/>
        <v>0</v>
      </c>
      <c r="EH156" s="3">
        <f t="shared" si="337"/>
        <v>0</v>
      </c>
      <c r="EI156" s="3">
        <f t="shared" si="338"/>
        <v>0</v>
      </c>
      <c r="EJ156" s="3">
        <f t="shared" si="339"/>
        <v>0</v>
      </c>
      <c r="EK156" s="3">
        <f t="shared" si="340"/>
        <v>0</v>
      </c>
      <c r="EL156" s="24">
        <f t="shared" si="341"/>
        <v>0</v>
      </c>
      <c r="EM156" s="24"/>
      <c r="EN156" s="46">
        <f t="shared" si="342"/>
        <v>0</v>
      </c>
      <c r="EO156" s="46">
        <f t="shared" si="343"/>
        <v>0</v>
      </c>
      <c r="EP156" s="47">
        <f t="shared" si="344"/>
        <v>0</v>
      </c>
      <c r="EQ156" s="3" t="s">
        <v>69</v>
      </c>
      <c r="ER156" s="3">
        <f t="shared" si="345"/>
        <v>0</v>
      </c>
      <c r="ES156" s="3">
        <f t="shared" si="346"/>
        <v>0</v>
      </c>
      <c r="ET156" s="46">
        <f t="shared" si="347"/>
        <v>0</v>
      </c>
      <c r="EU156" s="46">
        <f t="shared" si="348"/>
        <v>0</v>
      </c>
      <c r="EV156" s="46">
        <f t="shared" si="349"/>
        <v>0</v>
      </c>
      <c r="EW156" s="46">
        <f t="shared" si="350"/>
        <v>0</v>
      </c>
      <c r="EX156" s="46">
        <f t="shared" si="351"/>
        <v>0</v>
      </c>
      <c r="EY156" s="46">
        <f t="shared" si="352"/>
        <v>0</v>
      </c>
      <c r="EZ156" s="3">
        <f t="shared" si="353"/>
        <v>0</v>
      </c>
      <c r="FA156" s="3" t="s">
        <v>70</v>
      </c>
      <c r="FB156" s="3">
        <f t="shared" si="354"/>
        <v>0</v>
      </c>
      <c r="FC156" s="3" t="s">
        <v>70</v>
      </c>
      <c r="FD156" s="46">
        <f t="shared" si="355"/>
        <v>0</v>
      </c>
      <c r="FE156" s="46">
        <f t="shared" si="356"/>
        <v>0</v>
      </c>
      <c r="FF156" s="46">
        <f t="shared" si="357"/>
        <v>0</v>
      </c>
      <c r="FG156" s="46">
        <f t="shared" si="358"/>
        <v>0</v>
      </c>
      <c r="FH156" s="46">
        <f t="shared" si="359"/>
        <v>0</v>
      </c>
      <c r="FI156" s="46">
        <f t="shared" si="360"/>
        <v>0</v>
      </c>
      <c r="FJ156" s="3">
        <f t="shared" si="361"/>
        <v>0</v>
      </c>
      <c r="FK156" s="46">
        <f t="shared" si="362"/>
        <v>0</v>
      </c>
      <c r="FM156" s="74">
        <f>EL156+'EXTRALABORAL B '!BH339</f>
        <v>0</v>
      </c>
      <c r="FN156" s="74">
        <f t="shared" si="363"/>
        <v>0</v>
      </c>
    </row>
    <row r="157" spans="1:170">
      <c r="A157" s="3">
        <v>154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3">
        <f t="shared" si="321"/>
        <v>0</v>
      </c>
      <c r="DP157" s="3">
        <f t="shared" si="322"/>
        <v>0</v>
      </c>
      <c r="DQ157" s="3">
        <f t="shared" si="323"/>
        <v>0</v>
      </c>
      <c r="DR157" s="3" t="s">
        <v>69</v>
      </c>
      <c r="DS157" s="3">
        <f t="shared" si="324"/>
        <v>0</v>
      </c>
      <c r="DT157" s="3">
        <f t="shared" si="325"/>
        <v>0</v>
      </c>
      <c r="DU157" s="3">
        <f t="shared" si="326"/>
        <v>0</v>
      </c>
      <c r="DV157" s="3">
        <f t="shared" si="327"/>
        <v>0</v>
      </c>
      <c r="DW157" s="3">
        <f t="shared" si="328"/>
        <v>0</v>
      </c>
      <c r="DX157" s="3">
        <f t="shared" si="329"/>
        <v>0</v>
      </c>
      <c r="DY157" s="3">
        <f t="shared" si="330"/>
        <v>0</v>
      </c>
      <c r="DZ157" s="3">
        <f t="shared" si="331"/>
        <v>0</v>
      </c>
      <c r="EA157" s="3">
        <f t="shared" si="332"/>
        <v>0</v>
      </c>
      <c r="EB157" s="3" t="s">
        <v>70</v>
      </c>
      <c r="EC157" s="3">
        <f t="shared" si="333"/>
        <v>0</v>
      </c>
      <c r="ED157" s="3" t="s">
        <v>70</v>
      </c>
      <c r="EE157" s="3">
        <f t="shared" si="334"/>
        <v>0</v>
      </c>
      <c r="EF157" s="3">
        <f t="shared" si="335"/>
        <v>0</v>
      </c>
      <c r="EG157" s="3">
        <f t="shared" si="336"/>
        <v>0</v>
      </c>
      <c r="EH157" s="3">
        <f t="shared" si="337"/>
        <v>0</v>
      </c>
      <c r="EI157" s="3">
        <f t="shared" si="338"/>
        <v>0</v>
      </c>
      <c r="EJ157" s="3">
        <f t="shared" si="339"/>
        <v>0</v>
      </c>
      <c r="EK157" s="3">
        <f t="shared" si="340"/>
        <v>0</v>
      </c>
      <c r="EL157" s="24">
        <f t="shared" si="341"/>
        <v>0</v>
      </c>
      <c r="EM157" s="24"/>
      <c r="EN157" s="46">
        <f t="shared" si="342"/>
        <v>0</v>
      </c>
      <c r="EO157" s="46">
        <f t="shared" si="343"/>
        <v>0</v>
      </c>
      <c r="EP157" s="47">
        <f t="shared" si="344"/>
        <v>0</v>
      </c>
      <c r="EQ157" s="3" t="s">
        <v>69</v>
      </c>
      <c r="ER157" s="3">
        <f t="shared" si="345"/>
        <v>0</v>
      </c>
      <c r="ES157" s="3">
        <f t="shared" si="346"/>
        <v>0</v>
      </c>
      <c r="ET157" s="46">
        <f t="shared" si="347"/>
        <v>0</v>
      </c>
      <c r="EU157" s="46">
        <f t="shared" si="348"/>
        <v>0</v>
      </c>
      <c r="EV157" s="46">
        <f t="shared" si="349"/>
        <v>0</v>
      </c>
      <c r="EW157" s="46">
        <f t="shared" si="350"/>
        <v>0</v>
      </c>
      <c r="EX157" s="46">
        <f t="shared" si="351"/>
        <v>0</v>
      </c>
      <c r="EY157" s="46">
        <f t="shared" si="352"/>
        <v>0</v>
      </c>
      <c r="EZ157" s="3">
        <f t="shared" si="353"/>
        <v>0</v>
      </c>
      <c r="FA157" s="3" t="s">
        <v>70</v>
      </c>
      <c r="FB157" s="3">
        <f t="shared" si="354"/>
        <v>0</v>
      </c>
      <c r="FC157" s="3" t="s">
        <v>70</v>
      </c>
      <c r="FD157" s="46">
        <f t="shared" si="355"/>
        <v>0</v>
      </c>
      <c r="FE157" s="46">
        <f t="shared" si="356"/>
        <v>0</v>
      </c>
      <c r="FF157" s="46">
        <f t="shared" si="357"/>
        <v>0</v>
      </c>
      <c r="FG157" s="46">
        <f t="shared" si="358"/>
        <v>0</v>
      </c>
      <c r="FH157" s="46">
        <f t="shared" si="359"/>
        <v>0</v>
      </c>
      <c r="FI157" s="46">
        <f t="shared" si="360"/>
        <v>0</v>
      </c>
      <c r="FJ157" s="3">
        <f t="shared" si="361"/>
        <v>0</v>
      </c>
      <c r="FK157" s="46">
        <f t="shared" si="362"/>
        <v>0</v>
      </c>
      <c r="FM157" s="74">
        <f>EL157+'EXTRALABORAL B '!BH340</f>
        <v>0</v>
      </c>
      <c r="FN157" s="74">
        <f t="shared" si="363"/>
        <v>0</v>
      </c>
    </row>
    <row r="158" spans="1:170">
      <c r="A158" s="3">
        <v>155</v>
      </c>
      <c r="B158" s="90"/>
      <c r="C158" s="3"/>
      <c r="D158" s="3"/>
      <c r="E158" s="90"/>
      <c r="F158" s="3"/>
      <c r="G158" s="3"/>
      <c r="H158" s="9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3">
        <f t="shared" si="321"/>
        <v>0</v>
      </c>
      <c r="DP158" s="3">
        <f t="shared" si="322"/>
        <v>0</v>
      </c>
      <c r="DQ158" s="3">
        <f t="shared" si="323"/>
        <v>0</v>
      </c>
      <c r="DR158" s="3" t="s">
        <v>69</v>
      </c>
      <c r="DS158" s="3">
        <f t="shared" si="324"/>
        <v>0</v>
      </c>
      <c r="DT158" s="3">
        <f t="shared" si="325"/>
        <v>0</v>
      </c>
      <c r="DU158" s="3">
        <f t="shared" si="326"/>
        <v>0</v>
      </c>
      <c r="DV158" s="3">
        <f t="shared" si="327"/>
        <v>0</v>
      </c>
      <c r="DW158" s="3">
        <f t="shared" si="328"/>
        <v>0</v>
      </c>
      <c r="DX158" s="3">
        <f t="shared" si="329"/>
        <v>0</v>
      </c>
      <c r="DY158" s="3">
        <f t="shared" si="330"/>
        <v>0</v>
      </c>
      <c r="DZ158" s="3">
        <f t="shared" si="331"/>
        <v>0</v>
      </c>
      <c r="EA158" s="3">
        <f t="shared" si="332"/>
        <v>0</v>
      </c>
      <c r="EB158" s="3" t="s">
        <v>70</v>
      </c>
      <c r="EC158" s="3">
        <f t="shared" si="333"/>
        <v>0</v>
      </c>
      <c r="ED158" s="3" t="s">
        <v>70</v>
      </c>
      <c r="EE158" s="3">
        <f t="shared" si="334"/>
        <v>0</v>
      </c>
      <c r="EF158" s="3">
        <f t="shared" si="335"/>
        <v>0</v>
      </c>
      <c r="EG158" s="3">
        <f t="shared" si="336"/>
        <v>0</v>
      </c>
      <c r="EH158" s="3">
        <f t="shared" si="337"/>
        <v>0</v>
      </c>
      <c r="EI158" s="3">
        <f t="shared" si="338"/>
        <v>0</v>
      </c>
      <c r="EJ158" s="3">
        <f t="shared" si="339"/>
        <v>0</v>
      </c>
      <c r="EK158" s="3">
        <f t="shared" si="340"/>
        <v>0</v>
      </c>
      <c r="EL158" s="24">
        <f t="shared" si="341"/>
        <v>0</v>
      </c>
      <c r="EM158" s="24"/>
      <c r="EN158" s="46">
        <f t="shared" si="342"/>
        <v>0</v>
      </c>
      <c r="EO158" s="46">
        <f t="shared" si="343"/>
        <v>0</v>
      </c>
      <c r="EP158" s="47">
        <f t="shared" si="344"/>
        <v>0</v>
      </c>
      <c r="EQ158" s="3" t="s">
        <v>69</v>
      </c>
      <c r="ER158" s="3">
        <f t="shared" si="345"/>
        <v>0</v>
      </c>
      <c r="ES158" s="3">
        <f t="shared" si="346"/>
        <v>0</v>
      </c>
      <c r="ET158" s="46">
        <f t="shared" si="347"/>
        <v>0</v>
      </c>
      <c r="EU158" s="46">
        <f t="shared" si="348"/>
        <v>0</v>
      </c>
      <c r="EV158" s="46">
        <f t="shared" si="349"/>
        <v>0</v>
      </c>
      <c r="EW158" s="46">
        <f t="shared" si="350"/>
        <v>0</v>
      </c>
      <c r="EX158" s="46">
        <f t="shared" si="351"/>
        <v>0</v>
      </c>
      <c r="EY158" s="46">
        <f t="shared" si="352"/>
        <v>0</v>
      </c>
      <c r="EZ158" s="3">
        <f t="shared" si="353"/>
        <v>0</v>
      </c>
      <c r="FA158" s="3" t="s">
        <v>70</v>
      </c>
      <c r="FB158" s="3">
        <f t="shared" si="354"/>
        <v>0</v>
      </c>
      <c r="FC158" s="3" t="s">
        <v>70</v>
      </c>
      <c r="FD158" s="46">
        <f t="shared" si="355"/>
        <v>0</v>
      </c>
      <c r="FE158" s="46">
        <f t="shared" si="356"/>
        <v>0</v>
      </c>
      <c r="FF158" s="46">
        <f t="shared" si="357"/>
        <v>0</v>
      </c>
      <c r="FG158" s="46">
        <f t="shared" si="358"/>
        <v>0</v>
      </c>
      <c r="FH158" s="46">
        <f t="shared" si="359"/>
        <v>0</v>
      </c>
      <c r="FI158" s="46">
        <f t="shared" si="360"/>
        <v>0</v>
      </c>
      <c r="FJ158" s="3">
        <f t="shared" si="361"/>
        <v>0</v>
      </c>
      <c r="FK158" s="46">
        <f t="shared" si="362"/>
        <v>0</v>
      </c>
      <c r="FM158" s="74">
        <f>EL158+'EXTRALABORAL B '!BH341</f>
        <v>0</v>
      </c>
      <c r="FN158" s="74">
        <f t="shared" si="363"/>
        <v>0</v>
      </c>
    </row>
    <row r="159" spans="1:170">
      <c r="A159" s="3">
        <v>156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3">
        <f t="shared" si="321"/>
        <v>0</v>
      </c>
      <c r="DP159" s="3">
        <f t="shared" si="322"/>
        <v>0</v>
      </c>
      <c r="DQ159" s="3">
        <f t="shared" si="323"/>
        <v>0</v>
      </c>
      <c r="DR159" s="3" t="s">
        <v>69</v>
      </c>
      <c r="DS159" s="3">
        <f t="shared" si="324"/>
        <v>0</v>
      </c>
      <c r="DT159" s="3">
        <f t="shared" si="325"/>
        <v>0</v>
      </c>
      <c r="DU159" s="3">
        <f t="shared" si="326"/>
        <v>0</v>
      </c>
      <c r="DV159" s="3">
        <f t="shared" si="327"/>
        <v>0</v>
      </c>
      <c r="DW159" s="3">
        <f t="shared" si="328"/>
        <v>0</v>
      </c>
      <c r="DX159" s="3">
        <f t="shared" si="329"/>
        <v>0</v>
      </c>
      <c r="DY159" s="3">
        <f t="shared" si="330"/>
        <v>0</v>
      </c>
      <c r="DZ159" s="3">
        <f t="shared" si="331"/>
        <v>0</v>
      </c>
      <c r="EA159" s="3">
        <f t="shared" si="332"/>
        <v>0</v>
      </c>
      <c r="EB159" s="3" t="s">
        <v>70</v>
      </c>
      <c r="EC159" s="3">
        <f t="shared" si="333"/>
        <v>0</v>
      </c>
      <c r="ED159" s="3" t="s">
        <v>70</v>
      </c>
      <c r="EE159" s="3">
        <f t="shared" si="334"/>
        <v>0</v>
      </c>
      <c r="EF159" s="3">
        <f t="shared" si="335"/>
        <v>0</v>
      </c>
      <c r="EG159" s="3">
        <f t="shared" si="336"/>
        <v>0</v>
      </c>
      <c r="EH159" s="3">
        <f t="shared" si="337"/>
        <v>0</v>
      </c>
      <c r="EI159" s="3">
        <f t="shared" si="338"/>
        <v>0</v>
      </c>
      <c r="EJ159" s="3">
        <f t="shared" si="339"/>
        <v>0</v>
      </c>
      <c r="EK159" s="3">
        <f t="shared" si="340"/>
        <v>0</v>
      </c>
      <c r="EL159" s="24">
        <f t="shared" si="341"/>
        <v>0</v>
      </c>
      <c r="EM159" s="24"/>
      <c r="EN159" s="46">
        <f t="shared" si="342"/>
        <v>0</v>
      </c>
      <c r="EO159" s="46">
        <f t="shared" si="343"/>
        <v>0</v>
      </c>
      <c r="EP159" s="47">
        <f t="shared" si="344"/>
        <v>0</v>
      </c>
      <c r="EQ159" s="3" t="s">
        <v>69</v>
      </c>
      <c r="ER159" s="3">
        <f t="shared" si="345"/>
        <v>0</v>
      </c>
      <c r="ES159" s="3">
        <f t="shared" si="346"/>
        <v>0</v>
      </c>
      <c r="ET159" s="46">
        <f t="shared" si="347"/>
        <v>0</v>
      </c>
      <c r="EU159" s="46">
        <f t="shared" si="348"/>
        <v>0</v>
      </c>
      <c r="EV159" s="46">
        <f t="shared" si="349"/>
        <v>0</v>
      </c>
      <c r="EW159" s="46">
        <f t="shared" si="350"/>
        <v>0</v>
      </c>
      <c r="EX159" s="46">
        <f t="shared" si="351"/>
        <v>0</v>
      </c>
      <c r="EY159" s="46">
        <f t="shared" si="352"/>
        <v>0</v>
      </c>
      <c r="EZ159" s="3">
        <f t="shared" si="353"/>
        <v>0</v>
      </c>
      <c r="FA159" s="3" t="s">
        <v>70</v>
      </c>
      <c r="FB159" s="3">
        <f t="shared" si="354"/>
        <v>0</v>
      </c>
      <c r="FC159" s="3" t="s">
        <v>70</v>
      </c>
      <c r="FD159" s="46">
        <f t="shared" si="355"/>
        <v>0</v>
      </c>
      <c r="FE159" s="46">
        <f t="shared" si="356"/>
        <v>0</v>
      </c>
      <c r="FF159" s="46">
        <f t="shared" si="357"/>
        <v>0</v>
      </c>
      <c r="FG159" s="46">
        <f t="shared" si="358"/>
        <v>0</v>
      </c>
      <c r="FH159" s="46">
        <f t="shared" si="359"/>
        <v>0</v>
      </c>
      <c r="FI159" s="46">
        <f t="shared" si="360"/>
        <v>0</v>
      </c>
      <c r="FJ159" s="3">
        <f t="shared" si="361"/>
        <v>0</v>
      </c>
      <c r="FK159" s="46">
        <f t="shared" si="362"/>
        <v>0</v>
      </c>
      <c r="FM159" s="74">
        <f>EL159+'EXTRALABORAL B '!BH342</f>
        <v>0</v>
      </c>
      <c r="FN159" s="74">
        <f t="shared" si="363"/>
        <v>0</v>
      </c>
    </row>
    <row r="160" spans="1:170">
      <c r="A160" s="3">
        <v>157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3">
        <f t="shared" si="321"/>
        <v>0</v>
      </c>
      <c r="DP160" s="3">
        <f t="shared" si="322"/>
        <v>0</v>
      </c>
      <c r="DQ160" s="3">
        <f t="shared" si="323"/>
        <v>0</v>
      </c>
      <c r="DR160" s="3" t="s">
        <v>69</v>
      </c>
      <c r="DS160" s="3">
        <f t="shared" si="324"/>
        <v>0</v>
      </c>
      <c r="DT160" s="3">
        <f t="shared" si="325"/>
        <v>0</v>
      </c>
      <c r="DU160" s="3">
        <f t="shared" si="326"/>
        <v>0</v>
      </c>
      <c r="DV160" s="3">
        <f t="shared" si="327"/>
        <v>0</v>
      </c>
      <c r="DW160" s="3">
        <f t="shared" si="328"/>
        <v>0</v>
      </c>
      <c r="DX160" s="3">
        <f t="shared" si="329"/>
        <v>0</v>
      </c>
      <c r="DY160" s="3">
        <f t="shared" si="330"/>
        <v>0</v>
      </c>
      <c r="DZ160" s="3">
        <f t="shared" si="331"/>
        <v>0</v>
      </c>
      <c r="EA160" s="3">
        <f t="shared" si="332"/>
        <v>0</v>
      </c>
      <c r="EB160" s="3" t="s">
        <v>70</v>
      </c>
      <c r="EC160" s="3">
        <f t="shared" si="333"/>
        <v>0</v>
      </c>
      <c r="ED160" s="3" t="s">
        <v>70</v>
      </c>
      <c r="EE160" s="3">
        <f t="shared" si="334"/>
        <v>0</v>
      </c>
      <c r="EF160" s="3">
        <f t="shared" si="335"/>
        <v>0</v>
      </c>
      <c r="EG160" s="3">
        <f t="shared" si="336"/>
        <v>0</v>
      </c>
      <c r="EH160" s="3">
        <f t="shared" si="337"/>
        <v>0</v>
      </c>
      <c r="EI160" s="3">
        <f t="shared" si="338"/>
        <v>0</v>
      </c>
      <c r="EJ160" s="3">
        <f t="shared" si="339"/>
        <v>0</v>
      </c>
      <c r="EK160" s="3">
        <f t="shared" si="340"/>
        <v>0</v>
      </c>
      <c r="EL160" s="24">
        <f t="shared" si="341"/>
        <v>0</v>
      </c>
      <c r="EM160" s="24"/>
      <c r="EN160" s="46">
        <f t="shared" si="342"/>
        <v>0</v>
      </c>
      <c r="EO160" s="46">
        <f t="shared" si="343"/>
        <v>0</v>
      </c>
      <c r="EP160" s="47">
        <f t="shared" si="344"/>
        <v>0</v>
      </c>
      <c r="EQ160" s="3" t="s">
        <v>69</v>
      </c>
      <c r="ER160" s="3">
        <f t="shared" si="345"/>
        <v>0</v>
      </c>
      <c r="ES160" s="3">
        <f t="shared" si="346"/>
        <v>0</v>
      </c>
      <c r="ET160" s="46">
        <f t="shared" si="347"/>
        <v>0</v>
      </c>
      <c r="EU160" s="46">
        <f t="shared" si="348"/>
        <v>0</v>
      </c>
      <c r="EV160" s="46">
        <f t="shared" si="349"/>
        <v>0</v>
      </c>
      <c r="EW160" s="46">
        <f t="shared" si="350"/>
        <v>0</v>
      </c>
      <c r="EX160" s="46">
        <f t="shared" si="351"/>
        <v>0</v>
      </c>
      <c r="EY160" s="46">
        <f t="shared" si="352"/>
        <v>0</v>
      </c>
      <c r="EZ160" s="3">
        <f t="shared" si="353"/>
        <v>0</v>
      </c>
      <c r="FA160" s="3" t="s">
        <v>70</v>
      </c>
      <c r="FB160" s="3">
        <f t="shared" si="354"/>
        <v>0</v>
      </c>
      <c r="FC160" s="3" t="s">
        <v>70</v>
      </c>
      <c r="FD160" s="46">
        <f t="shared" si="355"/>
        <v>0</v>
      </c>
      <c r="FE160" s="46">
        <f t="shared" si="356"/>
        <v>0</v>
      </c>
      <c r="FF160" s="46">
        <f t="shared" si="357"/>
        <v>0</v>
      </c>
      <c r="FG160" s="46">
        <f t="shared" si="358"/>
        <v>0</v>
      </c>
      <c r="FH160" s="46">
        <f t="shared" si="359"/>
        <v>0</v>
      </c>
      <c r="FI160" s="46">
        <f t="shared" si="360"/>
        <v>0</v>
      </c>
      <c r="FJ160" s="3">
        <f t="shared" si="361"/>
        <v>0</v>
      </c>
      <c r="FK160" s="46">
        <f t="shared" si="362"/>
        <v>0</v>
      </c>
      <c r="FM160" s="74">
        <f>EL160+'EXTRALABORAL B '!BH343</f>
        <v>0</v>
      </c>
      <c r="FN160" s="74">
        <f t="shared" si="363"/>
        <v>0</v>
      </c>
    </row>
    <row r="161" spans="1:170">
      <c r="A161" s="3">
        <v>158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3">
        <f t="shared" si="321"/>
        <v>0</v>
      </c>
      <c r="DP161" s="3">
        <f t="shared" si="322"/>
        <v>0</v>
      </c>
      <c r="DQ161" s="3">
        <f t="shared" si="323"/>
        <v>0</v>
      </c>
      <c r="DR161" s="3" t="s">
        <v>69</v>
      </c>
      <c r="DS161" s="3">
        <f t="shared" si="324"/>
        <v>0</v>
      </c>
      <c r="DT161" s="3">
        <f t="shared" si="325"/>
        <v>0</v>
      </c>
      <c r="DU161" s="3">
        <f t="shared" si="326"/>
        <v>0</v>
      </c>
      <c r="DV161" s="3">
        <f t="shared" si="327"/>
        <v>0</v>
      </c>
      <c r="DW161" s="3">
        <f t="shared" si="328"/>
        <v>0</v>
      </c>
      <c r="DX161" s="3">
        <f t="shared" si="329"/>
        <v>0</v>
      </c>
      <c r="DY161" s="3">
        <f t="shared" si="330"/>
        <v>0</v>
      </c>
      <c r="DZ161" s="3">
        <f t="shared" si="331"/>
        <v>0</v>
      </c>
      <c r="EA161" s="3">
        <f t="shared" si="332"/>
        <v>0</v>
      </c>
      <c r="EB161" s="3" t="s">
        <v>70</v>
      </c>
      <c r="EC161" s="3">
        <f t="shared" si="333"/>
        <v>0</v>
      </c>
      <c r="ED161" s="3" t="s">
        <v>70</v>
      </c>
      <c r="EE161" s="3">
        <f t="shared" si="334"/>
        <v>0</v>
      </c>
      <c r="EF161" s="3">
        <f t="shared" si="335"/>
        <v>0</v>
      </c>
      <c r="EG161" s="3">
        <f t="shared" si="336"/>
        <v>0</v>
      </c>
      <c r="EH161" s="3">
        <f t="shared" si="337"/>
        <v>0</v>
      </c>
      <c r="EI161" s="3">
        <f t="shared" si="338"/>
        <v>0</v>
      </c>
      <c r="EJ161" s="3">
        <f t="shared" si="339"/>
        <v>0</v>
      </c>
      <c r="EK161" s="3">
        <f t="shared" si="340"/>
        <v>0</v>
      </c>
      <c r="EL161" s="24">
        <f t="shared" si="341"/>
        <v>0</v>
      </c>
      <c r="EM161" s="24"/>
      <c r="EN161" s="46">
        <f t="shared" si="342"/>
        <v>0</v>
      </c>
      <c r="EO161" s="46">
        <f t="shared" si="343"/>
        <v>0</v>
      </c>
      <c r="EP161" s="47">
        <f t="shared" si="344"/>
        <v>0</v>
      </c>
      <c r="EQ161" s="3" t="s">
        <v>69</v>
      </c>
      <c r="ER161" s="3">
        <f t="shared" si="345"/>
        <v>0</v>
      </c>
      <c r="ES161" s="3">
        <f t="shared" si="346"/>
        <v>0</v>
      </c>
      <c r="ET161" s="46">
        <f t="shared" si="347"/>
        <v>0</v>
      </c>
      <c r="EU161" s="46">
        <f t="shared" si="348"/>
        <v>0</v>
      </c>
      <c r="EV161" s="46">
        <f t="shared" si="349"/>
        <v>0</v>
      </c>
      <c r="EW161" s="46">
        <f t="shared" si="350"/>
        <v>0</v>
      </c>
      <c r="EX161" s="46">
        <f t="shared" si="351"/>
        <v>0</v>
      </c>
      <c r="EY161" s="46">
        <f t="shared" si="352"/>
        <v>0</v>
      </c>
      <c r="EZ161" s="3">
        <f t="shared" si="353"/>
        <v>0</v>
      </c>
      <c r="FA161" s="3" t="s">
        <v>70</v>
      </c>
      <c r="FB161" s="3">
        <f t="shared" si="354"/>
        <v>0</v>
      </c>
      <c r="FC161" s="3" t="s">
        <v>70</v>
      </c>
      <c r="FD161" s="46">
        <f t="shared" si="355"/>
        <v>0</v>
      </c>
      <c r="FE161" s="46">
        <f t="shared" si="356"/>
        <v>0</v>
      </c>
      <c r="FF161" s="46">
        <f t="shared" si="357"/>
        <v>0</v>
      </c>
      <c r="FG161" s="46">
        <f t="shared" si="358"/>
        <v>0</v>
      </c>
      <c r="FH161" s="46">
        <f t="shared" si="359"/>
        <v>0</v>
      </c>
      <c r="FI161" s="46">
        <f t="shared" si="360"/>
        <v>0</v>
      </c>
      <c r="FJ161" s="3">
        <f t="shared" si="361"/>
        <v>0</v>
      </c>
      <c r="FK161" s="46">
        <f t="shared" si="362"/>
        <v>0</v>
      </c>
      <c r="FM161" s="74">
        <f>EL161+'EXTRALABORAL B '!BH344</f>
        <v>0</v>
      </c>
      <c r="FN161" s="74">
        <f t="shared" si="363"/>
        <v>0</v>
      </c>
    </row>
    <row r="162" spans="1:170">
      <c r="A162" s="3">
        <v>159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3">
        <f t="shared" si="321"/>
        <v>0</v>
      </c>
      <c r="DP162" s="3">
        <f t="shared" si="322"/>
        <v>0</v>
      </c>
      <c r="DQ162" s="3">
        <f t="shared" si="323"/>
        <v>0</v>
      </c>
      <c r="DR162" s="3" t="s">
        <v>69</v>
      </c>
      <c r="DS162" s="3">
        <f t="shared" si="324"/>
        <v>0</v>
      </c>
      <c r="DT162" s="3">
        <f t="shared" si="325"/>
        <v>0</v>
      </c>
      <c r="DU162" s="3">
        <f t="shared" si="326"/>
        <v>0</v>
      </c>
      <c r="DV162" s="3">
        <f t="shared" si="327"/>
        <v>0</v>
      </c>
      <c r="DW162" s="3">
        <f t="shared" si="328"/>
        <v>0</v>
      </c>
      <c r="DX162" s="3">
        <f t="shared" si="329"/>
        <v>0</v>
      </c>
      <c r="DY162" s="3">
        <f t="shared" si="330"/>
        <v>0</v>
      </c>
      <c r="DZ162" s="3">
        <f t="shared" si="331"/>
        <v>0</v>
      </c>
      <c r="EA162" s="3">
        <f t="shared" si="332"/>
        <v>0</v>
      </c>
      <c r="EB162" s="3" t="s">
        <v>70</v>
      </c>
      <c r="EC162" s="3">
        <f t="shared" si="333"/>
        <v>0</v>
      </c>
      <c r="ED162" s="3" t="s">
        <v>70</v>
      </c>
      <c r="EE162" s="3">
        <f t="shared" si="334"/>
        <v>0</v>
      </c>
      <c r="EF162" s="3">
        <f t="shared" si="335"/>
        <v>0</v>
      </c>
      <c r="EG162" s="3">
        <f t="shared" si="336"/>
        <v>0</v>
      </c>
      <c r="EH162" s="3">
        <f t="shared" si="337"/>
        <v>0</v>
      </c>
      <c r="EI162" s="3">
        <f t="shared" si="338"/>
        <v>0</v>
      </c>
      <c r="EJ162" s="3">
        <f t="shared" si="339"/>
        <v>0</v>
      </c>
      <c r="EK162" s="3">
        <f t="shared" si="340"/>
        <v>0</v>
      </c>
      <c r="EL162" s="24">
        <f t="shared" si="341"/>
        <v>0</v>
      </c>
      <c r="EM162" s="24"/>
      <c r="EN162" s="46">
        <f t="shared" si="342"/>
        <v>0</v>
      </c>
      <c r="EO162" s="46">
        <f t="shared" si="343"/>
        <v>0</v>
      </c>
      <c r="EP162" s="47">
        <f t="shared" si="344"/>
        <v>0</v>
      </c>
      <c r="EQ162" s="3" t="s">
        <v>69</v>
      </c>
      <c r="ER162" s="3">
        <f t="shared" si="345"/>
        <v>0</v>
      </c>
      <c r="ES162" s="3">
        <f t="shared" si="346"/>
        <v>0</v>
      </c>
      <c r="ET162" s="46">
        <f t="shared" si="347"/>
        <v>0</v>
      </c>
      <c r="EU162" s="46">
        <f t="shared" si="348"/>
        <v>0</v>
      </c>
      <c r="EV162" s="46">
        <f t="shared" si="349"/>
        <v>0</v>
      </c>
      <c r="EW162" s="46">
        <f t="shared" si="350"/>
        <v>0</v>
      </c>
      <c r="EX162" s="46">
        <f t="shared" si="351"/>
        <v>0</v>
      </c>
      <c r="EY162" s="46">
        <f t="shared" si="352"/>
        <v>0</v>
      </c>
      <c r="EZ162" s="3">
        <f t="shared" si="353"/>
        <v>0</v>
      </c>
      <c r="FA162" s="3" t="s">
        <v>70</v>
      </c>
      <c r="FB162" s="3">
        <f t="shared" si="354"/>
        <v>0</v>
      </c>
      <c r="FC162" s="3" t="s">
        <v>70</v>
      </c>
      <c r="FD162" s="46">
        <f t="shared" si="355"/>
        <v>0</v>
      </c>
      <c r="FE162" s="46">
        <f t="shared" si="356"/>
        <v>0</v>
      </c>
      <c r="FF162" s="46">
        <f t="shared" si="357"/>
        <v>0</v>
      </c>
      <c r="FG162" s="46">
        <f t="shared" si="358"/>
        <v>0</v>
      </c>
      <c r="FH162" s="46">
        <f t="shared" si="359"/>
        <v>0</v>
      </c>
      <c r="FI162" s="46">
        <f t="shared" si="360"/>
        <v>0</v>
      </c>
      <c r="FJ162" s="3">
        <f t="shared" si="361"/>
        <v>0</v>
      </c>
      <c r="FK162" s="46">
        <f t="shared" si="362"/>
        <v>0</v>
      </c>
      <c r="FM162" s="74">
        <f>EL162+'EXTRALABORAL B '!BH345</f>
        <v>0</v>
      </c>
      <c r="FN162" s="74">
        <f t="shared" si="363"/>
        <v>0</v>
      </c>
    </row>
    <row r="163" spans="1:170">
      <c r="A163" s="3">
        <v>160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3">
        <f t="shared" si="321"/>
        <v>0</v>
      </c>
      <c r="DP163" s="3">
        <f t="shared" si="322"/>
        <v>0</v>
      </c>
      <c r="DQ163" s="3">
        <f t="shared" si="323"/>
        <v>0</v>
      </c>
      <c r="DR163" s="3" t="s">
        <v>69</v>
      </c>
      <c r="DS163" s="3">
        <f t="shared" si="324"/>
        <v>0</v>
      </c>
      <c r="DT163" s="3">
        <f t="shared" si="325"/>
        <v>0</v>
      </c>
      <c r="DU163" s="3">
        <f t="shared" si="326"/>
        <v>0</v>
      </c>
      <c r="DV163" s="3">
        <f t="shared" si="327"/>
        <v>0</v>
      </c>
      <c r="DW163" s="3">
        <f t="shared" si="328"/>
        <v>0</v>
      </c>
      <c r="DX163" s="3">
        <f t="shared" si="329"/>
        <v>0</v>
      </c>
      <c r="DY163" s="3">
        <f t="shared" si="330"/>
        <v>0</v>
      </c>
      <c r="DZ163" s="3">
        <f t="shared" si="331"/>
        <v>0</v>
      </c>
      <c r="EA163" s="3">
        <f t="shared" si="332"/>
        <v>0</v>
      </c>
      <c r="EB163" s="3" t="s">
        <v>70</v>
      </c>
      <c r="EC163" s="3">
        <f t="shared" si="333"/>
        <v>0</v>
      </c>
      <c r="ED163" s="3" t="s">
        <v>70</v>
      </c>
      <c r="EE163" s="3">
        <f t="shared" si="334"/>
        <v>0</v>
      </c>
      <c r="EF163" s="3">
        <f t="shared" si="335"/>
        <v>0</v>
      </c>
      <c r="EG163" s="3">
        <f t="shared" si="336"/>
        <v>0</v>
      </c>
      <c r="EH163" s="3">
        <f t="shared" si="337"/>
        <v>0</v>
      </c>
      <c r="EI163" s="3">
        <f t="shared" si="338"/>
        <v>0</v>
      </c>
      <c r="EJ163" s="3">
        <f t="shared" si="339"/>
        <v>0</v>
      </c>
      <c r="EK163" s="3">
        <f t="shared" si="340"/>
        <v>0</v>
      </c>
      <c r="EL163" s="24">
        <f t="shared" si="341"/>
        <v>0</v>
      </c>
      <c r="EM163" s="24"/>
      <c r="EN163" s="46">
        <f t="shared" si="342"/>
        <v>0</v>
      </c>
      <c r="EO163" s="46">
        <f t="shared" si="343"/>
        <v>0</v>
      </c>
      <c r="EP163" s="47">
        <f t="shared" si="344"/>
        <v>0</v>
      </c>
      <c r="EQ163" s="3" t="s">
        <v>69</v>
      </c>
      <c r="ER163" s="3">
        <f t="shared" si="345"/>
        <v>0</v>
      </c>
      <c r="ES163" s="3">
        <f t="shared" si="346"/>
        <v>0</v>
      </c>
      <c r="ET163" s="46">
        <f t="shared" si="347"/>
        <v>0</v>
      </c>
      <c r="EU163" s="46">
        <f t="shared" si="348"/>
        <v>0</v>
      </c>
      <c r="EV163" s="46">
        <f t="shared" si="349"/>
        <v>0</v>
      </c>
      <c r="EW163" s="46">
        <f t="shared" si="350"/>
        <v>0</v>
      </c>
      <c r="EX163" s="46">
        <f t="shared" si="351"/>
        <v>0</v>
      </c>
      <c r="EY163" s="46">
        <f t="shared" si="352"/>
        <v>0</v>
      </c>
      <c r="EZ163" s="3">
        <f t="shared" si="353"/>
        <v>0</v>
      </c>
      <c r="FA163" s="3" t="s">
        <v>70</v>
      </c>
      <c r="FB163" s="3">
        <f t="shared" si="354"/>
        <v>0</v>
      </c>
      <c r="FC163" s="3" t="s">
        <v>70</v>
      </c>
      <c r="FD163" s="46">
        <f t="shared" si="355"/>
        <v>0</v>
      </c>
      <c r="FE163" s="46">
        <f t="shared" si="356"/>
        <v>0</v>
      </c>
      <c r="FF163" s="46">
        <f t="shared" si="357"/>
        <v>0</v>
      </c>
      <c r="FG163" s="46">
        <f t="shared" si="358"/>
        <v>0</v>
      </c>
      <c r="FH163" s="46">
        <f t="shared" si="359"/>
        <v>0</v>
      </c>
      <c r="FI163" s="46">
        <f t="shared" si="360"/>
        <v>0</v>
      </c>
      <c r="FJ163" s="3">
        <f t="shared" si="361"/>
        <v>0</v>
      </c>
      <c r="FK163" s="46">
        <f t="shared" si="362"/>
        <v>0</v>
      </c>
      <c r="FM163" s="74">
        <f>EL163+'EXTRALABORAL B '!BH346</f>
        <v>0</v>
      </c>
      <c r="FN163" s="74">
        <f t="shared" si="363"/>
        <v>0</v>
      </c>
    </row>
    <row r="164" spans="1:170">
      <c r="A164" s="3">
        <v>161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3">
        <f t="shared" si="321"/>
        <v>0</v>
      </c>
      <c r="DP164" s="3">
        <f t="shared" si="322"/>
        <v>0</v>
      </c>
      <c r="DQ164" s="3">
        <f t="shared" si="323"/>
        <v>0</v>
      </c>
      <c r="DR164" s="3" t="s">
        <v>69</v>
      </c>
      <c r="DS164" s="3">
        <f t="shared" si="324"/>
        <v>0</v>
      </c>
      <c r="DT164" s="3">
        <f t="shared" si="325"/>
        <v>0</v>
      </c>
      <c r="DU164" s="3">
        <f t="shared" si="326"/>
        <v>0</v>
      </c>
      <c r="DV164" s="3">
        <f t="shared" si="327"/>
        <v>0</v>
      </c>
      <c r="DW164" s="3">
        <f t="shared" si="328"/>
        <v>0</v>
      </c>
      <c r="DX164" s="3">
        <f t="shared" si="329"/>
        <v>0</v>
      </c>
      <c r="DY164" s="3">
        <f t="shared" si="330"/>
        <v>0</v>
      </c>
      <c r="DZ164" s="3">
        <f t="shared" si="331"/>
        <v>0</v>
      </c>
      <c r="EA164" s="3">
        <f t="shared" si="332"/>
        <v>0</v>
      </c>
      <c r="EB164" s="3" t="s">
        <v>70</v>
      </c>
      <c r="EC164" s="3">
        <f t="shared" si="333"/>
        <v>0</v>
      </c>
      <c r="ED164" s="3" t="s">
        <v>70</v>
      </c>
      <c r="EE164" s="3">
        <f t="shared" si="334"/>
        <v>0</v>
      </c>
      <c r="EF164" s="3">
        <f t="shared" si="335"/>
        <v>0</v>
      </c>
      <c r="EG164" s="3">
        <f t="shared" si="336"/>
        <v>0</v>
      </c>
      <c r="EH164" s="3">
        <f t="shared" si="337"/>
        <v>0</v>
      </c>
      <c r="EI164" s="3">
        <f t="shared" si="338"/>
        <v>0</v>
      </c>
      <c r="EJ164" s="3">
        <f t="shared" si="339"/>
        <v>0</v>
      </c>
      <c r="EK164" s="3">
        <f t="shared" si="340"/>
        <v>0</v>
      </c>
      <c r="EL164" s="24">
        <f t="shared" si="341"/>
        <v>0</v>
      </c>
      <c r="EM164" s="24"/>
      <c r="EN164" s="46">
        <f t="shared" si="342"/>
        <v>0</v>
      </c>
      <c r="EO164" s="46">
        <f t="shared" si="343"/>
        <v>0</v>
      </c>
      <c r="EP164" s="47">
        <f t="shared" si="344"/>
        <v>0</v>
      </c>
      <c r="EQ164" s="3" t="s">
        <v>69</v>
      </c>
      <c r="ER164" s="3">
        <f t="shared" si="345"/>
        <v>0</v>
      </c>
      <c r="ES164" s="3">
        <f t="shared" si="346"/>
        <v>0</v>
      </c>
      <c r="ET164" s="46">
        <f t="shared" si="347"/>
        <v>0</v>
      </c>
      <c r="EU164" s="46">
        <f t="shared" si="348"/>
        <v>0</v>
      </c>
      <c r="EV164" s="46">
        <f t="shared" si="349"/>
        <v>0</v>
      </c>
      <c r="EW164" s="46">
        <f t="shared" si="350"/>
        <v>0</v>
      </c>
      <c r="EX164" s="46">
        <f t="shared" si="351"/>
        <v>0</v>
      </c>
      <c r="EY164" s="46">
        <f t="shared" si="352"/>
        <v>0</v>
      </c>
      <c r="EZ164" s="3">
        <f t="shared" si="353"/>
        <v>0</v>
      </c>
      <c r="FA164" s="3" t="s">
        <v>70</v>
      </c>
      <c r="FB164" s="3">
        <f t="shared" si="354"/>
        <v>0</v>
      </c>
      <c r="FC164" s="3" t="s">
        <v>70</v>
      </c>
      <c r="FD164" s="46">
        <f t="shared" si="355"/>
        <v>0</v>
      </c>
      <c r="FE164" s="46">
        <f t="shared" si="356"/>
        <v>0</v>
      </c>
      <c r="FF164" s="46">
        <f t="shared" si="357"/>
        <v>0</v>
      </c>
      <c r="FG164" s="46">
        <f t="shared" si="358"/>
        <v>0</v>
      </c>
      <c r="FH164" s="46">
        <f t="shared" si="359"/>
        <v>0</v>
      </c>
      <c r="FI164" s="46">
        <f t="shared" si="360"/>
        <v>0</v>
      </c>
      <c r="FJ164" s="3">
        <f t="shared" si="361"/>
        <v>0</v>
      </c>
      <c r="FK164" s="46">
        <f t="shared" si="362"/>
        <v>0</v>
      </c>
      <c r="FM164" s="74">
        <f>EL164+'EXTRALABORAL B '!BH347</f>
        <v>0</v>
      </c>
      <c r="FN164" s="74">
        <f t="shared" si="363"/>
        <v>0</v>
      </c>
    </row>
    <row r="165" spans="1:170">
      <c r="A165" s="3">
        <v>162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3">
        <f t="shared" si="321"/>
        <v>0</v>
      </c>
      <c r="DP165" s="3">
        <f t="shared" si="322"/>
        <v>0</v>
      </c>
      <c r="DQ165" s="3">
        <f t="shared" si="323"/>
        <v>0</v>
      </c>
      <c r="DR165" s="3" t="s">
        <v>69</v>
      </c>
      <c r="DS165" s="3">
        <f t="shared" si="324"/>
        <v>0</v>
      </c>
      <c r="DT165" s="3">
        <f t="shared" si="325"/>
        <v>0</v>
      </c>
      <c r="DU165" s="3">
        <f t="shared" si="326"/>
        <v>0</v>
      </c>
      <c r="DV165" s="3">
        <f t="shared" si="327"/>
        <v>0</v>
      </c>
      <c r="DW165" s="3">
        <f t="shared" si="328"/>
        <v>0</v>
      </c>
      <c r="DX165" s="3">
        <f t="shared" si="329"/>
        <v>0</v>
      </c>
      <c r="DY165" s="3">
        <f t="shared" si="330"/>
        <v>0</v>
      </c>
      <c r="DZ165" s="3">
        <f t="shared" si="331"/>
        <v>0</v>
      </c>
      <c r="EA165" s="3">
        <f t="shared" si="332"/>
        <v>0</v>
      </c>
      <c r="EB165" s="3" t="s">
        <v>70</v>
      </c>
      <c r="EC165" s="3">
        <f t="shared" si="333"/>
        <v>0</v>
      </c>
      <c r="ED165" s="3" t="s">
        <v>70</v>
      </c>
      <c r="EE165" s="3">
        <f t="shared" si="334"/>
        <v>0</v>
      </c>
      <c r="EF165" s="3">
        <f t="shared" si="335"/>
        <v>0</v>
      </c>
      <c r="EG165" s="3">
        <f t="shared" si="336"/>
        <v>0</v>
      </c>
      <c r="EH165" s="3">
        <f t="shared" si="337"/>
        <v>0</v>
      </c>
      <c r="EI165" s="3">
        <f t="shared" si="338"/>
        <v>0</v>
      </c>
      <c r="EJ165" s="3">
        <f t="shared" si="339"/>
        <v>0</v>
      </c>
      <c r="EK165" s="3">
        <f t="shared" si="340"/>
        <v>0</v>
      </c>
      <c r="EL165" s="24">
        <f t="shared" si="341"/>
        <v>0</v>
      </c>
      <c r="EM165" s="24"/>
      <c r="EN165" s="46">
        <f t="shared" si="342"/>
        <v>0</v>
      </c>
      <c r="EO165" s="46">
        <f t="shared" si="343"/>
        <v>0</v>
      </c>
      <c r="EP165" s="47">
        <f t="shared" si="344"/>
        <v>0</v>
      </c>
      <c r="EQ165" s="3" t="s">
        <v>69</v>
      </c>
      <c r="ER165" s="3">
        <f t="shared" si="345"/>
        <v>0</v>
      </c>
      <c r="ES165" s="3">
        <f t="shared" si="346"/>
        <v>0</v>
      </c>
      <c r="ET165" s="46">
        <f t="shared" si="347"/>
        <v>0</v>
      </c>
      <c r="EU165" s="46">
        <f t="shared" si="348"/>
        <v>0</v>
      </c>
      <c r="EV165" s="46">
        <f t="shared" si="349"/>
        <v>0</v>
      </c>
      <c r="EW165" s="46">
        <f t="shared" si="350"/>
        <v>0</v>
      </c>
      <c r="EX165" s="46">
        <f t="shared" si="351"/>
        <v>0</v>
      </c>
      <c r="EY165" s="46">
        <f t="shared" si="352"/>
        <v>0</v>
      </c>
      <c r="EZ165" s="3">
        <f t="shared" si="353"/>
        <v>0</v>
      </c>
      <c r="FA165" s="3" t="s">
        <v>70</v>
      </c>
      <c r="FB165" s="3">
        <f t="shared" si="354"/>
        <v>0</v>
      </c>
      <c r="FC165" s="3" t="s">
        <v>70</v>
      </c>
      <c r="FD165" s="46">
        <f t="shared" si="355"/>
        <v>0</v>
      </c>
      <c r="FE165" s="46">
        <f t="shared" si="356"/>
        <v>0</v>
      </c>
      <c r="FF165" s="46">
        <f t="shared" si="357"/>
        <v>0</v>
      </c>
      <c r="FG165" s="46">
        <f t="shared" si="358"/>
        <v>0</v>
      </c>
      <c r="FH165" s="46">
        <f t="shared" si="359"/>
        <v>0</v>
      </c>
      <c r="FI165" s="46">
        <f t="shared" si="360"/>
        <v>0</v>
      </c>
      <c r="FJ165" s="3">
        <f t="shared" si="361"/>
        <v>0</v>
      </c>
      <c r="FK165" s="46">
        <f t="shared" si="362"/>
        <v>0</v>
      </c>
      <c r="FM165" s="74">
        <f>EL165+'EXTRALABORAL B '!BH348</f>
        <v>0</v>
      </c>
      <c r="FN165" s="74">
        <f t="shared" si="363"/>
        <v>0</v>
      </c>
    </row>
    <row r="166" spans="1:170">
      <c r="A166" s="3">
        <v>163</v>
      </c>
      <c r="B166" s="3"/>
      <c r="C166" s="3"/>
      <c r="D166" s="3"/>
      <c r="E166" s="90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3">
        <f t="shared" si="321"/>
        <v>0</v>
      </c>
      <c r="DP166" s="3">
        <f t="shared" si="322"/>
        <v>0</v>
      </c>
      <c r="DQ166" s="3">
        <f t="shared" si="323"/>
        <v>0</v>
      </c>
      <c r="DR166" s="3" t="s">
        <v>69</v>
      </c>
      <c r="DS166" s="3">
        <f t="shared" si="324"/>
        <v>0</v>
      </c>
      <c r="DT166" s="3">
        <f t="shared" si="325"/>
        <v>0</v>
      </c>
      <c r="DU166" s="3">
        <f t="shared" si="326"/>
        <v>0</v>
      </c>
      <c r="DV166" s="3">
        <f t="shared" si="327"/>
        <v>0</v>
      </c>
      <c r="DW166" s="3">
        <f t="shared" si="328"/>
        <v>0</v>
      </c>
      <c r="DX166" s="3">
        <f t="shared" si="329"/>
        <v>0</v>
      </c>
      <c r="DY166" s="3">
        <f t="shared" si="330"/>
        <v>0</v>
      </c>
      <c r="DZ166" s="3">
        <f t="shared" si="331"/>
        <v>0</v>
      </c>
      <c r="EA166" s="3">
        <f t="shared" si="332"/>
        <v>0</v>
      </c>
      <c r="EB166" s="3" t="s">
        <v>70</v>
      </c>
      <c r="EC166" s="3">
        <f t="shared" si="333"/>
        <v>0</v>
      </c>
      <c r="ED166" s="3" t="s">
        <v>70</v>
      </c>
      <c r="EE166" s="3">
        <f t="shared" si="334"/>
        <v>0</v>
      </c>
      <c r="EF166" s="3">
        <f t="shared" si="335"/>
        <v>0</v>
      </c>
      <c r="EG166" s="3">
        <f t="shared" si="336"/>
        <v>0</v>
      </c>
      <c r="EH166" s="3">
        <f t="shared" si="337"/>
        <v>0</v>
      </c>
      <c r="EI166" s="3">
        <f t="shared" si="338"/>
        <v>0</v>
      </c>
      <c r="EJ166" s="3">
        <f t="shared" si="339"/>
        <v>0</v>
      </c>
      <c r="EK166" s="3">
        <f t="shared" si="340"/>
        <v>0</v>
      </c>
      <c r="EL166" s="24">
        <f t="shared" si="341"/>
        <v>0</v>
      </c>
      <c r="EM166" s="24"/>
      <c r="EN166" s="46">
        <f t="shared" si="342"/>
        <v>0</v>
      </c>
      <c r="EO166" s="46">
        <f t="shared" si="343"/>
        <v>0</v>
      </c>
      <c r="EP166" s="47">
        <f t="shared" si="344"/>
        <v>0</v>
      </c>
      <c r="EQ166" s="3" t="s">
        <v>69</v>
      </c>
      <c r="ER166" s="3">
        <f t="shared" si="345"/>
        <v>0</v>
      </c>
      <c r="ES166" s="3">
        <f t="shared" si="346"/>
        <v>0</v>
      </c>
      <c r="ET166" s="46">
        <f t="shared" si="347"/>
        <v>0</v>
      </c>
      <c r="EU166" s="46">
        <f t="shared" si="348"/>
        <v>0</v>
      </c>
      <c r="EV166" s="46">
        <f t="shared" si="349"/>
        <v>0</v>
      </c>
      <c r="EW166" s="46">
        <f t="shared" si="350"/>
        <v>0</v>
      </c>
      <c r="EX166" s="46">
        <f t="shared" si="351"/>
        <v>0</v>
      </c>
      <c r="EY166" s="46">
        <f t="shared" si="352"/>
        <v>0</v>
      </c>
      <c r="EZ166" s="3">
        <f t="shared" si="353"/>
        <v>0</v>
      </c>
      <c r="FA166" s="3" t="s">
        <v>70</v>
      </c>
      <c r="FB166" s="3">
        <f t="shared" si="354"/>
        <v>0</v>
      </c>
      <c r="FC166" s="3" t="s">
        <v>70</v>
      </c>
      <c r="FD166" s="46">
        <f t="shared" si="355"/>
        <v>0</v>
      </c>
      <c r="FE166" s="46">
        <f t="shared" si="356"/>
        <v>0</v>
      </c>
      <c r="FF166" s="46">
        <f t="shared" si="357"/>
        <v>0</v>
      </c>
      <c r="FG166" s="46">
        <f t="shared" si="358"/>
        <v>0</v>
      </c>
      <c r="FH166" s="46">
        <f t="shared" si="359"/>
        <v>0</v>
      </c>
      <c r="FI166" s="46">
        <f t="shared" si="360"/>
        <v>0</v>
      </c>
      <c r="FJ166" s="3">
        <f t="shared" si="361"/>
        <v>0</v>
      </c>
      <c r="FK166" s="46">
        <f t="shared" si="362"/>
        <v>0</v>
      </c>
      <c r="FM166" s="74">
        <f>EL166+'EXTRALABORAL B '!BH349</f>
        <v>0</v>
      </c>
      <c r="FN166" s="74">
        <f t="shared" si="363"/>
        <v>0</v>
      </c>
    </row>
    <row r="167" spans="1:170">
      <c r="A167" s="3">
        <v>164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3">
        <f t="shared" si="321"/>
        <v>0</v>
      </c>
      <c r="DP167" s="3">
        <f t="shared" si="322"/>
        <v>0</v>
      </c>
      <c r="DQ167" s="3">
        <f t="shared" si="323"/>
        <v>0</v>
      </c>
      <c r="DR167" s="3" t="s">
        <v>69</v>
      </c>
      <c r="DS167" s="3">
        <f t="shared" si="324"/>
        <v>0</v>
      </c>
      <c r="DT167" s="3">
        <f t="shared" si="325"/>
        <v>0</v>
      </c>
      <c r="DU167" s="3">
        <f t="shared" si="326"/>
        <v>0</v>
      </c>
      <c r="DV167" s="3">
        <f t="shared" si="327"/>
        <v>0</v>
      </c>
      <c r="DW167" s="3">
        <f t="shared" si="328"/>
        <v>0</v>
      </c>
      <c r="DX167" s="3">
        <f t="shared" si="329"/>
        <v>0</v>
      </c>
      <c r="DY167" s="3">
        <f t="shared" si="330"/>
        <v>0</v>
      </c>
      <c r="DZ167" s="3">
        <f t="shared" si="331"/>
        <v>0</v>
      </c>
      <c r="EA167" s="3">
        <f t="shared" si="332"/>
        <v>0</v>
      </c>
      <c r="EB167" s="3" t="s">
        <v>70</v>
      </c>
      <c r="EC167" s="3">
        <f t="shared" si="333"/>
        <v>0</v>
      </c>
      <c r="ED167" s="3" t="s">
        <v>70</v>
      </c>
      <c r="EE167" s="3">
        <f t="shared" si="334"/>
        <v>0</v>
      </c>
      <c r="EF167" s="3">
        <f t="shared" si="335"/>
        <v>0</v>
      </c>
      <c r="EG167" s="3">
        <f t="shared" si="336"/>
        <v>0</v>
      </c>
      <c r="EH167" s="3">
        <f t="shared" si="337"/>
        <v>0</v>
      </c>
      <c r="EI167" s="3">
        <f t="shared" si="338"/>
        <v>0</v>
      </c>
      <c r="EJ167" s="3">
        <f t="shared" si="339"/>
        <v>0</v>
      </c>
      <c r="EK167" s="3">
        <f t="shared" si="340"/>
        <v>0</v>
      </c>
      <c r="EL167" s="24">
        <f t="shared" si="341"/>
        <v>0</v>
      </c>
      <c r="EM167" s="24"/>
      <c r="EN167" s="46">
        <f t="shared" si="342"/>
        <v>0</v>
      </c>
      <c r="EO167" s="46">
        <f t="shared" si="343"/>
        <v>0</v>
      </c>
      <c r="EP167" s="47">
        <f t="shared" si="344"/>
        <v>0</v>
      </c>
      <c r="EQ167" s="3" t="s">
        <v>69</v>
      </c>
      <c r="ER167" s="3">
        <f t="shared" si="345"/>
        <v>0</v>
      </c>
      <c r="ES167" s="3">
        <f t="shared" si="346"/>
        <v>0</v>
      </c>
      <c r="ET167" s="46">
        <f t="shared" si="347"/>
        <v>0</v>
      </c>
      <c r="EU167" s="46">
        <f t="shared" si="348"/>
        <v>0</v>
      </c>
      <c r="EV167" s="46">
        <f t="shared" si="349"/>
        <v>0</v>
      </c>
      <c r="EW167" s="46">
        <f t="shared" si="350"/>
        <v>0</v>
      </c>
      <c r="EX167" s="46">
        <f t="shared" si="351"/>
        <v>0</v>
      </c>
      <c r="EY167" s="46">
        <f t="shared" si="352"/>
        <v>0</v>
      </c>
      <c r="EZ167" s="3">
        <f t="shared" si="353"/>
        <v>0</v>
      </c>
      <c r="FA167" s="3" t="s">
        <v>70</v>
      </c>
      <c r="FB167" s="3">
        <f t="shared" si="354"/>
        <v>0</v>
      </c>
      <c r="FC167" s="3" t="s">
        <v>70</v>
      </c>
      <c r="FD167" s="46">
        <f t="shared" si="355"/>
        <v>0</v>
      </c>
      <c r="FE167" s="46">
        <f t="shared" si="356"/>
        <v>0</v>
      </c>
      <c r="FF167" s="46">
        <f t="shared" si="357"/>
        <v>0</v>
      </c>
      <c r="FG167" s="46">
        <f t="shared" si="358"/>
        <v>0</v>
      </c>
      <c r="FH167" s="46">
        <f t="shared" si="359"/>
        <v>0</v>
      </c>
      <c r="FI167" s="46">
        <f t="shared" si="360"/>
        <v>0</v>
      </c>
      <c r="FJ167" s="3">
        <f t="shared" si="361"/>
        <v>0</v>
      </c>
      <c r="FK167" s="46">
        <f t="shared" si="362"/>
        <v>0</v>
      </c>
      <c r="FM167" s="74">
        <f>EL167+'EXTRALABORAL B '!BH350</f>
        <v>0</v>
      </c>
      <c r="FN167" s="74">
        <f t="shared" si="363"/>
        <v>0</v>
      </c>
    </row>
    <row r="168" spans="1:170">
      <c r="A168" s="3">
        <v>165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3">
        <f t="shared" si="321"/>
        <v>0</v>
      </c>
      <c r="DP168" s="3">
        <f t="shared" si="322"/>
        <v>0</v>
      </c>
      <c r="DQ168" s="3">
        <f t="shared" si="323"/>
        <v>0</v>
      </c>
      <c r="DR168" s="3" t="s">
        <v>69</v>
      </c>
      <c r="DS168" s="3">
        <f t="shared" si="324"/>
        <v>0</v>
      </c>
      <c r="DT168" s="3">
        <f t="shared" si="325"/>
        <v>0</v>
      </c>
      <c r="DU168" s="3">
        <f t="shared" si="326"/>
        <v>0</v>
      </c>
      <c r="DV168" s="3">
        <f t="shared" si="327"/>
        <v>0</v>
      </c>
      <c r="DW168" s="3">
        <f t="shared" si="328"/>
        <v>0</v>
      </c>
      <c r="DX168" s="3">
        <f t="shared" si="329"/>
        <v>0</v>
      </c>
      <c r="DY168" s="3">
        <f t="shared" si="330"/>
        <v>0</v>
      </c>
      <c r="DZ168" s="3">
        <f t="shared" si="331"/>
        <v>0</v>
      </c>
      <c r="EA168" s="3">
        <f t="shared" si="332"/>
        <v>0</v>
      </c>
      <c r="EB168" s="3" t="s">
        <v>70</v>
      </c>
      <c r="EC168" s="3">
        <f t="shared" si="333"/>
        <v>0</v>
      </c>
      <c r="ED168" s="3" t="s">
        <v>70</v>
      </c>
      <c r="EE168" s="3">
        <f t="shared" si="334"/>
        <v>0</v>
      </c>
      <c r="EF168" s="3">
        <f t="shared" si="335"/>
        <v>0</v>
      </c>
      <c r="EG168" s="3">
        <f t="shared" si="336"/>
        <v>0</v>
      </c>
      <c r="EH168" s="3">
        <f t="shared" si="337"/>
        <v>0</v>
      </c>
      <c r="EI168" s="3">
        <f t="shared" si="338"/>
        <v>0</v>
      </c>
      <c r="EJ168" s="3">
        <f t="shared" si="339"/>
        <v>0</v>
      </c>
      <c r="EK168" s="3">
        <f t="shared" si="340"/>
        <v>0</v>
      </c>
      <c r="EL168" s="24">
        <f t="shared" si="341"/>
        <v>0</v>
      </c>
      <c r="EM168" s="24"/>
      <c r="EN168" s="46">
        <f t="shared" si="342"/>
        <v>0</v>
      </c>
      <c r="EO168" s="46">
        <f t="shared" si="343"/>
        <v>0</v>
      </c>
      <c r="EP168" s="47">
        <f t="shared" si="344"/>
        <v>0</v>
      </c>
      <c r="EQ168" s="3" t="s">
        <v>69</v>
      </c>
      <c r="ER168" s="3">
        <f t="shared" si="345"/>
        <v>0</v>
      </c>
      <c r="ES168" s="3">
        <f t="shared" si="346"/>
        <v>0</v>
      </c>
      <c r="ET168" s="46">
        <f t="shared" si="347"/>
        <v>0</v>
      </c>
      <c r="EU168" s="46">
        <f t="shared" si="348"/>
        <v>0</v>
      </c>
      <c r="EV168" s="46">
        <f t="shared" si="349"/>
        <v>0</v>
      </c>
      <c r="EW168" s="46">
        <f t="shared" si="350"/>
        <v>0</v>
      </c>
      <c r="EX168" s="46">
        <f t="shared" si="351"/>
        <v>0</v>
      </c>
      <c r="EY168" s="46">
        <f t="shared" si="352"/>
        <v>0</v>
      </c>
      <c r="EZ168" s="3">
        <f t="shared" si="353"/>
        <v>0</v>
      </c>
      <c r="FA168" s="3" t="s">
        <v>70</v>
      </c>
      <c r="FB168" s="3">
        <f t="shared" si="354"/>
        <v>0</v>
      </c>
      <c r="FC168" s="3" t="s">
        <v>70</v>
      </c>
      <c r="FD168" s="46">
        <f t="shared" si="355"/>
        <v>0</v>
      </c>
      <c r="FE168" s="46">
        <f t="shared" si="356"/>
        <v>0</v>
      </c>
      <c r="FF168" s="46">
        <f t="shared" si="357"/>
        <v>0</v>
      </c>
      <c r="FG168" s="46">
        <f t="shared" si="358"/>
        <v>0</v>
      </c>
      <c r="FH168" s="46">
        <f t="shared" si="359"/>
        <v>0</v>
      </c>
      <c r="FI168" s="46">
        <f t="shared" si="360"/>
        <v>0</v>
      </c>
      <c r="FJ168" s="3">
        <f t="shared" si="361"/>
        <v>0</v>
      </c>
      <c r="FK168" s="46">
        <f t="shared" si="362"/>
        <v>0</v>
      </c>
      <c r="FM168" s="74">
        <f>EL168+'EXTRALABORAL B '!BH351</f>
        <v>0</v>
      </c>
      <c r="FN168" s="74">
        <f t="shared" si="363"/>
        <v>0</v>
      </c>
    </row>
    <row r="169" spans="1:170">
      <c r="A169" s="3">
        <v>166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3">
        <f t="shared" si="321"/>
        <v>0</v>
      </c>
      <c r="DP169" s="3">
        <f t="shared" si="322"/>
        <v>0</v>
      </c>
      <c r="DQ169" s="3">
        <f t="shared" si="323"/>
        <v>0</v>
      </c>
      <c r="DR169" s="3" t="s">
        <v>69</v>
      </c>
      <c r="DS169" s="3">
        <f t="shared" si="324"/>
        <v>0</v>
      </c>
      <c r="DT169" s="3">
        <f t="shared" si="325"/>
        <v>0</v>
      </c>
      <c r="DU169" s="3">
        <f t="shared" si="326"/>
        <v>0</v>
      </c>
      <c r="DV169" s="3">
        <f t="shared" si="327"/>
        <v>0</v>
      </c>
      <c r="DW169" s="3">
        <f t="shared" si="328"/>
        <v>0</v>
      </c>
      <c r="DX169" s="3">
        <f t="shared" si="329"/>
        <v>0</v>
      </c>
      <c r="DY169" s="3">
        <f t="shared" si="330"/>
        <v>0</v>
      </c>
      <c r="DZ169" s="3">
        <f t="shared" si="331"/>
        <v>0</v>
      </c>
      <c r="EA169" s="3">
        <f t="shared" si="332"/>
        <v>0</v>
      </c>
      <c r="EB169" s="3" t="s">
        <v>70</v>
      </c>
      <c r="EC169" s="3">
        <f t="shared" si="333"/>
        <v>0</v>
      </c>
      <c r="ED169" s="3" t="s">
        <v>70</v>
      </c>
      <c r="EE169" s="3">
        <f t="shared" si="334"/>
        <v>0</v>
      </c>
      <c r="EF169" s="3">
        <f t="shared" si="335"/>
        <v>0</v>
      </c>
      <c r="EG169" s="3">
        <f t="shared" si="336"/>
        <v>0</v>
      </c>
      <c r="EH169" s="3">
        <f t="shared" si="337"/>
        <v>0</v>
      </c>
      <c r="EI169" s="3">
        <f t="shared" si="338"/>
        <v>0</v>
      </c>
      <c r="EJ169" s="3">
        <f t="shared" si="339"/>
        <v>0</v>
      </c>
      <c r="EK169" s="3">
        <f t="shared" si="340"/>
        <v>0</v>
      </c>
      <c r="EL169" s="24">
        <f t="shared" si="341"/>
        <v>0</v>
      </c>
      <c r="EM169" s="24"/>
      <c r="EN169" s="46">
        <f t="shared" si="342"/>
        <v>0</v>
      </c>
      <c r="EO169" s="46">
        <f t="shared" si="343"/>
        <v>0</v>
      </c>
      <c r="EP169" s="47">
        <f t="shared" si="344"/>
        <v>0</v>
      </c>
      <c r="EQ169" s="3" t="s">
        <v>69</v>
      </c>
      <c r="ER169" s="3">
        <f t="shared" si="345"/>
        <v>0</v>
      </c>
      <c r="ES169" s="3">
        <f t="shared" si="346"/>
        <v>0</v>
      </c>
      <c r="ET169" s="46">
        <f t="shared" si="347"/>
        <v>0</v>
      </c>
      <c r="EU169" s="46">
        <f t="shared" si="348"/>
        <v>0</v>
      </c>
      <c r="EV169" s="46">
        <f t="shared" si="349"/>
        <v>0</v>
      </c>
      <c r="EW169" s="46">
        <f t="shared" si="350"/>
        <v>0</v>
      </c>
      <c r="EX169" s="46">
        <f t="shared" si="351"/>
        <v>0</v>
      </c>
      <c r="EY169" s="46">
        <f t="shared" si="352"/>
        <v>0</v>
      </c>
      <c r="EZ169" s="3">
        <f t="shared" si="353"/>
        <v>0</v>
      </c>
      <c r="FA169" s="3" t="s">
        <v>70</v>
      </c>
      <c r="FB169" s="3">
        <f t="shared" si="354"/>
        <v>0</v>
      </c>
      <c r="FC169" s="3" t="s">
        <v>70</v>
      </c>
      <c r="FD169" s="46">
        <f t="shared" si="355"/>
        <v>0</v>
      </c>
      <c r="FE169" s="46">
        <f t="shared" si="356"/>
        <v>0</v>
      </c>
      <c r="FF169" s="46">
        <f t="shared" si="357"/>
        <v>0</v>
      </c>
      <c r="FG169" s="46">
        <f t="shared" si="358"/>
        <v>0</v>
      </c>
      <c r="FH169" s="46">
        <f t="shared" si="359"/>
        <v>0</v>
      </c>
      <c r="FI169" s="46">
        <f t="shared" si="360"/>
        <v>0</v>
      </c>
      <c r="FJ169" s="3">
        <f t="shared" si="361"/>
        <v>0</v>
      </c>
      <c r="FK169" s="46">
        <f t="shared" si="362"/>
        <v>0</v>
      </c>
      <c r="FM169" s="74">
        <f>EL169+'EXTRALABORAL B '!BH352</f>
        <v>0</v>
      </c>
      <c r="FN169" s="74">
        <f t="shared" si="363"/>
        <v>0</v>
      </c>
    </row>
    <row r="170" spans="1:170">
      <c r="A170" s="3">
        <v>167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3">
        <f t="shared" si="321"/>
        <v>0</v>
      </c>
      <c r="DP170" s="3">
        <f t="shared" si="322"/>
        <v>0</v>
      </c>
      <c r="DQ170" s="3">
        <f t="shared" si="323"/>
        <v>0</v>
      </c>
      <c r="DR170" s="3" t="s">
        <v>69</v>
      </c>
      <c r="DS170" s="3">
        <f t="shared" si="324"/>
        <v>0</v>
      </c>
      <c r="DT170" s="3">
        <f t="shared" si="325"/>
        <v>0</v>
      </c>
      <c r="DU170" s="3">
        <f t="shared" si="326"/>
        <v>0</v>
      </c>
      <c r="DV170" s="3">
        <f t="shared" si="327"/>
        <v>0</v>
      </c>
      <c r="DW170" s="3">
        <f t="shared" si="328"/>
        <v>0</v>
      </c>
      <c r="DX170" s="3">
        <f t="shared" si="329"/>
        <v>0</v>
      </c>
      <c r="DY170" s="3">
        <f t="shared" si="330"/>
        <v>0</v>
      </c>
      <c r="DZ170" s="3">
        <f t="shared" si="331"/>
        <v>0</v>
      </c>
      <c r="EA170" s="3">
        <f t="shared" si="332"/>
        <v>0</v>
      </c>
      <c r="EB170" s="3" t="s">
        <v>70</v>
      </c>
      <c r="EC170" s="3">
        <f t="shared" si="333"/>
        <v>0</v>
      </c>
      <c r="ED170" s="3" t="s">
        <v>70</v>
      </c>
      <c r="EE170" s="3">
        <f t="shared" si="334"/>
        <v>0</v>
      </c>
      <c r="EF170" s="3">
        <f t="shared" si="335"/>
        <v>0</v>
      </c>
      <c r="EG170" s="3">
        <f t="shared" si="336"/>
        <v>0</v>
      </c>
      <c r="EH170" s="3">
        <f t="shared" si="337"/>
        <v>0</v>
      </c>
      <c r="EI170" s="3">
        <f t="shared" si="338"/>
        <v>0</v>
      </c>
      <c r="EJ170" s="3">
        <f t="shared" si="339"/>
        <v>0</v>
      </c>
      <c r="EK170" s="3">
        <f t="shared" si="340"/>
        <v>0</v>
      </c>
      <c r="EL170" s="24">
        <f t="shared" si="341"/>
        <v>0</v>
      </c>
      <c r="EM170" s="24"/>
      <c r="EN170" s="46">
        <f t="shared" si="342"/>
        <v>0</v>
      </c>
      <c r="EO170" s="46">
        <f t="shared" si="343"/>
        <v>0</v>
      </c>
      <c r="EP170" s="47">
        <f t="shared" si="344"/>
        <v>0</v>
      </c>
      <c r="EQ170" s="3" t="s">
        <v>69</v>
      </c>
      <c r="ER170" s="3">
        <f t="shared" si="345"/>
        <v>0</v>
      </c>
      <c r="ES170" s="3">
        <f t="shared" si="346"/>
        <v>0</v>
      </c>
      <c r="ET170" s="46">
        <f t="shared" si="347"/>
        <v>0</v>
      </c>
      <c r="EU170" s="46">
        <f t="shared" si="348"/>
        <v>0</v>
      </c>
      <c r="EV170" s="46">
        <f t="shared" si="349"/>
        <v>0</v>
      </c>
      <c r="EW170" s="46">
        <f t="shared" si="350"/>
        <v>0</v>
      </c>
      <c r="EX170" s="46">
        <f t="shared" si="351"/>
        <v>0</v>
      </c>
      <c r="EY170" s="46">
        <f t="shared" si="352"/>
        <v>0</v>
      </c>
      <c r="EZ170" s="3">
        <f t="shared" si="353"/>
        <v>0</v>
      </c>
      <c r="FA170" s="3" t="s">
        <v>70</v>
      </c>
      <c r="FB170" s="3">
        <f t="shared" si="354"/>
        <v>0</v>
      </c>
      <c r="FC170" s="3" t="s">
        <v>70</v>
      </c>
      <c r="FD170" s="46">
        <f t="shared" si="355"/>
        <v>0</v>
      </c>
      <c r="FE170" s="46">
        <f t="shared" si="356"/>
        <v>0</v>
      </c>
      <c r="FF170" s="46">
        <f t="shared" si="357"/>
        <v>0</v>
      </c>
      <c r="FG170" s="46">
        <f t="shared" si="358"/>
        <v>0</v>
      </c>
      <c r="FH170" s="46">
        <f t="shared" si="359"/>
        <v>0</v>
      </c>
      <c r="FI170" s="46">
        <f t="shared" si="360"/>
        <v>0</v>
      </c>
      <c r="FJ170" s="3">
        <f t="shared" si="361"/>
        <v>0</v>
      </c>
      <c r="FK170" s="46">
        <f t="shared" si="362"/>
        <v>0</v>
      </c>
      <c r="FM170" s="74">
        <f>EL170+'EXTRALABORAL B '!BH353</f>
        <v>0</v>
      </c>
      <c r="FN170" s="74">
        <f t="shared" si="363"/>
        <v>0</v>
      </c>
    </row>
    <row r="171" spans="1:170">
      <c r="A171" s="3">
        <v>168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90"/>
      <c r="P171" s="3"/>
      <c r="Q171" s="3"/>
      <c r="R171" s="3"/>
      <c r="S171" s="3"/>
      <c r="T171" s="3"/>
      <c r="U171" s="3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3">
        <f t="shared" si="321"/>
        <v>0</v>
      </c>
      <c r="DP171" s="3">
        <f t="shared" si="322"/>
        <v>0</v>
      </c>
      <c r="DQ171" s="3">
        <f t="shared" si="323"/>
        <v>0</v>
      </c>
      <c r="DR171" s="3" t="s">
        <v>69</v>
      </c>
      <c r="DS171" s="3">
        <f t="shared" si="324"/>
        <v>0</v>
      </c>
      <c r="DT171" s="3">
        <f t="shared" si="325"/>
        <v>0</v>
      </c>
      <c r="DU171" s="3">
        <f t="shared" si="326"/>
        <v>0</v>
      </c>
      <c r="DV171" s="3">
        <f t="shared" si="327"/>
        <v>0</v>
      </c>
      <c r="DW171" s="3">
        <f t="shared" si="328"/>
        <v>0</v>
      </c>
      <c r="DX171" s="3">
        <f t="shared" si="329"/>
        <v>0</v>
      </c>
      <c r="DY171" s="3">
        <f t="shared" si="330"/>
        <v>0</v>
      </c>
      <c r="DZ171" s="3">
        <f t="shared" si="331"/>
        <v>0</v>
      </c>
      <c r="EA171" s="3">
        <f t="shared" si="332"/>
        <v>0</v>
      </c>
      <c r="EB171" s="3" t="s">
        <v>70</v>
      </c>
      <c r="EC171" s="3">
        <f t="shared" si="333"/>
        <v>0</v>
      </c>
      <c r="ED171" s="3" t="s">
        <v>70</v>
      </c>
      <c r="EE171" s="3">
        <f t="shared" si="334"/>
        <v>0</v>
      </c>
      <c r="EF171" s="3">
        <f t="shared" si="335"/>
        <v>0</v>
      </c>
      <c r="EG171" s="3">
        <f t="shared" si="336"/>
        <v>0</v>
      </c>
      <c r="EH171" s="3">
        <f t="shared" si="337"/>
        <v>0</v>
      </c>
      <c r="EI171" s="3">
        <f t="shared" si="338"/>
        <v>0</v>
      </c>
      <c r="EJ171" s="3">
        <f t="shared" si="339"/>
        <v>0</v>
      </c>
      <c r="EK171" s="3">
        <f t="shared" si="340"/>
        <v>0</v>
      </c>
      <c r="EL171" s="24">
        <f t="shared" si="341"/>
        <v>0</v>
      </c>
      <c r="EM171" s="24"/>
      <c r="EN171" s="46">
        <f t="shared" si="342"/>
        <v>0</v>
      </c>
      <c r="EO171" s="46">
        <f t="shared" si="343"/>
        <v>0</v>
      </c>
      <c r="EP171" s="47">
        <f t="shared" si="344"/>
        <v>0</v>
      </c>
      <c r="EQ171" s="3" t="s">
        <v>69</v>
      </c>
      <c r="ER171" s="3">
        <f t="shared" si="345"/>
        <v>0</v>
      </c>
      <c r="ES171" s="3">
        <f t="shared" si="346"/>
        <v>0</v>
      </c>
      <c r="ET171" s="46">
        <f t="shared" si="347"/>
        <v>0</v>
      </c>
      <c r="EU171" s="46">
        <f t="shared" si="348"/>
        <v>0</v>
      </c>
      <c r="EV171" s="46">
        <f t="shared" si="349"/>
        <v>0</v>
      </c>
      <c r="EW171" s="46">
        <f t="shared" si="350"/>
        <v>0</v>
      </c>
      <c r="EX171" s="46">
        <f t="shared" si="351"/>
        <v>0</v>
      </c>
      <c r="EY171" s="46">
        <f t="shared" si="352"/>
        <v>0</v>
      </c>
      <c r="EZ171" s="3">
        <f t="shared" si="353"/>
        <v>0</v>
      </c>
      <c r="FA171" s="3" t="s">
        <v>70</v>
      </c>
      <c r="FB171" s="3">
        <f t="shared" si="354"/>
        <v>0</v>
      </c>
      <c r="FC171" s="3" t="s">
        <v>70</v>
      </c>
      <c r="FD171" s="46">
        <f t="shared" si="355"/>
        <v>0</v>
      </c>
      <c r="FE171" s="46">
        <f t="shared" si="356"/>
        <v>0</v>
      </c>
      <c r="FF171" s="46">
        <f t="shared" si="357"/>
        <v>0</v>
      </c>
      <c r="FG171" s="46">
        <f t="shared" si="358"/>
        <v>0</v>
      </c>
      <c r="FH171" s="46">
        <f t="shared" si="359"/>
        <v>0</v>
      </c>
      <c r="FI171" s="46">
        <f t="shared" si="360"/>
        <v>0</v>
      </c>
      <c r="FJ171" s="3">
        <f t="shared" si="361"/>
        <v>0</v>
      </c>
      <c r="FK171" s="46">
        <f t="shared" si="362"/>
        <v>0</v>
      </c>
      <c r="FM171" s="74">
        <f>EL171+'EXTRALABORAL B '!BH354</f>
        <v>0</v>
      </c>
      <c r="FN171" s="74">
        <f t="shared" si="363"/>
        <v>0</v>
      </c>
    </row>
    <row r="172" spans="1:170">
      <c r="A172" s="3">
        <v>169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3">
        <f t="shared" si="321"/>
        <v>0</v>
      </c>
      <c r="DP172" s="3">
        <f t="shared" si="322"/>
        <v>0</v>
      </c>
      <c r="DQ172" s="3">
        <f t="shared" si="323"/>
        <v>0</v>
      </c>
      <c r="DR172" s="3" t="s">
        <v>69</v>
      </c>
      <c r="DS172" s="3">
        <f t="shared" si="324"/>
        <v>0</v>
      </c>
      <c r="DT172" s="3">
        <f t="shared" si="325"/>
        <v>0</v>
      </c>
      <c r="DU172" s="3">
        <f t="shared" si="326"/>
        <v>0</v>
      </c>
      <c r="DV172" s="3">
        <f t="shared" si="327"/>
        <v>0</v>
      </c>
      <c r="DW172" s="3">
        <f t="shared" si="328"/>
        <v>0</v>
      </c>
      <c r="DX172" s="3">
        <f t="shared" si="329"/>
        <v>0</v>
      </c>
      <c r="DY172" s="3">
        <f t="shared" si="330"/>
        <v>0</v>
      </c>
      <c r="DZ172" s="3">
        <f t="shared" si="331"/>
        <v>0</v>
      </c>
      <c r="EA172" s="3">
        <f t="shared" si="332"/>
        <v>0</v>
      </c>
      <c r="EB172" s="3" t="s">
        <v>70</v>
      </c>
      <c r="EC172" s="3">
        <f t="shared" si="333"/>
        <v>0</v>
      </c>
      <c r="ED172" s="3" t="s">
        <v>70</v>
      </c>
      <c r="EE172" s="3">
        <f t="shared" si="334"/>
        <v>0</v>
      </c>
      <c r="EF172" s="3">
        <f t="shared" si="335"/>
        <v>0</v>
      </c>
      <c r="EG172" s="3">
        <f t="shared" si="336"/>
        <v>0</v>
      </c>
      <c r="EH172" s="3">
        <f t="shared" si="337"/>
        <v>0</v>
      </c>
      <c r="EI172" s="3">
        <f t="shared" si="338"/>
        <v>0</v>
      </c>
      <c r="EJ172" s="3">
        <f t="shared" si="339"/>
        <v>0</v>
      </c>
      <c r="EK172" s="3">
        <f t="shared" si="340"/>
        <v>0</v>
      </c>
      <c r="EL172" s="24">
        <f t="shared" si="341"/>
        <v>0</v>
      </c>
      <c r="EM172" s="24"/>
      <c r="EN172" s="46">
        <f t="shared" si="342"/>
        <v>0</v>
      </c>
      <c r="EO172" s="46">
        <f t="shared" si="343"/>
        <v>0</v>
      </c>
      <c r="EP172" s="47">
        <f t="shared" si="344"/>
        <v>0</v>
      </c>
      <c r="EQ172" s="3" t="s">
        <v>69</v>
      </c>
      <c r="ER172" s="3">
        <f t="shared" si="345"/>
        <v>0</v>
      </c>
      <c r="ES172" s="3">
        <f t="shared" si="346"/>
        <v>0</v>
      </c>
      <c r="ET172" s="46">
        <f t="shared" si="347"/>
        <v>0</v>
      </c>
      <c r="EU172" s="46">
        <f t="shared" si="348"/>
        <v>0</v>
      </c>
      <c r="EV172" s="46">
        <f t="shared" si="349"/>
        <v>0</v>
      </c>
      <c r="EW172" s="46">
        <f t="shared" si="350"/>
        <v>0</v>
      </c>
      <c r="EX172" s="46">
        <f t="shared" si="351"/>
        <v>0</v>
      </c>
      <c r="EY172" s="46">
        <f t="shared" si="352"/>
        <v>0</v>
      </c>
      <c r="EZ172" s="3">
        <f t="shared" si="353"/>
        <v>0</v>
      </c>
      <c r="FA172" s="3" t="s">
        <v>70</v>
      </c>
      <c r="FB172" s="3">
        <f t="shared" si="354"/>
        <v>0</v>
      </c>
      <c r="FC172" s="3" t="s">
        <v>70</v>
      </c>
      <c r="FD172" s="46">
        <f t="shared" si="355"/>
        <v>0</v>
      </c>
      <c r="FE172" s="46">
        <f t="shared" si="356"/>
        <v>0</v>
      </c>
      <c r="FF172" s="46">
        <f t="shared" si="357"/>
        <v>0</v>
      </c>
      <c r="FG172" s="46">
        <f t="shared" si="358"/>
        <v>0</v>
      </c>
      <c r="FH172" s="46">
        <f t="shared" si="359"/>
        <v>0</v>
      </c>
      <c r="FI172" s="46">
        <f t="shared" si="360"/>
        <v>0</v>
      </c>
      <c r="FJ172" s="3">
        <f t="shared" si="361"/>
        <v>0</v>
      </c>
      <c r="FK172" s="46">
        <f t="shared" si="362"/>
        <v>0</v>
      </c>
      <c r="FM172" s="74">
        <f>EL172+'EXTRALABORAL B '!BH355</f>
        <v>0</v>
      </c>
      <c r="FN172" s="74">
        <f t="shared" si="363"/>
        <v>0</v>
      </c>
    </row>
    <row r="173" spans="1:170">
      <c r="A173" s="3">
        <v>170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90"/>
      <c r="S173" s="3"/>
      <c r="T173" s="3"/>
      <c r="U173" s="3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3">
        <v>2</v>
      </c>
      <c r="DP173" s="3">
        <f t="shared" si="322"/>
        <v>0</v>
      </c>
      <c r="DQ173" s="3">
        <f t="shared" si="323"/>
        <v>0</v>
      </c>
      <c r="DR173" s="3" t="s">
        <v>69</v>
      </c>
      <c r="DS173" s="3">
        <f t="shared" si="324"/>
        <v>0</v>
      </c>
      <c r="DT173" s="3">
        <f t="shared" si="325"/>
        <v>0</v>
      </c>
      <c r="DU173" s="3">
        <f t="shared" si="326"/>
        <v>0</v>
      </c>
      <c r="DV173" s="3">
        <f t="shared" si="327"/>
        <v>0</v>
      </c>
      <c r="DW173" s="3">
        <f t="shared" si="328"/>
        <v>0</v>
      </c>
      <c r="DX173" s="3">
        <f t="shared" si="329"/>
        <v>0</v>
      </c>
      <c r="DY173" s="3">
        <f t="shared" si="330"/>
        <v>0</v>
      </c>
      <c r="DZ173" s="3">
        <f t="shared" si="331"/>
        <v>0</v>
      </c>
      <c r="EA173" s="3">
        <f t="shared" si="332"/>
        <v>0</v>
      </c>
      <c r="EB173" s="3" t="s">
        <v>70</v>
      </c>
      <c r="EC173" s="3">
        <f t="shared" si="333"/>
        <v>0</v>
      </c>
      <c r="ED173" s="3" t="s">
        <v>70</v>
      </c>
      <c r="EE173" s="3">
        <f t="shared" si="334"/>
        <v>0</v>
      </c>
      <c r="EF173" s="3">
        <f t="shared" si="335"/>
        <v>0</v>
      </c>
      <c r="EG173" s="3">
        <f t="shared" si="336"/>
        <v>0</v>
      </c>
      <c r="EH173" s="3">
        <f t="shared" si="337"/>
        <v>2</v>
      </c>
      <c r="EI173" s="3">
        <f t="shared" si="338"/>
        <v>0</v>
      </c>
      <c r="EJ173" s="3">
        <f t="shared" si="339"/>
        <v>0</v>
      </c>
      <c r="EK173" s="3">
        <f t="shared" si="340"/>
        <v>0</v>
      </c>
      <c r="EL173" s="24">
        <f t="shared" si="341"/>
        <v>2</v>
      </c>
      <c r="EM173" s="24"/>
      <c r="EN173" s="46">
        <f t="shared" si="342"/>
        <v>3.8461538461538463</v>
      </c>
      <c r="EO173" s="46">
        <f t="shared" si="343"/>
        <v>0</v>
      </c>
      <c r="EP173" s="47">
        <f t="shared" si="344"/>
        <v>0</v>
      </c>
      <c r="EQ173" s="3" t="s">
        <v>69</v>
      </c>
      <c r="ER173" s="3">
        <f t="shared" si="345"/>
        <v>0</v>
      </c>
      <c r="ES173" s="3">
        <f t="shared" si="346"/>
        <v>0</v>
      </c>
      <c r="ET173" s="46">
        <f t="shared" si="347"/>
        <v>0</v>
      </c>
      <c r="EU173" s="46">
        <f t="shared" si="348"/>
        <v>0</v>
      </c>
      <c r="EV173" s="46">
        <f t="shared" si="349"/>
        <v>0</v>
      </c>
      <c r="EW173" s="46">
        <f t="shared" si="350"/>
        <v>0</v>
      </c>
      <c r="EX173" s="46">
        <f t="shared" si="351"/>
        <v>0</v>
      </c>
      <c r="EY173" s="46">
        <f t="shared" si="352"/>
        <v>0</v>
      </c>
      <c r="EZ173" s="3">
        <f t="shared" si="353"/>
        <v>0</v>
      </c>
      <c r="FA173" s="3" t="s">
        <v>70</v>
      </c>
      <c r="FB173" s="3">
        <f t="shared" si="354"/>
        <v>0</v>
      </c>
      <c r="FC173" s="3" t="s">
        <v>70</v>
      </c>
      <c r="FD173" s="46">
        <f t="shared" si="355"/>
        <v>0</v>
      </c>
      <c r="FE173" s="46">
        <f t="shared" si="356"/>
        <v>0</v>
      </c>
      <c r="FF173" s="46">
        <f t="shared" si="357"/>
        <v>0</v>
      </c>
      <c r="FG173" s="46">
        <v>0</v>
      </c>
      <c r="FH173" s="46">
        <f t="shared" si="359"/>
        <v>0</v>
      </c>
      <c r="FI173" s="46">
        <f t="shared" si="360"/>
        <v>0</v>
      </c>
      <c r="FJ173" s="3">
        <f t="shared" si="361"/>
        <v>0</v>
      </c>
      <c r="FK173" s="46">
        <f t="shared" si="362"/>
        <v>0.51546391752577314</v>
      </c>
      <c r="FM173" s="74">
        <f>EL173+'EXTRALABORAL B '!BH356</f>
        <v>2</v>
      </c>
      <c r="FN173" s="74">
        <f t="shared" si="363"/>
        <v>0.390625</v>
      </c>
    </row>
    <row r="174" spans="1:170">
      <c r="A174" s="3">
        <v>171</v>
      </c>
      <c r="B174" s="3"/>
      <c r="C174" s="3"/>
      <c r="D174" s="3"/>
      <c r="E174" s="3"/>
      <c r="F174" s="3"/>
      <c r="G174" s="3"/>
      <c r="H174" s="9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3">
        <f t="shared" si="321"/>
        <v>0</v>
      </c>
      <c r="DP174" s="3">
        <f t="shared" si="322"/>
        <v>0</v>
      </c>
      <c r="DQ174" s="3">
        <f t="shared" si="323"/>
        <v>0</v>
      </c>
      <c r="DR174" s="3" t="s">
        <v>69</v>
      </c>
      <c r="DS174" s="3">
        <f t="shared" si="324"/>
        <v>0</v>
      </c>
      <c r="DT174" s="3">
        <f t="shared" si="325"/>
        <v>0</v>
      </c>
      <c r="DU174" s="3">
        <f t="shared" si="326"/>
        <v>0</v>
      </c>
      <c r="DV174" s="3">
        <f t="shared" si="327"/>
        <v>0</v>
      </c>
      <c r="DW174" s="3">
        <f t="shared" si="328"/>
        <v>0</v>
      </c>
      <c r="DX174" s="3">
        <f t="shared" si="329"/>
        <v>0</v>
      </c>
      <c r="DY174" s="3">
        <f t="shared" si="330"/>
        <v>0</v>
      </c>
      <c r="DZ174" s="3">
        <f t="shared" si="331"/>
        <v>0</v>
      </c>
      <c r="EA174" s="3">
        <f t="shared" si="332"/>
        <v>0</v>
      </c>
      <c r="EB174" s="3" t="s">
        <v>70</v>
      </c>
      <c r="EC174" s="3">
        <f t="shared" si="333"/>
        <v>0</v>
      </c>
      <c r="ED174" s="3" t="s">
        <v>70</v>
      </c>
      <c r="EE174" s="3">
        <f t="shared" si="334"/>
        <v>0</v>
      </c>
      <c r="EF174" s="3">
        <f t="shared" si="335"/>
        <v>0</v>
      </c>
      <c r="EG174" s="3">
        <f t="shared" si="336"/>
        <v>0</v>
      </c>
      <c r="EH174" s="3">
        <f t="shared" si="337"/>
        <v>0</v>
      </c>
      <c r="EI174" s="3">
        <f t="shared" si="338"/>
        <v>0</v>
      </c>
      <c r="EJ174" s="3">
        <f t="shared" si="339"/>
        <v>0</v>
      </c>
      <c r="EK174" s="3">
        <f t="shared" si="340"/>
        <v>0</v>
      </c>
      <c r="EL174" s="24">
        <f t="shared" si="341"/>
        <v>0</v>
      </c>
      <c r="EM174" s="24"/>
      <c r="EN174" s="46">
        <f t="shared" si="342"/>
        <v>0</v>
      </c>
      <c r="EO174" s="46">
        <f t="shared" si="343"/>
        <v>0</v>
      </c>
      <c r="EP174" s="47">
        <f t="shared" si="344"/>
        <v>0</v>
      </c>
      <c r="EQ174" s="3" t="s">
        <v>69</v>
      </c>
      <c r="ER174" s="3">
        <f t="shared" si="345"/>
        <v>0</v>
      </c>
      <c r="ES174" s="3">
        <f t="shared" si="346"/>
        <v>0</v>
      </c>
      <c r="ET174" s="46">
        <f t="shared" si="347"/>
        <v>0</v>
      </c>
      <c r="EU174" s="46">
        <f t="shared" si="348"/>
        <v>0</v>
      </c>
      <c r="EV174" s="46">
        <f t="shared" si="349"/>
        <v>0</v>
      </c>
      <c r="EW174" s="46">
        <f t="shared" si="350"/>
        <v>0</v>
      </c>
      <c r="EX174" s="46">
        <f t="shared" si="351"/>
        <v>0</v>
      </c>
      <c r="EY174" s="46">
        <f t="shared" si="352"/>
        <v>0</v>
      </c>
      <c r="EZ174" s="3">
        <f t="shared" si="353"/>
        <v>0</v>
      </c>
      <c r="FA174" s="3" t="s">
        <v>70</v>
      </c>
      <c r="FB174" s="3">
        <f t="shared" si="354"/>
        <v>0</v>
      </c>
      <c r="FC174" s="3" t="s">
        <v>70</v>
      </c>
      <c r="FD174" s="46">
        <f t="shared" si="355"/>
        <v>0</v>
      </c>
      <c r="FE174" s="46">
        <f t="shared" si="356"/>
        <v>0</v>
      </c>
      <c r="FF174" s="46">
        <f t="shared" si="357"/>
        <v>0</v>
      </c>
      <c r="FG174" s="46">
        <f t="shared" si="358"/>
        <v>0</v>
      </c>
      <c r="FH174" s="46">
        <f t="shared" si="359"/>
        <v>0</v>
      </c>
      <c r="FI174" s="46">
        <f t="shared" si="360"/>
        <v>0</v>
      </c>
      <c r="FJ174" s="3">
        <f t="shared" si="361"/>
        <v>0</v>
      </c>
      <c r="FK174" s="46">
        <f t="shared" si="362"/>
        <v>0</v>
      </c>
      <c r="FM174" s="74">
        <f>EL174+'EXTRALABORAL B '!BH357</f>
        <v>0</v>
      </c>
      <c r="FN174" s="74">
        <f t="shared" si="363"/>
        <v>0</v>
      </c>
    </row>
    <row r="175" spans="1:170">
      <c r="A175" s="3">
        <v>172</v>
      </c>
      <c r="B175" s="3"/>
      <c r="C175" s="3"/>
      <c r="D175" s="3"/>
      <c r="E175" s="90"/>
      <c r="F175" s="3"/>
      <c r="G175" s="3"/>
      <c r="H175" s="9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3">
        <f t="shared" si="321"/>
        <v>0</v>
      </c>
      <c r="DP175" s="3">
        <f t="shared" si="322"/>
        <v>0</v>
      </c>
      <c r="DQ175" s="3">
        <f t="shared" si="323"/>
        <v>0</v>
      </c>
      <c r="DR175" s="3" t="s">
        <v>69</v>
      </c>
      <c r="DS175" s="3">
        <f t="shared" si="324"/>
        <v>0</v>
      </c>
      <c r="DT175" s="3">
        <f t="shared" si="325"/>
        <v>0</v>
      </c>
      <c r="DU175" s="3">
        <f t="shared" si="326"/>
        <v>0</v>
      </c>
      <c r="DV175" s="3">
        <f t="shared" si="327"/>
        <v>0</v>
      </c>
      <c r="DW175" s="3">
        <f t="shared" si="328"/>
        <v>0</v>
      </c>
      <c r="DX175" s="3">
        <f t="shared" si="329"/>
        <v>0</v>
      </c>
      <c r="DY175" s="3">
        <f t="shared" si="330"/>
        <v>0</v>
      </c>
      <c r="DZ175" s="3">
        <f t="shared" si="331"/>
        <v>0</v>
      </c>
      <c r="EA175" s="3">
        <f t="shared" si="332"/>
        <v>0</v>
      </c>
      <c r="EB175" s="3" t="s">
        <v>70</v>
      </c>
      <c r="EC175" s="3">
        <f t="shared" si="333"/>
        <v>0</v>
      </c>
      <c r="ED175" s="3" t="s">
        <v>70</v>
      </c>
      <c r="EE175" s="3">
        <f t="shared" si="334"/>
        <v>0</v>
      </c>
      <c r="EF175" s="3">
        <f t="shared" si="335"/>
        <v>0</v>
      </c>
      <c r="EG175" s="3">
        <f t="shared" si="336"/>
        <v>0</v>
      </c>
      <c r="EH175" s="3">
        <f t="shared" si="337"/>
        <v>0</v>
      </c>
      <c r="EI175" s="3">
        <f t="shared" si="338"/>
        <v>0</v>
      </c>
      <c r="EJ175" s="3">
        <f t="shared" si="339"/>
        <v>0</v>
      </c>
      <c r="EK175" s="3">
        <f t="shared" si="340"/>
        <v>0</v>
      </c>
      <c r="EL175" s="24">
        <f t="shared" si="341"/>
        <v>0</v>
      </c>
      <c r="EM175" s="24"/>
      <c r="EN175" s="46">
        <f t="shared" si="342"/>
        <v>0</v>
      </c>
      <c r="EO175" s="46">
        <f t="shared" si="343"/>
        <v>0</v>
      </c>
      <c r="EP175" s="47">
        <f t="shared" si="344"/>
        <v>0</v>
      </c>
      <c r="EQ175" s="3" t="s">
        <v>69</v>
      </c>
      <c r="ER175" s="3">
        <f t="shared" si="345"/>
        <v>0</v>
      </c>
      <c r="ES175" s="3">
        <f t="shared" si="346"/>
        <v>0</v>
      </c>
      <c r="ET175" s="46">
        <f t="shared" si="347"/>
        <v>0</v>
      </c>
      <c r="EU175" s="46">
        <f t="shared" si="348"/>
        <v>0</v>
      </c>
      <c r="EV175" s="46">
        <f t="shared" si="349"/>
        <v>0</v>
      </c>
      <c r="EW175" s="46">
        <f t="shared" si="350"/>
        <v>0</v>
      </c>
      <c r="EX175" s="46">
        <f t="shared" si="351"/>
        <v>0</v>
      </c>
      <c r="EY175" s="46">
        <f t="shared" si="352"/>
        <v>0</v>
      </c>
      <c r="EZ175" s="3">
        <f t="shared" si="353"/>
        <v>0</v>
      </c>
      <c r="FA175" s="3" t="s">
        <v>70</v>
      </c>
      <c r="FB175" s="3">
        <f t="shared" si="354"/>
        <v>0</v>
      </c>
      <c r="FC175" s="3" t="s">
        <v>70</v>
      </c>
      <c r="FD175" s="46">
        <f t="shared" si="355"/>
        <v>0</v>
      </c>
      <c r="FE175" s="46">
        <f t="shared" si="356"/>
        <v>0</v>
      </c>
      <c r="FF175" s="46">
        <f t="shared" si="357"/>
        <v>0</v>
      </c>
      <c r="FG175" s="46">
        <f t="shared" si="358"/>
        <v>0</v>
      </c>
      <c r="FH175" s="46">
        <f t="shared" si="359"/>
        <v>0</v>
      </c>
      <c r="FI175" s="46">
        <f t="shared" si="360"/>
        <v>0</v>
      </c>
      <c r="FJ175" s="3">
        <f t="shared" si="361"/>
        <v>0</v>
      </c>
      <c r="FK175" s="46">
        <f t="shared" si="362"/>
        <v>0</v>
      </c>
      <c r="FM175" s="74">
        <f>EL175+'EXTRALABORAL B '!BH358</f>
        <v>0</v>
      </c>
      <c r="FN175" s="74">
        <f t="shared" si="363"/>
        <v>0</v>
      </c>
    </row>
    <row r="176" spans="1:170">
      <c r="A176" s="3">
        <v>173</v>
      </c>
      <c r="B176" s="3"/>
      <c r="C176" s="3"/>
      <c r="D176" s="3"/>
      <c r="E176" s="3"/>
      <c r="F176" s="3"/>
      <c r="G176" s="3"/>
      <c r="H176" s="9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3">
        <f t="shared" si="321"/>
        <v>0</v>
      </c>
      <c r="DP176" s="3">
        <f t="shared" si="322"/>
        <v>0</v>
      </c>
      <c r="DQ176" s="3">
        <f t="shared" si="323"/>
        <v>0</v>
      </c>
      <c r="DR176" s="3" t="s">
        <v>69</v>
      </c>
      <c r="DS176" s="3">
        <f t="shared" si="324"/>
        <v>0</v>
      </c>
      <c r="DT176" s="3">
        <f t="shared" si="325"/>
        <v>0</v>
      </c>
      <c r="DU176" s="3">
        <f t="shared" si="326"/>
        <v>0</v>
      </c>
      <c r="DV176" s="3">
        <f t="shared" si="327"/>
        <v>0</v>
      </c>
      <c r="DW176" s="3">
        <f t="shared" si="328"/>
        <v>0</v>
      </c>
      <c r="DX176" s="3">
        <f t="shared" si="329"/>
        <v>0</v>
      </c>
      <c r="DY176" s="3">
        <f t="shared" si="330"/>
        <v>0</v>
      </c>
      <c r="DZ176" s="3">
        <f t="shared" si="331"/>
        <v>0</v>
      </c>
      <c r="EA176" s="3">
        <f t="shared" si="332"/>
        <v>0</v>
      </c>
      <c r="EB176" s="3" t="s">
        <v>70</v>
      </c>
      <c r="EC176" s="3">
        <f t="shared" si="333"/>
        <v>0</v>
      </c>
      <c r="ED176" s="3" t="s">
        <v>70</v>
      </c>
      <c r="EE176" s="3">
        <f t="shared" si="334"/>
        <v>0</v>
      </c>
      <c r="EF176" s="3">
        <f t="shared" si="335"/>
        <v>0</v>
      </c>
      <c r="EG176" s="3">
        <f t="shared" si="336"/>
        <v>0</v>
      </c>
      <c r="EH176" s="3">
        <f t="shared" si="337"/>
        <v>0</v>
      </c>
      <c r="EI176" s="3">
        <f t="shared" si="338"/>
        <v>0</v>
      </c>
      <c r="EJ176" s="3">
        <f t="shared" si="339"/>
        <v>0</v>
      </c>
      <c r="EK176" s="3">
        <f t="shared" si="340"/>
        <v>0</v>
      </c>
      <c r="EL176" s="24">
        <f t="shared" si="341"/>
        <v>0</v>
      </c>
      <c r="EM176" s="24"/>
      <c r="EN176" s="46">
        <f t="shared" si="342"/>
        <v>0</v>
      </c>
      <c r="EO176" s="46">
        <f t="shared" si="343"/>
        <v>0</v>
      </c>
      <c r="EP176" s="47">
        <f t="shared" si="344"/>
        <v>0</v>
      </c>
      <c r="EQ176" s="3" t="s">
        <v>69</v>
      </c>
      <c r="ER176" s="3">
        <f t="shared" si="345"/>
        <v>0</v>
      </c>
      <c r="ES176" s="3">
        <f t="shared" si="346"/>
        <v>0</v>
      </c>
      <c r="ET176" s="46">
        <f t="shared" si="347"/>
        <v>0</v>
      </c>
      <c r="EU176" s="46">
        <f t="shared" si="348"/>
        <v>0</v>
      </c>
      <c r="EV176" s="46">
        <f t="shared" si="349"/>
        <v>0</v>
      </c>
      <c r="EW176" s="46">
        <f t="shared" si="350"/>
        <v>0</v>
      </c>
      <c r="EX176" s="46">
        <f t="shared" si="351"/>
        <v>0</v>
      </c>
      <c r="EY176" s="46">
        <f t="shared" si="352"/>
        <v>0</v>
      </c>
      <c r="EZ176" s="3">
        <f t="shared" si="353"/>
        <v>0</v>
      </c>
      <c r="FA176" s="3" t="s">
        <v>70</v>
      </c>
      <c r="FB176" s="3">
        <f t="shared" si="354"/>
        <v>0</v>
      </c>
      <c r="FC176" s="3" t="s">
        <v>70</v>
      </c>
      <c r="FD176" s="46">
        <f t="shared" si="355"/>
        <v>0</v>
      </c>
      <c r="FE176" s="46">
        <f t="shared" si="356"/>
        <v>0</v>
      </c>
      <c r="FF176" s="46">
        <f t="shared" si="357"/>
        <v>0</v>
      </c>
      <c r="FG176" s="46">
        <f t="shared" si="358"/>
        <v>0</v>
      </c>
      <c r="FH176" s="46">
        <f t="shared" si="359"/>
        <v>0</v>
      </c>
      <c r="FI176" s="46">
        <f t="shared" si="360"/>
        <v>0</v>
      </c>
      <c r="FJ176" s="3">
        <f t="shared" si="361"/>
        <v>0</v>
      </c>
      <c r="FK176" s="46">
        <f t="shared" si="362"/>
        <v>0</v>
      </c>
      <c r="FM176" s="74">
        <f>EL176+'EXTRALABORAL B '!BH359</f>
        <v>0</v>
      </c>
      <c r="FN176" s="74">
        <f t="shared" si="363"/>
        <v>0</v>
      </c>
    </row>
    <row r="177" spans="1:170">
      <c r="A177" s="3">
        <v>174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3">
        <f t="shared" si="321"/>
        <v>0</v>
      </c>
      <c r="DP177" s="3">
        <f t="shared" si="322"/>
        <v>0</v>
      </c>
      <c r="DQ177" s="3">
        <f t="shared" si="323"/>
        <v>0</v>
      </c>
      <c r="DR177" s="3" t="s">
        <v>69</v>
      </c>
      <c r="DS177" s="3">
        <f t="shared" si="324"/>
        <v>0</v>
      </c>
      <c r="DT177" s="3">
        <f t="shared" si="325"/>
        <v>0</v>
      </c>
      <c r="DU177" s="3">
        <f t="shared" si="326"/>
        <v>0</v>
      </c>
      <c r="DV177" s="3">
        <f t="shared" si="327"/>
        <v>0</v>
      </c>
      <c r="DW177" s="3">
        <f t="shared" si="328"/>
        <v>0</v>
      </c>
      <c r="DX177" s="3">
        <f t="shared" si="329"/>
        <v>0</v>
      </c>
      <c r="DY177" s="3">
        <f t="shared" si="330"/>
        <v>0</v>
      </c>
      <c r="DZ177" s="3">
        <f t="shared" si="331"/>
        <v>0</v>
      </c>
      <c r="EA177" s="3">
        <f t="shared" si="332"/>
        <v>0</v>
      </c>
      <c r="EB177" s="3" t="s">
        <v>70</v>
      </c>
      <c r="EC177" s="3">
        <f t="shared" si="333"/>
        <v>0</v>
      </c>
      <c r="ED177" s="3" t="s">
        <v>70</v>
      </c>
      <c r="EE177" s="3">
        <f t="shared" si="334"/>
        <v>0</v>
      </c>
      <c r="EF177" s="3">
        <f t="shared" si="335"/>
        <v>0</v>
      </c>
      <c r="EG177" s="3">
        <f t="shared" si="336"/>
        <v>0</v>
      </c>
      <c r="EH177" s="3">
        <f t="shared" si="337"/>
        <v>0</v>
      </c>
      <c r="EI177" s="3">
        <f t="shared" si="338"/>
        <v>0</v>
      </c>
      <c r="EJ177" s="3">
        <f t="shared" si="339"/>
        <v>0</v>
      </c>
      <c r="EK177" s="3">
        <f t="shared" si="340"/>
        <v>0</v>
      </c>
      <c r="EL177" s="24">
        <f t="shared" si="341"/>
        <v>0</v>
      </c>
      <c r="EM177" s="24"/>
      <c r="EN177" s="46">
        <f t="shared" si="342"/>
        <v>0</v>
      </c>
      <c r="EO177" s="46">
        <f t="shared" si="343"/>
        <v>0</v>
      </c>
      <c r="EP177" s="47">
        <f t="shared" si="344"/>
        <v>0</v>
      </c>
      <c r="EQ177" s="3" t="s">
        <v>69</v>
      </c>
      <c r="ER177" s="3">
        <f t="shared" si="345"/>
        <v>0</v>
      </c>
      <c r="ES177" s="3">
        <f t="shared" si="346"/>
        <v>0</v>
      </c>
      <c r="ET177" s="46">
        <f t="shared" si="347"/>
        <v>0</v>
      </c>
      <c r="EU177" s="46">
        <f t="shared" si="348"/>
        <v>0</v>
      </c>
      <c r="EV177" s="46">
        <f t="shared" si="349"/>
        <v>0</v>
      </c>
      <c r="EW177" s="46">
        <f t="shared" si="350"/>
        <v>0</v>
      </c>
      <c r="EX177" s="46">
        <f t="shared" si="351"/>
        <v>0</v>
      </c>
      <c r="EY177" s="46">
        <f t="shared" si="352"/>
        <v>0</v>
      </c>
      <c r="EZ177" s="3">
        <f t="shared" si="353"/>
        <v>0</v>
      </c>
      <c r="FA177" s="3" t="s">
        <v>70</v>
      </c>
      <c r="FB177" s="3">
        <f t="shared" si="354"/>
        <v>0</v>
      </c>
      <c r="FC177" s="3" t="s">
        <v>70</v>
      </c>
      <c r="FD177" s="46">
        <f t="shared" si="355"/>
        <v>0</v>
      </c>
      <c r="FE177" s="46">
        <f t="shared" si="356"/>
        <v>0</v>
      </c>
      <c r="FF177" s="46">
        <f t="shared" si="357"/>
        <v>0</v>
      </c>
      <c r="FG177" s="46">
        <f t="shared" si="358"/>
        <v>0</v>
      </c>
      <c r="FH177" s="46">
        <f t="shared" si="359"/>
        <v>0</v>
      </c>
      <c r="FI177" s="46">
        <f t="shared" si="360"/>
        <v>0</v>
      </c>
      <c r="FJ177" s="3">
        <f t="shared" si="361"/>
        <v>0</v>
      </c>
      <c r="FK177" s="46">
        <f t="shared" si="362"/>
        <v>0</v>
      </c>
      <c r="FM177" s="74">
        <f>EL177+'EXTRALABORAL B '!BH360</f>
        <v>0</v>
      </c>
      <c r="FN177" s="74">
        <f t="shared" si="363"/>
        <v>0</v>
      </c>
    </row>
    <row r="178" spans="1:170">
      <c r="A178" s="3">
        <v>175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3">
        <f t="shared" si="321"/>
        <v>0</v>
      </c>
      <c r="DP178" s="3">
        <f t="shared" si="322"/>
        <v>0</v>
      </c>
      <c r="DQ178" s="3">
        <f t="shared" si="323"/>
        <v>0</v>
      </c>
      <c r="DR178" s="3" t="s">
        <v>69</v>
      </c>
      <c r="DS178" s="3">
        <f t="shared" si="324"/>
        <v>0</v>
      </c>
      <c r="DT178" s="3">
        <f t="shared" si="325"/>
        <v>0</v>
      </c>
      <c r="DU178" s="3">
        <f t="shared" si="326"/>
        <v>0</v>
      </c>
      <c r="DV178" s="3">
        <f t="shared" si="327"/>
        <v>0</v>
      </c>
      <c r="DW178" s="3">
        <f t="shared" si="328"/>
        <v>0</v>
      </c>
      <c r="DX178" s="3">
        <f t="shared" si="329"/>
        <v>0</v>
      </c>
      <c r="DY178" s="3">
        <f t="shared" si="330"/>
        <v>0</v>
      </c>
      <c r="DZ178" s="3">
        <f t="shared" si="331"/>
        <v>0</v>
      </c>
      <c r="EA178" s="3">
        <f t="shared" si="332"/>
        <v>0</v>
      </c>
      <c r="EB178" s="3" t="s">
        <v>70</v>
      </c>
      <c r="EC178" s="3">
        <f t="shared" si="333"/>
        <v>0</v>
      </c>
      <c r="ED178" s="3" t="s">
        <v>70</v>
      </c>
      <c r="EE178" s="3">
        <f t="shared" si="334"/>
        <v>0</v>
      </c>
      <c r="EF178" s="3">
        <f t="shared" si="335"/>
        <v>0</v>
      </c>
      <c r="EG178" s="3">
        <f t="shared" si="336"/>
        <v>0</v>
      </c>
      <c r="EH178" s="3">
        <f t="shared" si="337"/>
        <v>0</v>
      </c>
      <c r="EI178" s="3">
        <f t="shared" si="338"/>
        <v>0</v>
      </c>
      <c r="EJ178" s="3">
        <f t="shared" si="339"/>
        <v>0</v>
      </c>
      <c r="EK178" s="3">
        <f t="shared" si="340"/>
        <v>0</v>
      </c>
      <c r="EL178" s="24">
        <f t="shared" si="341"/>
        <v>0</v>
      </c>
      <c r="EM178" s="24"/>
      <c r="EN178" s="46">
        <f t="shared" si="342"/>
        <v>0</v>
      </c>
      <c r="EO178" s="46">
        <f t="shared" si="343"/>
        <v>0</v>
      </c>
      <c r="EP178" s="47">
        <f t="shared" si="344"/>
        <v>0</v>
      </c>
      <c r="EQ178" s="3" t="s">
        <v>69</v>
      </c>
      <c r="ER178" s="3">
        <f t="shared" si="345"/>
        <v>0</v>
      </c>
      <c r="ES178" s="3">
        <f t="shared" si="346"/>
        <v>0</v>
      </c>
      <c r="ET178" s="46">
        <f t="shared" si="347"/>
        <v>0</v>
      </c>
      <c r="EU178" s="46">
        <f t="shared" si="348"/>
        <v>0</v>
      </c>
      <c r="EV178" s="46">
        <f t="shared" si="349"/>
        <v>0</v>
      </c>
      <c r="EW178" s="46">
        <f t="shared" si="350"/>
        <v>0</v>
      </c>
      <c r="EX178" s="46">
        <f t="shared" si="351"/>
        <v>0</v>
      </c>
      <c r="EY178" s="46">
        <f t="shared" si="352"/>
        <v>0</v>
      </c>
      <c r="EZ178" s="3">
        <f t="shared" si="353"/>
        <v>0</v>
      </c>
      <c r="FA178" s="3" t="s">
        <v>70</v>
      </c>
      <c r="FB178" s="3">
        <f t="shared" si="354"/>
        <v>0</v>
      </c>
      <c r="FC178" s="3" t="s">
        <v>70</v>
      </c>
      <c r="FD178" s="46">
        <f t="shared" si="355"/>
        <v>0</v>
      </c>
      <c r="FE178" s="46">
        <f t="shared" si="356"/>
        <v>0</v>
      </c>
      <c r="FF178" s="46">
        <f t="shared" si="357"/>
        <v>0</v>
      </c>
      <c r="FG178" s="46">
        <f t="shared" si="358"/>
        <v>0</v>
      </c>
      <c r="FH178" s="46">
        <f t="shared" si="359"/>
        <v>0</v>
      </c>
      <c r="FI178" s="46">
        <f t="shared" si="360"/>
        <v>0</v>
      </c>
      <c r="FJ178" s="3">
        <f t="shared" si="361"/>
        <v>0</v>
      </c>
      <c r="FK178" s="46">
        <f t="shared" si="362"/>
        <v>0</v>
      </c>
      <c r="FM178" s="74">
        <f>EL178+'EXTRALABORAL B '!BH361</f>
        <v>0</v>
      </c>
      <c r="FN178" s="74">
        <f t="shared" si="363"/>
        <v>0</v>
      </c>
    </row>
    <row r="179" spans="1:170">
      <c r="A179" s="3">
        <v>176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3">
        <f t="shared" ref="DO179:DO211" si="364">+SUM(BR179:CD179)</f>
        <v>0</v>
      </c>
      <c r="DP179" s="3">
        <f t="shared" ref="DP179:DP211" si="365">+SUM(CE179:CP179)</f>
        <v>0</v>
      </c>
      <c r="DQ179" s="3">
        <f t="shared" ref="DQ179:DQ211" si="366">+SUM(CQ179:CU179)</f>
        <v>0</v>
      </c>
      <c r="DR179" s="3" t="s">
        <v>69</v>
      </c>
      <c r="DS179" s="3">
        <f t="shared" ref="DS179:DS211" si="367">+SUM(BJ179:BN179)</f>
        <v>0</v>
      </c>
      <c r="DT179" s="3">
        <f t="shared" ref="DT179:DT211" si="368">+SUM(BO179:BQ179)</f>
        <v>0</v>
      </c>
      <c r="DU179" s="3">
        <f t="shared" ref="DU179:DU211" si="369">+SUM(BG179:BI179)</f>
        <v>0</v>
      </c>
      <c r="DV179" s="3">
        <f t="shared" ref="DV179:DV211" si="370">+SUM(AX179:BA179)</f>
        <v>0</v>
      </c>
      <c r="DW179" s="3">
        <f t="shared" ref="DW179:DW211" si="371">+SUM(BC179:BE179)</f>
        <v>0</v>
      </c>
      <c r="DX179" s="3">
        <f t="shared" ref="DX179:DX211" si="372">+SUM(V179:AG179)</f>
        <v>0</v>
      </c>
      <c r="DY179" s="3">
        <f t="shared" ref="DY179:DY211" si="373">+SUM(DF179:DN179)</f>
        <v>0</v>
      </c>
      <c r="DZ179" s="3">
        <f t="shared" ref="DZ179:DZ211" si="374">+SUM(AH179:AJ179)</f>
        <v>0</v>
      </c>
      <c r="EA179" s="3">
        <f t="shared" ref="EA179:EA211" si="375">+SUM(AT179:AW179)</f>
        <v>0</v>
      </c>
      <c r="EB179" s="3" t="s">
        <v>70</v>
      </c>
      <c r="EC179" s="3">
        <f t="shared" ref="EC179:EC211" si="376">+SUM(AK179:AO179)</f>
        <v>0</v>
      </c>
      <c r="ED179" s="3" t="s">
        <v>70</v>
      </c>
      <c r="EE179" s="3">
        <f t="shared" ref="EE179:EE211" si="377">+SUM(AP179+AQ179+AR179+AS179+BB179+BF179)</f>
        <v>0</v>
      </c>
      <c r="EF179" s="3">
        <f t="shared" ref="EF179:EF211" si="378">+SUM(DB179:DE179)</f>
        <v>0</v>
      </c>
      <c r="EG179" s="3">
        <f t="shared" ref="EG179:EG211" si="379">+SUM(CV179:DA179)</f>
        <v>0</v>
      </c>
      <c r="EH179" s="3">
        <f t="shared" ref="EH179:EH211" si="380">+SUM(DO179:DQ179)</f>
        <v>0</v>
      </c>
      <c r="EI179" s="3">
        <f t="shared" ref="EI179:EI211" si="381">+SUM(DS179:DW179)</f>
        <v>0</v>
      </c>
      <c r="EJ179" s="3">
        <f t="shared" ref="EJ179:EJ211" si="382">+SUM(DX179:EE179)</f>
        <v>0</v>
      </c>
      <c r="EK179" s="3">
        <f t="shared" ref="EK179:EK211" si="383">+SUM(EF179:EG179)</f>
        <v>0</v>
      </c>
      <c r="EL179" s="24">
        <f t="shared" ref="EL179:EL211" si="384">+SUM(EH179:EK179)</f>
        <v>0</v>
      </c>
      <c r="EM179" s="24"/>
      <c r="EN179" s="46">
        <f t="shared" ref="EN179:EN211" si="385">+SUM(DO179/52)*100</f>
        <v>0</v>
      </c>
      <c r="EO179" s="46">
        <f t="shared" ref="EO179:EO211" si="386">+SUM(DP179/48)*100</f>
        <v>0</v>
      </c>
      <c r="EP179" s="47">
        <f t="shared" ref="EP179:EP211" si="387">+SUM(DQ179/20)*100</f>
        <v>0</v>
      </c>
      <c r="EQ179" s="3" t="s">
        <v>69</v>
      </c>
      <c r="ER179" s="3">
        <f t="shared" ref="ER179:ER211" si="388">+SUM(DS179/20)*100</f>
        <v>0</v>
      </c>
      <c r="ES179" s="3">
        <f t="shared" ref="ES179:ES211" si="389">+SUM(DT179/12)*100</f>
        <v>0</v>
      </c>
      <c r="ET179" s="46">
        <f t="shared" ref="ET179:ET211" si="390">+SUM(DU179/12)*100</f>
        <v>0</v>
      </c>
      <c r="EU179" s="46">
        <f t="shared" ref="EU179:EU211" si="391">+SUM(DV179/16)*100</f>
        <v>0</v>
      </c>
      <c r="EV179" s="46">
        <f t="shared" ref="EV179:EV211" si="392">+SUM(DW179/12)*100</f>
        <v>0</v>
      </c>
      <c r="EW179" s="46">
        <f t="shared" ref="EW179:EW211" si="393">+SUM(DX179/48)*100</f>
        <v>0</v>
      </c>
      <c r="EX179" s="46">
        <f t="shared" ref="EX179:EX211" si="394">+SUM(DY179/36)*100</f>
        <v>0</v>
      </c>
      <c r="EY179" s="46">
        <f t="shared" ref="EY179:EY211" si="395">+SUM(DZ179/12)*100</f>
        <v>0</v>
      </c>
      <c r="EZ179" s="3">
        <f t="shared" ref="EZ179:EZ211" si="396">+SUM(EA179/16)*100</f>
        <v>0</v>
      </c>
      <c r="FA179" s="3" t="s">
        <v>70</v>
      </c>
      <c r="FB179" s="3">
        <f t="shared" ref="FB179:FB211" si="397">+SUM(EC179/20)*100</f>
        <v>0</v>
      </c>
      <c r="FC179" s="3" t="s">
        <v>70</v>
      </c>
      <c r="FD179" s="46">
        <f t="shared" ref="FD179:FD211" si="398">+SUM(EE179/24)*100</f>
        <v>0</v>
      </c>
      <c r="FE179" s="46">
        <f t="shared" ref="FE179:FE211" si="399">+SUM(EF179/16)*100</f>
        <v>0</v>
      </c>
      <c r="FF179" s="46">
        <f t="shared" ref="FF179:FF211" si="400">+SUM(EG179/24)*100</f>
        <v>0</v>
      </c>
      <c r="FG179" s="46">
        <f t="shared" ref="FG179:FG211" si="401">+SUM(EH179/120)*100</f>
        <v>0</v>
      </c>
      <c r="FH179" s="46">
        <f t="shared" ref="FH179:FH211" si="402">+SUM(EI179/72)*100</f>
        <v>0</v>
      </c>
      <c r="FI179" s="46">
        <f t="shared" ref="FI179:FI211" si="403">+SUM(EJ179/156)*100</f>
        <v>0</v>
      </c>
      <c r="FJ179" s="3">
        <f t="shared" ref="FJ179:FJ211" si="404">+SUM(EK179/40)*100</f>
        <v>0</v>
      </c>
      <c r="FK179" s="46">
        <f t="shared" ref="FK179:FK211" si="405">+SUM(EL179/388)*100</f>
        <v>0</v>
      </c>
      <c r="FM179" s="74">
        <f>EL179+'EXTRALABORAL B '!BH362</f>
        <v>0</v>
      </c>
      <c r="FN179" s="74">
        <f t="shared" ref="FN179:FN211" si="406">+(FM179/512)*100</f>
        <v>0</v>
      </c>
    </row>
    <row r="180" spans="1:170">
      <c r="A180" s="3">
        <v>177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3">
        <f t="shared" si="364"/>
        <v>0</v>
      </c>
      <c r="DP180" s="3">
        <f t="shared" si="365"/>
        <v>0</v>
      </c>
      <c r="DQ180" s="3">
        <f t="shared" si="366"/>
        <v>0</v>
      </c>
      <c r="DR180" s="3" t="s">
        <v>69</v>
      </c>
      <c r="DS180" s="3">
        <f t="shared" si="367"/>
        <v>0</v>
      </c>
      <c r="DT180" s="3">
        <f t="shared" si="368"/>
        <v>0</v>
      </c>
      <c r="DU180" s="3">
        <f t="shared" si="369"/>
        <v>0</v>
      </c>
      <c r="DV180" s="3">
        <f t="shared" si="370"/>
        <v>0</v>
      </c>
      <c r="DW180" s="3">
        <f t="shared" si="371"/>
        <v>0</v>
      </c>
      <c r="DX180" s="3">
        <f t="shared" si="372"/>
        <v>0</v>
      </c>
      <c r="DY180" s="3">
        <f t="shared" si="373"/>
        <v>0</v>
      </c>
      <c r="DZ180" s="3">
        <f t="shared" si="374"/>
        <v>0</v>
      </c>
      <c r="EA180" s="3">
        <f t="shared" si="375"/>
        <v>0</v>
      </c>
      <c r="EB180" s="3" t="s">
        <v>70</v>
      </c>
      <c r="EC180" s="3">
        <f t="shared" si="376"/>
        <v>0</v>
      </c>
      <c r="ED180" s="3" t="s">
        <v>70</v>
      </c>
      <c r="EE180" s="3">
        <f t="shared" si="377"/>
        <v>0</v>
      </c>
      <c r="EF180" s="3">
        <f t="shared" si="378"/>
        <v>0</v>
      </c>
      <c r="EG180" s="3">
        <f t="shared" si="379"/>
        <v>0</v>
      </c>
      <c r="EH180" s="3">
        <f t="shared" si="380"/>
        <v>0</v>
      </c>
      <c r="EI180" s="3">
        <f t="shared" si="381"/>
        <v>0</v>
      </c>
      <c r="EJ180" s="3">
        <f t="shared" si="382"/>
        <v>0</v>
      </c>
      <c r="EK180" s="3">
        <f t="shared" si="383"/>
        <v>0</v>
      </c>
      <c r="EL180" s="24">
        <f t="shared" si="384"/>
        <v>0</v>
      </c>
      <c r="EM180" s="24"/>
      <c r="EN180" s="46">
        <f t="shared" si="385"/>
        <v>0</v>
      </c>
      <c r="EO180" s="46">
        <f t="shared" si="386"/>
        <v>0</v>
      </c>
      <c r="EP180" s="47">
        <f t="shared" si="387"/>
        <v>0</v>
      </c>
      <c r="EQ180" s="3" t="s">
        <v>69</v>
      </c>
      <c r="ER180" s="3">
        <f t="shared" si="388"/>
        <v>0</v>
      </c>
      <c r="ES180" s="3">
        <f t="shared" si="389"/>
        <v>0</v>
      </c>
      <c r="ET180" s="46">
        <f t="shared" si="390"/>
        <v>0</v>
      </c>
      <c r="EU180" s="46">
        <f t="shared" si="391"/>
        <v>0</v>
      </c>
      <c r="EV180" s="46">
        <f t="shared" si="392"/>
        <v>0</v>
      </c>
      <c r="EW180" s="46">
        <f t="shared" si="393"/>
        <v>0</v>
      </c>
      <c r="EX180" s="46">
        <f t="shared" si="394"/>
        <v>0</v>
      </c>
      <c r="EY180" s="46">
        <f t="shared" si="395"/>
        <v>0</v>
      </c>
      <c r="EZ180" s="3">
        <f t="shared" si="396"/>
        <v>0</v>
      </c>
      <c r="FA180" s="3" t="s">
        <v>70</v>
      </c>
      <c r="FB180" s="3">
        <f t="shared" si="397"/>
        <v>0</v>
      </c>
      <c r="FC180" s="3" t="s">
        <v>70</v>
      </c>
      <c r="FD180" s="46">
        <f t="shared" si="398"/>
        <v>0</v>
      </c>
      <c r="FE180" s="46">
        <f t="shared" si="399"/>
        <v>0</v>
      </c>
      <c r="FF180" s="46">
        <f t="shared" si="400"/>
        <v>0</v>
      </c>
      <c r="FG180" s="46">
        <f t="shared" si="401"/>
        <v>0</v>
      </c>
      <c r="FH180" s="46">
        <f t="shared" si="402"/>
        <v>0</v>
      </c>
      <c r="FI180" s="46">
        <f t="shared" si="403"/>
        <v>0</v>
      </c>
      <c r="FJ180" s="3">
        <f t="shared" si="404"/>
        <v>0</v>
      </c>
      <c r="FK180" s="46">
        <f t="shared" si="405"/>
        <v>0</v>
      </c>
      <c r="FM180" s="74">
        <f>EL180+'EXTRALABORAL B '!BH363</f>
        <v>0</v>
      </c>
      <c r="FN180" s="74">
        <f t="shared" si="406"/>
        <v>0</v>
      </c>
    </row>
    <row r="181" spans="1:170">
      <c r="A181" s="3">
        <v>178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3">
        <f t="shared" si="364"/>
        <v>0</v>
      </c>
      <c r="DP181" s="3">
        <f t="shared" si="365"/>
        <v>0</v>
      </c>
      <c r="DQ181" s="3">
        <f t="shared" si="366"/>
        <v>0</v>
      </c>
      <c r="DR181" s="3" t="s">
        <v>69</v>
      </c>
      <c r="DS181" s="3">
        <f t="shared" si="367"/>
        <v>0</v>
      </c>
      <c r="DT181" s="3">
        <f t="shared" si="368"/>
        <v>0</v>
      </c>
      <c r="DU181" s="3">
        <f t="shared" si="369"/>
        <v>0</v>
      </c>
      <c r="DV181" s="3">
        <f t="shared" si="370"/>
        <v>0</v>
      </c>
      <c r="DW181" s="3">
        <f t="shared" si="371"/>
        <v>0</v>
      </c>
      <c r="DX181" s="3">
        <f t="shared" si="372"/>
        <v>0</v>
      </c>
      <c r="DY181" s="3">
        <f t="shared" si="373"/>
        <v>0</v>
      </c>
      <c r="DZ181" s="3">
        <f t="shared" si="374"/>
        <v>0</v>
      </c>
      <c r="EA181" s="3">
        <f t="shared" si="375"/>
        <v>0</v>
      </c>
      <c r="EB181" s="3" t="s">
        <v>70</v>
      </c>
      <c r="EC181" s="3">
        <f t="shared" si="376"/>
        <v>0</v>
      </c>
      <c r="ED181" s="3" t="s">
        <v>70</v>
      </c>
      <c r="EE181" s="3">
        <f t="shared" si="377"/>
        <v>0</v>
      </c>
      <c r="EF181" s="3">
        <f t="shared" si="378"/>
        <v>0</v>
      </c>
      <c r="EG181" s="3">
        <f t="shared" si="379"/>
        <v>0</v>
      </c>
      <c r="EH181" s="3">
        <f t="shared" si="380"/>
        <v>0</v>
      </c>
      <c r="EI181" s="3">
        <f t="shared" si="381"/>
        <v>0</v>
      </c>
      <c r="EJ181" s="3">
        <f t="shared" si="382"/>
        <v>0</v>
      </c>
      <c r="EK181" s="3">
        <f t="shared" si="383"/>
        <v>0</v>
      </c>
      <c r="EL181" s="24">
        <f t="shared" si="384"/>
        <v>0</v>
      </c>
      <c r="EM181" s="24"/>
      <c r="EN181" s="46">
        <f t="shared" si="385"/>
        <v>0</v>
      </c>
      <c r="EO181" s="46">
        <f t="shared" si="386"/>
        <v>0</v>
      </c>
      <c r="EP181" s="47">
        <f t="shared" si="387"/>
        <v>0</v>
      </c>
      <c r="EQ181" s="3" t="s">
        <v>69</v>
      </c>
      <c r="ER181" s="3">
        <f t="shared" si="388"/>
        <v>0</v>
      </c>
      <c r="ES181" s="3">
        <f t="shared" si="389"/>
        <v>0</v>
      </c>
      <c r="ET181" s="46">
        <f t="shared" si="390"/>
        <v>0</v>
      </c>
      <c r="EU181" s="46">
        <f t="shared" si="391"/>
        <v>0</v>
      </c>
      <c r="EV181" s="46">
        <f t="shared" si="392"/>
        <v>0</v>
      </c>
      <c r="EW181" s="46">
        <f t="shared" si="393"/>
        <v>0</v>
      </c>
      <c r="EX181" s="46">
        <f t="shared" si="394"/>
        <v>0</v>
      </c>
      <c r="EY181" s="46">
        <f t="shared" si="395"/>
        <v>0</v>
      </c>
      <c r="EZ181" s="3">
        <f t="shared" si="396"/>
        <v>0</v>
      </c>
      <c r="FA181" s="3" t="s">
        <v>70</v>
      </c>
      <c r="FB181" s="3">
        <f t="shared" si="397"/>
        <v>0</v>
      </c>
      <c r="FC181" s="3" t="s">
        <v>70</v>
      </c>
      <c r="FD181" s="46">
        <f t="shared" si="398"/>
        <v>0</v>
      </c>
      <c r="FE181" s="46">
        <f t="shared" si="399"/>
        <v>0</v>
      </c>
      <c r="FF181" s="46">
        <f t="shared" si="400"/>
        <v>0</v>
      </c>
      <c r="FG181" s="46">
        <f t="shared" si="401"/>
        <v>0</v>
      </c>
      <c r="FH181" s="46">
        <f t="shared" si="402"/>
        <v>0</v>
      </c>
      <c r="FI181" s="46">
        <f t="shared" si="403"/>
        <v>0</v>
      </c>
      <c r="FJ181" s="3">
        <f t="shared" si="404"/>
        <v>0</v>
      </c>
      <c r="FK181" s="46">
        <f t="shared" si="405"/>
        <v>0</v>
      </c>
      <c r="FM181" s="74">
        <f>EL181+'EXTRALABORAL B '!BH364</f>
        <v>0</v>
      </c>
      <c r="FN181" s="74">
        <f t="shared" si="406"/>
        <v>0</v>
      </c>
    </row>
    <row r="182" spans="1:170">
      <c r="A182" s="3">
        <v>179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3">
        <f t="shared" si="364"/>
        <v>0</v>
      </c>
      <c r="DP182" s="3">
        <f t="shared" si="365"/>
        <v>0</v>
      </c>
      <c r="DQ182" s="3">
        <f t="shared" si="366"/>
        <v>0</v>
      </c>
      <c r="DR182" s="3" t="s">
        <v>69</v>
      </c>
      <c r="DS182" s="3">
        <f t="shared" si="367"/>
        <v>0</v>
      </c>
      <c r="DT182" s="3">
        <f t="shared" si="368"/>
        <v>0</v>
      </c>
      <c r="DU182" s="3">
        <f t="shared" si="369"/>
        <v>0</v>
      </c>
      <c r="DV182" s="3">
        <f t="shared" si="370"/>
        <v>0</v>
      </c>
      <c r="DW182" s="3">
        <f t="shared" si="371"/>
        <v>0</v>
      </c>
      <c r="DX182" s="3">
        <f t="shared" si="372"/>
        <v>0</v>
      </c>
      <c r="DY182" s="3">
        <f t="shared" si="373"/>
        <v>0</v>
      </c>
      <c r="DZ182" s="3">
        <f t="shared" si="374"/>
        <v>0</v>
      </c>
      <c r="EA182" s="3">
        <f t="shared" si="375"/>
        <v>0</v>
      </c>
      <c r="EB182" s="3" t="s">
        <v>70</v>
      </c>
      <c r="EC182" s="3">
        <f t="shared" si="376"/>
        <v>0</v>
      </c>
      <c r="ED182" s="3" t="s">
        <v>70</v>
      </c>
      <c r="EE182" s="3">
        <f t="shared" si="377"/>
        <v>0</v>
      </c>
      <c r="EF182" s="3">
        <f t="shared" si="378"/>
        <v>0</v>
      </c>
      <c r="EG182" s="3">
        <f t="shared" si="379"/>
        <v>0</v>
      </c>
      <c r="EH182" s="3">
        <f t="shared" si="380"/>
        <v>0</v>
      </c>
      <c r="EI182" s="3">
        <f t="shared" si="381"/>
        <v>0</v>
      </c>
      <c r="EJ182" s="3">
        <f t="shared" si="382"/>
        <v>0</v>
      </c>
      <c r="EK182" s="3">
        <f t="shared" si="383"/>
        <v>0</v>
      </c>
      <c r="EL182" s="24">
        <f t="shared" si="384"/>
        <v>0</v>
      </c>
      <c r="EM182" s="24"/>
      <c r="EN182" s="46">
        <f t="shared" si="385"/>
        <v>0</v>
      </c>
      <c r="EO182" s="46">
        <f t="shared" si="386"/>
        <v>0</v>
      </c>
      <c r="EP182" s="47">
        <f t="shared" si="387"/>
        <v>0</v>
      </c>
      <c r="EQ182" s="3" t="s">
        <v>69</v>
      </c>
      <c r="ER182" s="3">
        <f t="shared" si="388"/>
        <v>0</v>
      </c>
      <c r="ES182" s="3">
        <f t="shared" si="389"/>
        <v>0</v>
      </c>
      <c r="ET182" s="46">
        <f t="shared" si="390"/>
        <v>0</v>
      </c>
      <c r="EU182" s="46">
        <f t="shared" si="391"/>
        <v>0</v>
      </c>
      <c r="EV182" s="46">
        <f t="shared" si="392"/>
        <v>0</v>
      </c>
      <c r="EW182" s="46">
        <f t="shared" si="393"/>
        <v>0</v>
      </c>
      <c r="EX182" s="46">
        <f t="shared" si="394"/>
        <v>0</v>
      </c>
      <c r="EY182" s="46">
        <f t="shared" si="395"/>
        <v>0</v>
      </c>
      <c r="EZ182" s="3">
        <f t="shared" si="396"/>
        <v>0</v>
      </c>
      <c r="FA182" s="3" t="s">
        <v>70</v>
      </c>
      <c r="FB182" s="3">
        <f t="shared" si="397"/>
        <v>0</v>
      </c>
      <c r="FC182" s="3" t="s">
        <v>70</v>
      </c>
      <c r="FD182" s="46">
        <f t="shared" si="398"/>
        <v>0</v>
      </c>
      <c r="FE182" s="46">
        <f t="shared" si="399"/>
        <v>0</v>
      </c>
      <c r="FF182" s="46">
        <f t="shared" si="400"/>
        <v>0</v>
      </c>
      <c r="FG182" s="46">
        <f t="shared" si="401"/>
        <v>0</v>
      </c>
      <c r="FH182" s="46">
        <f t="shared" si="402"/>
        <v>0</v>
      </c>
      <c r="FI182" s="46">
        <f t="shared" si="403"/>
        <v>0</v>
      </c>
      <c r="FJ182" s="3">
        <f t="shared" si="404"/>
        <v>0</v>
      </c>
      <c r="FK182" s="46">
        <f t="shared" si="405"/>
        <v>0</v>
      </c>
      <c r="FM182" s="74">
        <f>EL182+'EXTRALABORAL B '!BH365</f>
        <v>0</v>
      </c>
      <c r="FN182" s="74">
        <f t="shared" si="406"/>
        <v>0</v>
      </c>
    </row>
    <row r="183" spans="1:170">
      <c r="A183" s="3">
        <v>180</v>
      </c>
      <c r="B183" s="3"/>
      <c r="C183" s="3"/>
      <c r="D183" s="3"/>
      <c r="E183" s="90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3">
        <f t="shared" si="364"/>
        <v>0</v>
      </c>
      <c r="DP183" s="3">
        <f t="shared" si="365"/>
        <v>0</v>
      </c>
      <c r="DQ183" s="3">
        <f t="shared" si="366"/>
        <v>0</v>
      </c>
      <c r="DR183" s="3" t="s">
        <v>69</v>
      </c>
      <c r="DS183" s="3">
        <f t="shared" si="367"/>
        <v>0</v>
      </c>
      <c r="DT183" s="3">
        <f t="shared" si="368"/>
        <v>0</v>
      </c>
      <c r="DU183" s="3">
        <f t="shared" si="369"/>
        <v>0</v>
      </c>
      <c r="DV183" s="3">
        <f t="shared" si="370"/>
        <v>0</v>
      </c>
      <c r="DW183" s="3">
        <f t="shared" si="371"/>
        <v>0</v>
      </c>
      <c r="DX183" s="3">
        <f t="shared" si="372"/>
        <v>0</v>
      </c>
      <c r="DY183" s="3">
        <f t="shared" si="373"/>
        <v>0</v>
      </c>
      <c r="DZ183" s="3">
        <f t="shared" si="374"/>
        <v>0</v>
      </c>
      <c r="EA183" s="3">
        <f t="shared" si="375"/>
        <v>0</v>
      </c>
      <c r="EB183" s="3" t="s">
        <v>70</v>
      </c>
      <c r="EC183" s="3">
        <f t="shared" si="376"/>
        <v>0</v>
      </c>
      <c r="ED183" s="3" t="s">
        <v>70</v>
      </c>
      <c r="EE183" s="3">
        <f t="shared" si="377"/>
        <v>0</v>
      </c>
      <c r="EF183" s="3">
        <f t="shared" si="378"/>
        <v>0</v>
      </c>
      <c r="EG183" s="3">
        <f t="shared" si="379"/>
        <v>0</v>
      </c>
      <c r="EH183" s="3">
        <f t="shared" si="380"/>
        <v>0</v>
      </c>
      <c r="EI183" s="3">
        <f t="shared" si="381"/>
        <v>0</v>
      </c>
      <c r="EJ183" s="3">
        <f t="shared" si="382"/>
        <v>0</v>
      </c>
      <c r="EK183" s="3">
        <f t="shared" si="383"/>
        <v>0</v>
      </c>
      <c r="EL183" s="24">
        <f t="shared" si="384"/>
        <v>0</v>
      </c>
      <c r="EM183" s="24"/>
      <c r="EN183" s="46">
        <f t="shared" si="385"/>
        <v>0</v>
      </c>
      <c r="EO183" s="46">
        <f t="shared" si="386"/>
        <v>0</v>
      </c>
      <c r="EP183" s="47">
        <f t="shared" si="387"/>
        <v>0</v>
      </c>
      <c r="EQ183" s="3" t="s">
        <v>69</v>
      </c>
      <c r="ER183" s="3">
        <f t="shared" si="388"/>
        <v>0</v>
      </c>
      <c r="ES183" s="3">
        <f t="shared" si="389"/>
        <v>0</v>
      </c>
      <c r="ET183" s="46">
        <f t="shared" si="390"/>
        <v>0</v>
      </c>
      <c r="EU183" s="46">
        <f t="shared" si="391"/>
        <v>0</v>
      </c>
      <c r="EV183" s="46">
        <f t="shared" si="392"/>
        <v>0</v>
      </c>
      <c r="EW183" s="46">
        <f t="shared" si="393"/>
        <v>0</v>
      </c>
      <c r="EX183" s="46">
        <f t="shared" si="394"/>
        <v>0</v>
      </c>
      <c r="EY183" s="46">
        <f t="shared" si="395"/>
        <v>0</v>
      </c>
      <c r="EZ183" s="3">
        <f t="shared" si="396"/>
        <v>0</v>
      </c>
      <c r="FA183" s="3" t="s">
        <v>70</v>
      </c>
      <c r="FB183" s="3">
        <f t="shared" si="397"/>
        <v>0</v>
      </c>
      <c r="FC183" s="3" t="s">
        <v>70</v>
      </c>
      <c r="FD183" s="46">
        <f t="shared" si="398"/>
        <v>0</v>
      </c>
      <c r="FE183" s="46">
        <f t="shared" si="399"/>
        <v>0</v>
      </c>
      <c r="FF183" s="46">
        <f t="shared" si="400"/>
        <v>0</v>
      </c>
      <c r="FG183" s="46">
        <f t="shared" si="401"/>
        <v>0</v>
      </c>
      <c r="FH183" s="46">
        <f t="shared" si="402"/>
        <v>0</v>
      </c>
      <c r="FI183" s="46">
        <f t="shared" si="403"/>
        <v>0</v>
      </c>
      <c r="FJ183" s="3">
        <f t="shared" si="404"/>
        <v>0</v>
      </c>
      <c r="FK183" s="46">
        <f t="shared" si="405"/>
        <v>0</v>
      </c>
      <c r="FM183" s="74">
        <f>EL183+'EXTRALABORAL B '!BH366</f>
        <v>0</v>
      </c>
      <c r="FN183" s="74">
        <f t="shared" si="406"/>
        <v>0</v>
      </c>
    </row>
    <row r="184" spans="1:170">
      <c r="A184" s="3">
        <v>181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3">
        <f t="shared" si="364"/>
        <v>0</v>
      </c>
      <c r="DP184" s="3">
        <f t="shared" si="365"/>
        <v>0</v>
      </c>
      <c r="DQ184" s="3">
        <f t="shared" si="366"/>
        <v>0</v>
      </c>
      <c r="DR184" s="3" t="s">
        <v>69</v>
      </c>
      <c r="DS184" s="3">
        <f t="shared" si="367"/>
        <v>0</v>
      </c>
      <c r="DT184" s="3">
        <f t="shared" si="368"/>
        <v>0</v>
      </c>
      <c r="DU184" s="3">
        <f t="shared" si="369"/>
        <v>0</v>
      </c>
      <c r="DV184" s="3">
        <f t="shared" si="370"/>
        <v>0</v>
      </c>
      <c r="DW184" s="3">
        <f t="shared" si="371"/>
        <v>0</v>
      </c>
      <c r="DX184" s="3">
        <f t="shared" si="372"/>
        <v>0</v>
      </c>
      <c r="DY184" s="3">
        <f t="shared" si="373"/>
        <v>0</v>
      </c>
      <c r="DZ184" s="3">
        <f t="shared" si="374"/>
        <v>0</v>
      </c>
      <c r="EA184" s="3">
        <f t="shared" si="375"/>
        <v>0</v>
      </c>
      <c r="EB184" s="3" t="s">
        <v>70</v>
      </c>
      <c r="EC184" s="3">
        <f t="shared" si="376"/>
        <v>0</v>
      </c>
      <c r="ED184" s="3" t="s">
        <v>70</v>
      </c>
      <c r="EE184" s="3">
        <f t="shared" si="377"/>
        <v>0</v>
      </c>
      <c r="EF184" s="3">
        <f t="shared" si="378"/>
        <v>0</v>
      </c>
      <c r="EG184" s="3">
        <f t="shared" si="379"/>
        <v>0</v>
      </c>
      <c r="EH184" s="3">
        <f t="shared" si="380"/>
        <v>0</v>
      </c>
      <c r="EI184" s="3">
        <f t="shared" si="381"/>
        <v>0</v>
      </c>
      <c r="EJ184" s="3">
        <f t="shared" si="382"/>
        <v>0</v>
      </c>
      <c r="EK184" s="3">
        <f t="shared" si="383"/>
        <v>0</v>
      </c>
      <c r="EL184" s="24">
        <f t="shared" si="384"/>
        <v>0</v>
      </c>
      <c r="EM184" s="24"/>
      <c r="EN184" s="46">
        <f t="shared" si="385"/>
        <v>0</v>
      </c>
      <c r="EO184" s="46">
        <f t="shared" si="386"/>
        <v>0</v>
      </c>
      <c r="EP184" s="47">
        <f t="shared" si="387"/>
        <v>0</v>
      </c>
      <c r="EQ184" s="3" t="s">
        <v>69</v>
      </c>
      <c r="ER184" s="3">
        <f t="shared" si="388"/>
        <v>0</v>
      </c>
      <c r="ES184" s="3">
        <f t="shared" si="389"/>
        <v>0</v>
      </c>
      <c r="ET184" s="46">
        <f t="shared" si="390"/>
        <v>0</v>
      </c>
      <c r="EU184" s="46">
        <f t="shared" si="391"/>
        <v>0</v>
      </c>
      <c r="EV184" s="46">
        <f t="shared" si="392"/>
        <v>0</v>
      </c>
      <c r="EW184" s="46">
        <f t="shared" si="393"/>
        <v>0</v>
      </c>
      <c r="EX184" s="46">
        <f t="shared" si="394"/>
        <v>0</v>
      </c>
      <c r="EY184" s="46">
        <f t="shared" si="395"/>
        <v>0</v>
      </c>
      <c r="EZ184" s="3">
        <f t="shared" si="396"/>
        <v>0</v>
      </c>
      <c r="FA184" s="3" t="s">
        <v>70</v>
      </c>
      <c r="FB184" s="3">
        <f t="shared" si="397"/>
        <v>0</v>
      </c>
      <c r="FC184" s="3" t="s">
        <v>70</v>
      </c>
      <c r="FD184" s="46">
        <f t="shared" si="398"/>
        <v>0</v>
      </c>
      <c r="FE184" s="46">
        <f t="shared" si="399"/>
        <v>0</v>
      </c>
      <c r="FF184" s="46">
        <f t="shared" si="400"/>
        <v>0</v>
      </c>
      <c r="FG184" s="46">
        <f t="shared" si="401"/>
        <v>0</v>
      </c>
      <c r="FH184" s="46">
        <f t="shared" si="402"/>
        <v>0</v>
      </c>
      <c r="FI184" s="46">
        <f t="shared" si="403"/>
        <v>0</v>
      </c>
      <c r="FJ184" s="3">
        <f t="shared" si="404"/>
        <v>0</v>
      </c>
      <c r="FK184" s="46">
        <f t="shared" si="405"/>
        <v>0</v>
      </c>
      <c r="FM184" s="74">
        <f>EL184+'EXTRALABORAL B '!BH367</f>
        <v>0</v>
      </c>
      <c r="FN184" s="74">
        <f t="shared" si="406"/>
        <v>0</v>
      </c>
    </row>
    <row r="185" spans="1:170">
      <c r="A185" s="3">
        <v>182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90"/>
      <c r="P185" s="3"/>
      <c r="Q185" s="3"/>
      <c r="R185" s="3"/>
      <c r="S185" s="3"/>
      <c r="T185" s="3"/>
      <c r="U185" s="3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3">
        <f t="shared" si="364"/>
        <v>0</v>
      </c>
      <c r="DP185" s="3">
        <f t="shared" si="365"/>
        <v>0</v>
      </c>
      <c r="DQ185" s="3">
        <f t="shared" si="366"/>
        <v>0</v>
      </c>
      <c r="DR185" s="3" t="s">
        <v>69</v>
      </c>
      <c r="DS185" s="3">
        <f t="shared" si="367"/>
        <v>0</v>
      </c>
      <c r="DT185" s="3">
        <f t="shared" si="368"/>
        <v>0</v>
      </c>
      <c r="DU185" s="3">
        <f t="shared" si="369"/>
        <v>0</v>
      </c>
      <c r="DV185" s="3">
        <f t="shared" si="370"/>
        <v>0</v>
      </c>
      <c r="DW185" s="3">
        <f t="shared" si="371"/>
        <v>0</v>
      </c>
      <c r="DX185" s="3">
        <f t="shared" si="372"/>
        <v>0</v>
      </c>
      <c r="DY185" s="3">
        <f t="shared" si="373"/>
        <v>0</v>
      </c>
      <c r="DZ185" s="3">
        <f t="shared" si="374"/>
        <v>0</v>
      </c>
      <c r="EA185" s="3">
        <f t="shared" si="375"/>
        <v>0</v>
      </c>
      <c r="EB185" s="3" t="s">
        <v>70</v>
      </c>
      <c r="EC185" s="3">
        <f t="shared" si="376"/>
        <v>0</v>
      </c>
      <c r="ED185" s="3" t="s">
        <v>70</v>
      </c>
      <c r="EE185" s="3">
        <f t="shared" si="377"/>
        <v>0</v>
      </c>
      <c r="EF185" s="3">
        <f t="shared" si="378"/>
        <v>0</v>
      </c>
      <c r="EG185" s="3">
        <f t="shared" si="379"/>
        <v>0</v>
      </c>
      <c r="EH185" s="3">
        <f t="shared" si="380"/>
        <v>0</v>
      </c>
      <c r="EI185" s="3">
        <f t="shared" si="381"/>
        <v>0</v>
      </c>
      <c r="EJ185" s="3">
        <f t="shared" si="382"/>
        <v>0</v>
      </c>
      <c r="EK185" s="3">
        <f t="shared" si="383"/>
        <v>0</v>
      </c>
      <c r="EL185" s="24">
        <f t="shared" si="384"/>
        <v>0</v>
      </c>
      <c r="EM185" s="24"/>
      <c r="EN185" s="46">
        <f t="shared" si="385"/>
        <v>0</v>
      </c>
      <c r="EO185" s="46">
        <f t="shared" si="386"/>
        <v>0</v>
      </c>
      <c r="EP185" s="47">
        <f t="shared" si="387"/>
        <v>0</v>
      </c>
      <c r="EQ185" s="3" t="s">
        <v>69</v>
      </c>
      <c r="ER185" s="3">
        <f t="shared" si="388"/>
        <v>0</v>
      </c>
      <c r="ES185" s="3">
        <f t="shared" si="389"/>
        <v>0</v>
      </c>
      <c r="ET185" s="46">
        <f t="shared" si="390"/>
        <v>0</v>
      </c>
      <c r="EU185" s="46">
        <f t="shared" si="391"/>
        <v>0</v>
      </c>
      <c r="EV185" s="46">
        <f t="shared" si="392"/>
        <v>0</v>
      </c>
      <c r="EW185" s="46">
        <f t="shared" si="393"/>
        <v>0</v>
      </c>
      <c r="EX185" s="46">
        <f t="shared" si="394"/>
        <v>0</v>
      </c>
      <c r="EY185" s="46">
        <f t="shared" si="395"/>
        <v>0</v>
      </c>
      <c r="EZ185" s="3">
        <f t="shared" si="396"/>
        <v>0</v>
      </c>
      <c r="FA185" s="3" t="s">
        <v>70</v>
      </c>
      <c r="FB185" s="3">
        <f t="shared" si="397"/>
        <v>0</v>
      </c>
      <c r="FC185" s="3" t="s">
        <v>70</v>
      </c>
      <c r="FD185" s="46">
        <f t="shared" si="398"/>
        <v>0</v>
      </c>
      <c r="FE185" s="46">
        <f t="shared" si="399"/>
        <v>0</v>
      </c>
      <c r="FF185" s="46">
        <f t="shared" si="400"/>
        <v>0</v>
      </c>
      <c r="FG185" s="46">
        <f t="shared" si="401"/>
        <v>0</v>
      </c>
      <c r="FH185" s="46">
        <f t="shared" si="402"/>
        <v>0</v>
      </c>
      <c r="FI185" s="46">
        <f t="shared" si="403"/>
        <v>0</v>
      </c>
      <c r="FJ185" s="3">
        <f t="shared" si="404"/>
        <v>0</v>
      </c>
      <c r="FK185" s="46">
        <f t="shared" si="405"/>
        <v>0</v>
      </c>
      <c r="FM185" s="74">
        <f>EL185+'EXTRALABORAL B '!BH368</f>
        <v>0</v>
      </c>
      <c r="FN185" s="74">
        <f t="shared" si="406"/>
        <v>0</v>
      </c>
    </row>
    <row r="186" spans="1:170">
      <c r="A186" s="3">
        <v>183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3">
        <f t="shared" si="364"/>
        <v>0</v>
      </c>
      <c r="DP186" s="3">
        <f t="shared" si="365"/>
        <v>0</v>
      </c>
      <c r="DQ186" s="3">
        <f t="shared" si="366"/>
        <v>0</v>
      </c>
      <c r="DR186" s="3" t="s">
        <v>69</v>
      </c>
      <c r="DS186" s="3">
        <f t="shared" si="367"/>
        <v>0</v>
      </c>
      <c r="DT186" s="3">
        <f t="shared" si="368"/>
        <v>0</v>
      </c>
      <c r="DU186" s="3">
        <f t="shared" si="369"/>
        <v>0</v>
      </c>
      <c r="DV186" s="3">
        <f t="shared" si="370"/>
        <v>0</v>
      </c>
      <c r="DW186" s="3">
        <f t="shared" si="371"/>
        <v>0</v>
      </c>
      <c r="DX186" s="3">
        <f t="shared" si="372"/>
        <v>0</v>
      </c>
      <c r="DY186" s="3">
        <f t="shared" si="373"/>
        <v>0</v>
      </c>
      <c r="DZ186" s="3">
        <f t="shared" si="374"/>
        <v>0</v>
      </c>
      <c r="EA186" s="3">
        <f t="shared" si="375"/>
        <v>0</v>
      </c>
      <c r="EB186" s="3" t="s">
        <v>70</v>
      </c>
      <c r="EC186" s="3">
        <f t="shared" si="376"/>
        <v>0</v>
      </c>
      <c r="ED186" s="3" t="s">
        <v>70</v>
      </c>
      <c r="EE186" s="3">
        <f t="shared" si="377"/>
        <v>0</v>
      </c>
      <c r="EF186" s="3">
        <f t="shared" si="378"/>
        <v>0</v>
      </c>
      <c r="EG186" s="3">
        <f t="shared" si="379"/>
        <v>0</v>
      </c>
      <c r="EH186" s="3">
        <f t="shared" si="380"/>
        <v>0</v>
      </c>
      <c r="EI186" s="3">
        <f t="shared" si="381"/>
        <v>0</v>
      </c>
      <c r="EJ186" s="3">
        <f t="shared" si="382"/>
        <v>0</v>
      </c>
      <c r="EK186" s="3">
        <f t="shared" si="383"/>
        <v>0</v>
      </c>
      <c r="EL186" s="24">
        <f t="shared" si="384"/>
        <v>0</v>
      </c>
      <c r="EM186" s="24"/>
      <c r="EN186" s="46">
        <f t="shared" si="385"/>
        <v>0</v>
      </c>
      <c r="EO186" s="46">
        <f t="shared" si="386"/>
        <v>0</v>
      </c>
      <c r="EP186" s="47">
        <f t="shared" si="387"/>
        <v>0</v>
      </c>
      <c r="EQ186" s="3" t="s">
        <v>69</v>
      </c>
      <c r="ER186" s="3">
        <f t="shared" si="388"/>
        <v>0</v>
      </c>
      <c r="ES186" s="3">
        <f t="shared" si="389"/>
        <v>0</v>
      </c>
      <c r="ET186" s="46">
        <f t="shared" si="390"/>
        <v>0</v>
      </c>
      <c r="EU186" s="46">
        <f t="shared" si="391"/>
        <v>0</v>
      </c>
      <c r="EV186" s="46">
        <f t="shared" si="392"/>
        <v>0</v>
      </c>
      <c r="EW186" s="46">
        <f t="shared" si="393"/>
        <v>0</v>
      </c>
      <c r="EX186" s="46">
        <f t="shared" si="394"/>
        <v>0</v>
      </c>
      <c r="EY186" s="46">
        <f t="shared" si="395"/>
        <v>0</v>
      </c>
      <c r="EZ186" s="3">
        <f t="shared" si="396"/>
        <v>0</v>
      </c>
      <c r="FA186" s="3" t="s">
        <v>70</v>
      </c>
      <c r="FB186" s="3">
        <f t="shared" si="397"/>
        <v>0</v>
      </c>
      <c r="FC186" s="3" t="s">
        <v>70</v>
      </c>
      <c r="FD186" s="46">
        <f t="shared" si="398"/>
        <v>0</v>
      </c>
      <c r="FE186" s="46">
        <f t="shared" si="399"/>
        <v>0</v>
      </c>
      <c r="FF186" s="46">
        <f t="shared" si="400"/>
        <v>0</v>
      </c>
      <c r="FG186" s="46">
        <f t="shared" si="401"/>
        <v>0</v>
      </c>
      <c r="FH186" s="46">
        <f t="shared" si="402"/>
        <v>0</v>
      </c>
      <c r="FI186" s="46">
        <f t="shared" si="403"/>
        <v>0</v>
      </c>
      <c r="FJ186" s="3">
        <f t="shared" si="404"/>
        <v>0</v>
      </c>
      <c r="FK186" s="46">
        <f t="shared" si="405"/>
        <v>0</v>
      </c>
      <c r="FM186" s="74">
        <f>EL186+'EXTRALABORAL B '!BH369</f>
        <v>0</v>
      </c>
      <c r="FN186" s="74">
        <f t="shared" si="406"/>
        <v>0</v>
      </c>
    </row>
    <row r="187" spans="1:170">
      <c r="A187" s="3">
        <v>184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3">
        <f t="shared" si="364"/>
        <v>0</v>
      </c>
      <c r="DP187" s="3">
        <f t="shared" si="365"/>
        <v>0</v>
      </c>
      <c r="DQ187" s="3">
        <f t="shared" si="366"/>
        <v>0</v>
      </c>
      <c r="DR187" s="3" t="s">
        <v>69</v>
      </c>
      <c r="DS187" s="3">
        <f t="shared" si="367"/>
        <v>0</v>
      </c>
      <c r="DT187" s="3">
        <f t="shared" si="368"/>
        <v>0</v>
      </c>
      <c r="DU187" s="3">
        <f t="shared" si="369"/>
        <v>0</v>
      </c>
      <c r="DV187" s="3">
        <f t="shared" si="370"/>
        <v>0</v>
      </c>
      <c r="DW187" s="3">
        <f t="shared" si="371"/>
        <v>0</v>
      </c>
      <c r="DX187" s="3">
        <f t="shared" si="372"/>
        <v>0</v>
      </c>
      <c r="DY187" s="3">
        <f t="shared" si="373"/>
        <v>0</v>
      </c>
      <c r="DZ187" s="3">
        <f t="shared" si="374"/>
        <v>0</v>
      </c>
      <c r="EA187" s="3">
        <f t="shared" si="375"/>
        <v>0</v>
      </c>
      <c r="EB187" s="3" t="s">
        <v>70</v>
      </c>
      <c r="EC187" s="3">
        <f t="shared" si="376"/>
        <v>0</v>
      </c>
      <c r="ED187" s="3" t="s">
        <v>70</v>
      </c>
      <c r="EE187" s="3">
        <f t="shared" si="377"/>
        <v>0</v>
      </c>
      <c r="EF187" s="3">
        <f t="shared" si="378"/>
        <v>0</v>
      </c>
      <c r="EG187" s="3">
        <f t="shared" si="379"/>
        <v>0</v>
      </c>
      <c r="EH187" s="3">
        <f t="shared" si="380"/>
        <v>0</v>
      </c>
      <c r="EI187" s="3">
        <f t="shared" si="381"/>
        <v>0</v>
      </c>
      <c r="EJ187" s="3">
        <f t="shared" si="382"/>
        <v>0</v>
      </c>
      <c r="EK187" s="3">
        <f t="shared" si="383"/>
        <v>0</v>
      </c>
      <c r="EL187" s="24">
        <f t="shared" si="384"/>
        <v>0</v>
      </c>
      <c r="EM187" s="24"/>
      <c r="EN187" s="46">
        <f t="shared" si="385"/>
        <v>0</v>
      </c>
      <c r="EO187" s="46">
        <f t="shared" si="386"/>
        <v>0</v>
      </c>
      <c r="EP187" s="47">
        <f t="shared" si="387"/>
        <v>0</v>
      </c>
      <c r="EQ187" s="3" t="s">
        <v>69</v>
      </c>
      <c r="ER187" s="3">
        <f t="shared" si="388"/>
        <v>0</v>
      </c>
      <c r="ES187" s="3">
        <f t="shared" si="389"/>
        <v>0</v>
      </c>
      <c r="ET187" s="46">
        <f t="shared" si="390"/>
        <v>0</v>
      </c>
      <c r="EU187" s="46">
        <f t="shared" si="391"/>
        <v>0</v>
      </c>
      <c r="EV187" s="46">
        <f t="shared" si="392"/>
        <v>0</v>
      </c>
      <c r="EW187" s="46">
        <f t="shared" si="393"/>
        <v>0</v>
      </c>
      <c r="EX187" s="46">
        <f t="shared" si="394"/>
        <v>0</v>
      </c>
      <c r="EY187" s="46">
        <f t="shared" si="395"/>
        <v>0</v>
      </c>
      <c r="EZ187" s="3">
        <f t="shared" si="396"/>
        <v>0</v>
      </c>
      <c r="FA187" s="3" t="s">
        <v>70</v>
      </c>
      <c r="FB187" s="3">
        <f t="shared" si="397"/>
        <v>0</v>
      </c>
      <c r="FC187" s="3" t="s">
        <v>70</v>
      </c>
      <c r="FD187" s="46">
        <f t="shared" si="398"/>
        <v>0</v>
      </c>
      <c r="FE187" s="46">
        <f t="shared" si="399"/>
        <v>0</v>
      </c>
      <c r="FF187" s="46">
        <f t="shared" si="400"/>
        <v>0</v>
      </c>
      <c r="FG187" s="46">
        <f t="shared" si="401"/>
        <v>0</v>
      </c>
      <c r="FH187" s="46">
        <f t="shared" si="402"/>
        <v>0</v>
      </c>
      <c r="FI187" s="46">
        <f t="shared" si="403"/>
        <v>0</v>
      </c>
      <c r="FJ187" s="3">
        <f t="shared" si="404"/>
        <v>0</v>
      </c>
      <c r="FK187" s="46">
        <f t="shared" si="405"/>
        <v>0</v>
      </c>
      <c r="FM187" s="74">
        <f>EL187+'EXTRALABORAL B '!BH370</f>
        <v>0</v>
      </c>
      <c r="FN187" s="74">
        <f t="shared" si="406"/>
        <v>0</v>
      </c>
    </row>
    <row r="188" spans="1:170">
      <c r="A188" s="3">
        <v>185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3">
        <f t="shared" si="364"/>
        <v>0</v>
      </c>
      <c r="DP188" s="3">
        <f t="shared" si="365"/>
        <v>0</v>
      </c>
      <c r="DQ188" s="3">
        <f t="shared" si="366"/>
        <v>0</v>
      </c>
      <c r="DR188" s="3" t="s">
        <v>69</v>
      </c>
      <c r="DS188" s="3">
        <f t="shared" si="367"/>
        <v>0</v>
      </c>
      <c r="DT188" s="3">
        <f t="shared" si="368"/>
        <v>0</v>
      </c>
      <c r="DU188" s="3">
        <f t="shared" si="369"/>
        <v>0</v>
      </c>
      <c r="DV188" s="3">
        <f t="shared" si="370"/>
        <v>0</v>
      </c>
      <c r="DW188" s="3">
        <f t="shared" si="371"/>
        <v>0</v>
      </c>
      <c r="DX188" s="3">
        <f t="shared" si="372"/>
        <v>0</v>
      </c>
      <c r="DY188" s="3">
        <f t="shared" si="373"/>
        <v>0</v>
      </c>
      <c r="DZ188" s="3">
        <f t="shared" si="374"/>
        <v>0</v>
      </c>
      <c r="EA188" s="3">
        <f t="shared" si="375"/>
        <v>0</v>
      </c>
      <c r="EB188" s="3" t="s">
        <v>70</v>
      </c>
      <c r="EC188" s="3">
        <f t="shared" si="376"/>
        <v>0</v>
      </c>
      <c r="ED188" s="3" t="s">
        <v>70</v>
      </c>
      <c r="EE188" s="3">
        <f t="shared" si="377"/>
        <v>0</v>
      </c>
      <c r="EF188" s="3">
        <f t="shared" si="378"/>
        <v>0</v>
      </c>
      <c r="EG188" s="3">
        <f t="shared" si="379"/>
        <v>0</v>
      </c>
      <c r="EH188" s="3">
        <f t="shared" si="380"/>
        <v>0</v>
      </c>
      <c r="EI188" s="3">
        <f t="shared" si="381"/>
        <v>0</v>
      </c>
      <c r="EJ188" s="3">
        <f t="shared" si="382"/>
        <v>0</v>
      </c>
      <c r="EK188" s="3">
        <f t="shared" si="383"/>
        <v>0</v>
      </c>
      <c r="EL188" s="24">
        <f t="shared" si="384"/>
        <v>0</v>
      </c>
      <c r="EM188" s="24"/>
      <c r="EN188" s="46">
        <f t="shared" si="385"/>
        <v>0</v>
      </c>
      <c r="EO188" s="46">
        <f t="shared" si="386"/>
        <v>0</v>
      </c>
      <c r="EP188" s="47">
        <f t="shared" si="387"/>
        <v>0</v>
      </c>
      <c r="EQ188" s="3" t="s">
        <v>69</v>
      </c>
      <c r="ER188" s="3">
        <f t="shared" si="388"/>
        <v>0</v>
      </c>
      <c r="ES188" s="3">
        <f t="shared" si="389"/>
        <v>0</v>
      </c>
      <c r="ET188" s="46">
        <f t="shared" si="390"/>
        <v>0</v>
      </c>
      <c r="EU188" s="46">
        <f t="shared" si="391"/>
        <v>0</v>
      </c>
      <c r="EV188" s="46">
        <f t="shared" si="392"/>
        <v>0</v>
      </c>
      <c r="EW188" s="46">
        <f t="shared" si="393"/>
        <v>0</v>
      </c>
      <c r="EX188" s="46">
        <f t="shared" si="394"/>
        <v>0</v>
      </c>
      <c r="EY188" s="46">
        <f t="shared" si="395"/>
        <v>0</v>
      </c>
      <c r="EZ188" s="3">
        <f t="shared" si="396"/>
        <v>0</v>
      </c>
      <c r="FA188" s="3" t="s">
        <v>70</v>
      </c>
      <c r="FB188" s="3">
        <f t="shared" si="397"/>
        <v>0</v>
      </c>
      <c r="FC188" s="3" t="s">
        <v>70</v>
      </c>
      <c r="FD188" s="46">
        <f t="shared" si="398"/>
        <v>0</v>
      </c>
      <c r="FE188" s="46">
        <f t="shared" si="399"/>
        <v>0</v>
      </c>
      <c r="FF188" s="46">
        <f t="shared" si="400"/>
        <v>0</v>
      </c>
      <c r="FG188" s="46">
        <f t="shared" si="401"/>
        <v>0</v>
      </c>
      <c r="FH188" s="46">
        <f t="shared" si="402"/>
        <v>0</v>
      </c>
      <c r="FI188" s="46">
        <f t="shared" si="403"/>
        <v>0</v>
      </c>
      <c r="FJ188" s="3">
        <f t="shared" si="404"/>
        <v>0</v>
      </c>
      <c r="FK188" s="46">
        <f t="shared" si="405"/>
        <v>0</v>
      </c>
      <c r="FM188" s="74">
        <f>EL188+'EXTRALABORAL B '!BH371</f>
        <v>0</v>
      </c>
      <c r="FN188" s="74">
        <f t="shared" si="406"/>
        <v>0</v>
      </c>
    </row>
    <row r="189" spans="1:170">
      <c r="A189" s="3">
        <v>186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90"/>
      <c r="P189" s="3"/>
      <c r="Q189" s="3"/>
      <c r="R189" s="90"/>
      <c r="S189" s="3"/>
      <c r="T189" s="3"/>
      <c r="U189" s="3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3">
        <f t="shared" si="364"/>
        <v>0</v>
      </c>
      <c r="DP189" s="3">
        <f t="shared" si="365"/>
        <v>0</v>
      </c>
      <c r="DQ189" s="3">
        <f t="shared" si="366"/>
        <v>0</v>
      </c>
      <c r="DR189" s="3" t="s">
        <v>69</v>
      </c>
      <c r="DS189" s="3">
        <f t="shared" si="367"/>
        <v>0</v>
      </c>
      <c r="DT189" s="3">
        <f t="shared" si="368"/>
        <v>0</v>
      </c>
      <c r="DU189" s="3">
        <f t="shared" si="369"/>
        <v>0</v>
      </c>
      <c r="DV189" s="3">
        <f t="shared" si="370"/>
        <v>0</v>
      </c>
      <c r="DW189" s="3">
        <f t="shared" si="371"/>
        <v>0</v>
      </c>
      <c r="DX189" s="3">
        <f t="shared" si="372"/>
        <v>0</v>
      </c>
      <c r="DY189" s="3">
        <f t="shared" si="373"/>
        <v>0</v>
      </c>
      <c r="DZ189" s="3">
        <f t="shared" si="374"/>
        <v>0</v>
      </c>
      <c r="EA189" s="3">
        <f t="shared" si="375"/>
        <v>0</v>
      </c>
      <c r="EB189" s="3" t="s">
        <v>70</v>
      </c>
      <c r="EC189" s="3">
        <f t="shared" si="376"/>
        <v>0</v>
      </c>
      <c r="ED189" s="3" t="s">
        <v>70</v>
      </c>
      <c r="EE189" s="3">
        <f t="shared" si="377"/>
        <v>0</v>
      </c>
      <c r="EF189" s="3">
        <f t="shared" si="378"/>
        <v>0</v>
      </c>
      <c r="EG189" s="3">
        <f t="shared" si="379"/>
        <v>0</v>
      </c>
      <c r="EH189" s="3">
        <f t="shared" si="380"/>
        <v>0</v>
      </c>
      <c r="EI189" s="3">
        <f t="shared" si="381"/>
        <v>0</v>
      </c>
      <c r="EJ189" s="3">
        <f t="shared" si="382"/>
        <v>0</v>
      </c>
      <c r="EK189" s="3">
        <f t="shared" si="383"/>
        <v>0</v>
      </c>
      <c r="EL189" s="24">
        <f t="shared" si="384"/>
        <v>0</v>
      </c>
      <c r="EM189" s="24"/>
      <c r="EN189" s="46">
        <f t="shared" si="385"/>
        <v>0</v>
      </c>
      <c r="EO189" s="46">
        <f t="shared" si="386"/>
        <v>0</v>
      </c>
      <c r="EP189" s="47">
        <f t="shared" si="387"/>
        <v>0</v>
      </c>
      <c r="EQ189" s="3" t="s">
        <v>69</v>
      </c>
      <c r="ER189" s="3">
        <f t="shared" si="388"/>
        <v>0</v>
      </c>
      <c r="ES189" s="3">
        <f t="shared" si="389"/>
        <v>0</v>
      </c>
      <c r="ET189" s="46">
        <f t="shared" si="390"/>
        <v>0</v>
      </c>
      <c r="EU189" s="46">
        <f t="shared" si="391"/>
        <v>0</v>
      </c>
      <c r="EV189" s="46">
        <f t="shared" si="392"/>
        <v>0</v>
      </c>
      <c r="EW189" s="46">
        <f t="shared" si="393"/>
        <v>0</v>
      </c>
      <c r="EX189" s="46">
        <f t="shared" si="394"/>
        <v>0</v>
      </c>
      <c r="EY189" s="46">
        <f t="shared" si="395"/>
        <v>0</v>
      </c>
      <c r="EZ189" s="3">
        <f t="shared" si="396"/>
        <v>0</v>
      </c>
      <c r="FA189" s="3" t="s">
        <v>70</v>
      </c>
      <c r="FB189" s="3">
        <f t="shared" si="397"/>
        <v>0</v>
      </c>
      <c r="FC189" s="3" t="s">
        <v>70</v>
      </c>
      <c r="FD189" s="46">
        <f t="shared" si="398"/>
        <v>0</v>
      </c>
      <c r="FE189" s="46">
        <f t="shared" si="399"/>
        <v>0</v>
      </c>
      <c r="FF189" s="46">
        <f t="shared" si="400"/>
        <v>0</v>
      </c>
      <c r="FG189" s="46">
        <f t="shared" si="401"/>
        <v>0</v>
      </c>
      <c r="FH189" s="46">
        <f t="shared" si="402"/>
        <v>0</v>
      </c>
      <c r="FI189" s="46">
        <f t="shared" si="403"/>
        <v>0</v>
      </c>
      <c r="FJ189" s="3">
        <f t="shared" si="404"/>
        <v>0</v>
      </c>
      <c r="FK189" s="46">
        <f t="shared" si="405"/>
        <v>0</v>
      </c>
      <c r="FM189" s="74">
        <f>EL189+'EXTRALABORAL B '!BH372</f>
        <v>0</v>
      </c>
      <c r="FN189" s="74">
        <f t="shared" si="406"/>
        <v>0</v>
      </c>
    </row>
    <row r="190" spans="1:170">
      <c r="A190" s="3">
        <v>187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3">
        <f t="shared" si="364"/>
        <v>0</v>
      </c>
      <c r="DP190" s="3">
        <f t="shared" si="365"/>
        <v>0</v>
      </c>
      <c r="DQ190" s="3">
        <f t="shared" si="366"/>
        <v>0</v>
      </c>
      <c r="DR190" s="3" t="s">
        <v>69</v>
      </c>
      <c r="DS190" s="3">
        <f t="shared" si="367"/>
        <v>0</v>
      </c>
      <c r="DT190" s="3">
        <f t="shared" si="368"/>
        <v>0</v>
      </c>
      <c r="DU190" s="3">
        <f t="shared" si="369"/>
        <v>0</v>
      </c>
      <c r="DV190" s="3">
        <f t="shared" si="370"/>
        <v>0</v>
      </c>
      <c r="DW190" s="3">
        <f t="shared" si="371"/>
        <v>0</v>
      </c>
      <c r="DX190" s="3">
        <f t="shared" si="372"/>
        <v>0</v>
      </c>
      <c r="DY190" s="3">
        <f t="shared" si="373"/>
        <v>0</v>
      </c>
      <c r="DZ190" s="3">
        <f t="shared" si="374"/>
        <v>0</v>
      </c>
      <c r="EA190" s="3">
        <f t="shared" si="375"/>
        <v>0</v>
      </c>
      <c r="EB190" s="3" t="s">
        <v>70</v>
      </c>
      <c r="EC190" s="3">
        <f t="shared" si="376"/>
        <v>0</v>
      </c>
      <c r="ED190" s="3" t="s">
        <v>70</v>
      </c>
      <c r="EE190" s="3">
        <f t="shared" si="377"/>
        <v>0</v>
      </c>
      <c r="EF190" s="3">
        <f t="shared" si="378"/>
        <v>0</v>
      </c>
      <c r="EG190" s="3">
        <f t="shared" si="379"/>
        <v>0</v>
      </c>
      <c r="EH190" s="3">
        <f t="shared" si="380"/>
        <v>0</v>
      </c>
      <c r="EI190" s="3">
        <f t="shared" si="381"/>
        <v>0</v>
      </c>
      <c r="EJ190" s="3">
        <f t="shared" si="382"/>
        <v>0</v>
      </c>
      <c r="EK190" s="3">
        <f t="shared" si="383"/>
        <v>0</v>
      </c>
      <c r="EL190" s="24">
        <f t="shared" si="384"/>
        <v>0</v>
      </c>
      <c r="EM190" s="24"/>
      <c r="EN190" s="46">
        <f t="shared" si="385"/>
        <v>0</v>
      </c>
      <c r="EO190" s="46">
        <f t="shared" si="386"/>
        <v>0</v>
      </c>
      <c r="EP190" s="47">
        <f t="shared" si="387"/>
        <v>0</v>
      </c>
      <c r="EQ190" s="3" t="s">
        <v>69</v>
      </c>
      <c r="ER190" s="3">
        <f t="shared" si="388"/>
        <v>0</v>
      </c>
      <c r="ES190" s="3">
        <f t="shared" si="389"/>
        <v>0</v>
      </c>
      <c r="ET190" s="46">
        <f t="shared" si="390"/>
        <v>0</v>
      </c>
      <c r="EU190" s="46">
        <f t="shared" si="391"/>
        <v>0</v>
      </c>
      <c r="EV190" s="46">
        <f t="shared" si="392"/>
        <v>0</v>
      </c>
      <c r="EW190" s="46">
        <f t="shared" si="393"/>
        <v>0</v>
      </c>
      <c r="EX190" s="46">
        <f t="shared" si="394"/>
        <v>0</v>
      </c>
      <c r="EY190" s="46">
        <f t="shared" si="395"/>
        <v>0</v>
      </c>
      <c r="EZ190" s="3">
        <f t="shared" si="396"/>
        <v>0</v>
      </c>
      <c r="FA190" s="3" t="s">
        <v>70</v>
      </c>
      <c r="FB190" s="3">
        <f t="shared" si="397"/>
        <v>0</v>
      </c>
      <c r="FC190" s="3" t="s">
        <v>70</v>
      </c>
      <c r="FD190" s="46">
        <f t="shared" si="398"/>
        <v>0</v>
      </c>
      <c r="FE190" s="46">
        <f t="shared" si="399"/>
        <v>0</v>
      </c>
      <c r="FF190" s="46">
        <f t="shared" si="400"/>
        <v>0</v>
      </c>
      <c r="FG190" s="46">
        <f t="shared" si="401"/>
        <v>0</v>
      </c>
      <c r="FH190" s="46">
        <f t="shared" si="402"/>
        <v>0</v>
      </c>
      <c r="FI190" s="46">
        <f t="shared" si="403"/>
        <v>0</v>
      </c>
      <c r="FJ190" s="3">
        <f t="shared" si="404"/>
        <v>0</v>
      </c>
      <c r="FK190" s="46">
        <f t="shared" si="405"/>
        <v>0</v>
      </c>
      <c r="FM190" s="74">
        <f>EL190+'EXTRALABORAL B '!BH373</f>
        <v>0</v>
      </c>
      <c r="FN190" s="74">
        <f t="shared" si="406"/>
        <v>0</v>
      </c>
    </row>
    <row r="191" spans="1:170">
      <c r="A191" s="3">
        <v>188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3">
        <f t="shared" si="364"/>
        <v>0</v>
      </c>
      <c r="DP191" s="3">
        <f t="shared" si="365"/>
        <v>0</v>
      </c>
      <c r="DQ191" s="3">
        <f t="shared" si="366"/>
        <v>0</v>
      </c>
      <c r="DR191" s="3" t="s">
        <v>69</v>
      </c>
      <c r="DS191" s="3">
        <f t="shared" si="367"/>
        <v>0</v>
      </c>
      <c r="DT191" s="3">
        <f t="shared" si="368"/>
        <v>0</v>
      </c>
      <c r="DU191" s="3">
        <f t="shared" si="369"/>
        <v>0</v>
      </c>
      <c r="DV191" s="3">
        <f t="shared" si="370"/>
        <v>0</v>
      </c>
      <c r="DW191" s="3">
        <f t="shared" si="371"/>
        <v>0</v>
      </c>
      <c r="DX191" s="3">
        <f t="shared" si="372"/>
        <v>0</v>
      </c>
      <c r="DY191" s="3">
        <f t="shared" si="373"/>
        <v>0</v>
      </c>
      <c r="DZ191" s="3">
        <f t="shared" si="374"/>
        <v>0</v>
      </c>
      <c r="EA191" s="3">
        <f t="shared" si="375"/>
        <v>0</v>
      </c>
      <c r="EB191" s="3" t="s">
        <v>70</v>
      </c>
      <c r="EC191" s="3">
        <f t="shared" si="376"/>
        <v>0</v>
      </c>
      <c r="ED191" s="3" t="s">
        <v>70</v>
      </c>
      <c r="EE191" s="3">
        <f t="shared" si="377"/>
        <v>0</v>
      </c>
      <c r="EF191" s="3">
        <f t="shared" si="378"/>
        <v>0</v>
      </c>
      <c r="EG191" s="3">
        <f t="shared" si="379"/>
        <v>0</v>
      </c>
      <c r="EH191" s="3">
        <f t="shared" si="380"/>
        <v>0</v>
      </c>
      <c r="EI191" s="3">
        <f t="shared" si="381"/>
        <v>0</v>
      </c>
      <c r="EJ191" s="3">
        <f t="shared" si="382"/>
        <v>0</v>
      </c>
      <c r="EK191" s="3">
        <f t="shared" si="383"/>
        <v>0</v>
      </c>
      <c r="EL191" s="24">
        <f t="shared" si="384"/>
        <v>0</v>
      </c>
      <c r="EM191" s="24"/>
      <c r="EN191" s="46">
        <f t="shared" si="385"/>
        <v>0</v>
      </c>
      <c r="EO191" s="46">
        <f t="shared" si="386"/>
        <v>0</v>
      </c>
      <c r="EP191" s="47">
        <f t="shared" si="387"/>
        <v>0</v>
      </c>
      <c r="EQ191" s="3" t="s">
        <v>69</v>
      </c>
      <c r="ER191" s="3">
        <f t="shared" si="388"/>
        <v>0</v>
      </c>
      <c r="ES191" s="3">
        <f t="shared" si="389"/>
        <v>0</v>
      </c>
      <c r="ET191" s="46">
        <f t="shared" si="390"/>
        <v>0</v>
      </c>
      <c r="EU191" s="46">
        <f t="shared" si="391"/>
        <v>0</v>
      </c>
      <c r="EV191" s="46">
        <f t="shared" si="392"/>
        <v>0</v>
      </c>
      <c r="EW191" s="46">
        <f t="shared" si="393"/>
        <v>0</v>
      </c>
      <c r="EX191" s="46">
        <f t="shared" si="394"/>
        <v>0</v>
      </c>
      <c r="EY191" s="46">
        <f t="shared" si="395"/>
        <v>0</v>
      </c>
      <c r="EZ191" s="3">
        <f t="shared" si="396"/>
        <v>0</v>
      </c>
      <c r="FA191" s="3" t="s">
        <v>70</v>
      </c>
      <c r="FB191" s="3">
        <f t="shared" si="397"/>
        <v>0</v>
      </c>
      <c r="FC191" s="3" t="s">
        <v>70</v>
      </c>
      <c r="FD191" s="46">
        <f t="shared" si="398"/>
        <v>0</v>
      </c>
      <c r="FE191" s="46">
        <f t="shared" si="399"/>
        <v>0</v>
      </c>
      <c r="FF191" s="46">
        <f t="shared" si="400"/>
        <v>0</v>
      </c>
      <c r="FG191" s="46">
        <f t="shared" si="401"/>
        <v>0</v>
      </c>
      <c r="FH191" s="46">
        <f t="shared" si="402"/>
        <v>0</v>
      </c>
      <c r="FI191" s="46">
        <f t="shared" si="403"/>
        <v>0</v>
      </c>
      <c r="FJ191" s="3">
        <f t="shared" si="404"/>
        <v>0</v>
      </c>
      <c r="FK191" s="46">
        <f t="shared" si="405"/>
        <v>0</v>
      </c>
      <c r="FM191" s="74">
        <f>EL191+'EXTRALABORAL B '!BH374</f>
        <v>0</v>
      </c>
      <c r="FN191" s="74">
        <f t="shared" si="406"/>
        <v>0</v>
      </c>
    </row>
    <row r="192" spans="1:170">
      <c r="A192" s="3">
        <v>189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3">
        <f t="shared" si="364"/>
        <v>0</v>
      </c>
      <c r="DP192" s="3">
        <f t="shared" si="365"/>
        <v>0</v>
      </c>
      <c r="DQ192" s="3">
        <f t="shared" si="366"/>
        <v>0</v>
      </c>
      <c r="DR192" s="3" t="s">
        <v>69</v>
      </c>
      <c r="DS192" s="3">
        <f t="shared" si="367"/>
        <v>0</v>
      </c>
      <c r="DT192" s="3">
        <f t="shared" si="368"/>
        <v>0</v>
      </c>
      <c r="DU192" s="3">
        <f t="shared" si="369"/>
        <v>0</v>
      </c>
      <c r="DV192" s="3">
        <f t="shared" si="370"/>
        <v>0</v>
      </c>
      <c r="DW192" s="3">
        <f t="shared" si="371"/>
        <v>0</v>
      </c>
      <c r="DX192" s="3">
        <f t="shared" si="372"/>
        <v>0</v>
      </c>
      <c r="DY192" s="3">
        <f t="shared" si="373"/>
        <v>0</v>
      </c>
      <c r="DZ192" s="3">
        <f t="shared" si="374"/>
        <v>0</v>
      </c>
      <c r="EA192" s="3">
        <f t="shared" si="375"/>
        <v>0</v>
      </c>
      <c r="EB192" s="3" t="s">
        <v>70</v>
      </c>
      <c r="EC192" s="3">
        <f t="shared" si="376"/>
        <v>0</v>
      </c>
      <c r="ED192" s="3" t="s">
        <v>70</v>
      </c>
      <c r="EE192" s="3">
        <f t="shared" si="377"/>
        <v>0</v>
      </c>
      <c r="EF192" s="3">
        <f t="shared" si="378"/>
        <v>0</v>
      </c>
      <c r="EG192" s="3">
        <f t="shared" si="379"/>
        <v>0</v>
      </c>
      <c r="EH192" s="3">
        <f t="shared" si="380"/>
        <v>0</v>
      </c>
      <c r="EI192" s="3">
        <f t="shared" si="381"/>
        <v>0</v>
      </c>
      <c r="EJ192" s="3">
        <f t="shared" si="382"/>
        <v>0</v>
      </c>
      <c r="EK192" s="3">
        <f t="shared" si="383"/>
        <v>0</v>
      </c>
      <c r="EL192" s="24">
        <f t="shared" si="384"/>
        <v>0</v>
      </c>
      <c r="EM192" s="24"/>
      <c r="EN192" s="46">
        <f t="shared" si="385"/>
        <v>0</v>
      </c>
      <c r="EO192" s="46">
        <f t="shared" si="386"/>
        <v>0</v>
      </c>
      <c r="EP192" s="47">
        <f t="shared" si="387"/>
        <v>0</v>
      </c>
      <c r="EQ192" s="3" t="s">
        <v>69</v>
      </c>
      <c r="ER192" s="3">
        <f t="shared" si="388"/>
        <v>0</v>
      </c>
      <c r="ES192" s="3">
        <f t="shared" si="389"/>
        <v>0</v>
      </c>
      <c r="ET192" s="46">
        <f t="shared" si="390"/>
        <v>0</v>
      </c>
      <c r="EU192" s="46">
        <f t="shared" si="391"/>
        <v>0</v>
      </c>
      <c r="EV192" s="46">
        <f t="shared" si="392"/>
        <v>0</v>
      </c>
      <c r="EW192" s="46">
        <f t="shared" si="393"/>
        <v>0</v>
      </c>
      <c r="EX192" s="46">
        <f t="shared" si="394"/>
        <v>0</v>
      </c>
      <c r="EY192" s="46">
        <f t="shared" si="395"/>
        <v>0</v>
      </c>
      <c r="EZ192" s="3">
        <f t="shared" si="396"/>
        <v>0</v>
      </c>
      <c r="FA192" s="3" t="s">
        <v>70</v>
      </c>
      <c r="FB192" s="3">
        <f t="shared" si="397"/>
        <v>0</v>
      </c>
      <c r="FC192" s="3" t="s">
        <v>70</v>
      </c>
      <c r="FD192" s="46">
        <f t="shared" si="398"/>
        <v>0</v>
      </c>
      <c r="FE192" s="46">
        <f t="shared" si="399"/>
        <v>0</v>
      </c>
      <c r="FF192" s="46">
        <f t="shared" si="400"/>
        <v>0</v>
      </c>
      <c r="FG192" s="46">
        <f t="shared" si="401"/>
        <v>0</v>
      </c>
      <c r="FH192" s="46">
        <f t="shared" si="402"/>
        <v>0</v>
      </c>
      <c r="FI192" s="46">
        <f t="shared" si="403"/>
        <v>0</v>
      </c>
      <c r="FJ192" s="3">
        <f t="shared" si="404"/>
        <v>0</v>
      </c>
      <c r="FK192" s="46">
        <f t="shared" si="405"/>
        <v>0</v>
      </c>
      <c r="FM192" s="74">
        <f>EL192+'EXTRALABORAL B '!BH375</f>
        <v>0</v>
      </c>
      <c r="FN192" s="74">
        <f t="shared" si="406"/>
        <v>0</v>
      </c>
    </row>
    <row r="193" spans="1:170">
      <c r="A193" s="3">
        <v>190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3">
        <f t="shared" si="364"/>
        <v>0</v>
      </c>
      <c r="DP193" s="3">
        <f t="shared" si="365"/>
        <v>0</v>
      </c>
      <c r="DQ193" s="3">
        <f t="shared" si="366"/>
        <v>0</v>
      </c>
      <c r="DR193" s="3" t="s">
        <v>69</v>
      </c>
      <c r="DS193" s="3">
        <f t="shared" si="367"/>
        <v>0</v>
      </c>
      <c r="DT193" s="3">
        <f t="shared" si="368"/>
        <v>0</v>
      </c>
      <c r="DU193" s="3">
        <f t="shared" si="369"/>
        <v>0</v>
      </c>
      <c r="DV193" s="3">
        <f t="shared" si="370"/>
        <v>0</v>
      </c>
      <c r="DW193" s="3">
        <f t="shared" si="371"/>
        <v>0</v>
      </c>
      <c r="DX193" s="3">
        <f t="shared" si="372"/>
        <v>0</v>
      </c>
      <c r="DY193" s="3">
        <f t="shared" si="373"/>
        <v>0</v>
      </c>
      <c r="DZ193" s="3">
        <f t="shared" si="374"/>
        <v>0</v>
      </c>
      <c r="EA193" s="3">
        <f t="shared" si="375"/>
        <v>0</v>
      </c>
      <c r="EB193" s="3" t="s">
        <v>70</v>
      </c>
      <c r="EC193" s="3">
        <f t="shared" si="376"/>
        <v>0</v>
      </c>
      <c r="ED193" s="3" t="s">
        <v>70</v>
      </c>
      <c r="EE193" s="3">
        <f t="shared" si="377"/>
        <v>0</v>
      </c>
      <c r="EF193" s="3">
        <f t="shared" si="378"/>
        <v>0</v>
      </c>
      <c r="EG193" s="3">
        <f t="shared" si="379"/>
        <v>0</v>
      </c>
      <c r="EH193" s="3">
        <f t="shared" si="380"/>
        <v>0</v>
      </c>
      <c r="EI193" s="3">
        <f t="shared" si="381"/>
        <v>0</v>
      </c>
      <c r="EJ193" s="3">
        <f t="shared" si="382"/>
        <v>0</v>
      </c>
      <c r="EK193" s="3">
        <f t="shared" si="383"/>
        <v>0</v>
      </c>
      <c r="EL193" s="24">
        <f t="shared" si="384"/>
        <v>0</v>
      </c>
      <c r="EM193" s="24"/>
      <c r="EN193" s="46">
        <f t="shared" si="385"/>
        <v>0</v>
      </c>
      <c r="EO193" s="46">
        <f t="shared" si="386"/>
        <v>0</v>
      </c>
      <c r="EP193" s="47">
        <f t="shared" si="387"/>
        <v>0</v>
      </c>
      <c r="EQ193" s="3" t="s">
        <v>69</v>
      </c>
      <c r="ER193" s="3">
        <f t="shared" si="388"/>
        <v>0</v>
      </c>
      <c r="ES193" s="3">
        <f t="shared" si="389"/>
        <v>0</v>
      </c>
      <c r="ET193" s="46">
        <f t="shared" si="390"/>
        <v>0</v>
      </c>
      <c r="EU193" s="46">
        <f t="shared" si="391"/>
        <v>0</v>
      </c>
      <c r="EV193" s="46">
        <f t="shared" si="392"/>
        <v>0</v>
      </c>
      <c r="EW193" s="46">
        <f t="shared" si="393"/>
        <v>0</v>
      </c>
      <c r="EX193" s="46">
        <f t="shared" si="394"/>
        <v>0</v>
      </c>
      <c r="EY193" s="46">
        <f t="shared" si="395"/>
        <v>0</v>
      </c>
      <c r="EZ193" s="3">
        <f t="shared" si="396"/>
        <v>0</v>
      </c>
      <c r="FA193" s="3" t="s">
        <v>70</v>
      </c>
      <c r="FB193" s="3">
        <f t="shared" si="397"/>
        <v>0</v>
      </c>
      <c r="FC193" s="3" t="s">
        <v>70</v>
      </c>
      <c r="FD193" s="46">
        <f t="shared" si="398"/>
        <v>0</v>
      </c>
      <c r="FE193" s="46">
        <f t="shared" si="399"/>
        <v>0</v>
      </c>
      <c r="FF193" s="46">
        <f t="shared" si="400"/>
        <v>0</v>
      </c>
      <c r="FG193" s="46">
        <f t="shared" si="401"/>
        <v>0</v>
      </c>
      <c r="FH193" s="46">
        <f t="shared" si="402"/>
        <v>0</v>
      </c>
      <c r="FI193" s="46">
        <f t="shared" si="403"/>
        <v>0</v>
      </c>
      <c r="FJ193" s="3">
        <f t="shared" si="404"/>
        <v>0</v>
      </c>
      <c r="FK193" s="46">
        <f t="shared" si="405"/>
        <v>0</v>
      </c>
      <c r="FM193" s="74">
        <f>EL193+'EXTRALABORAL B '!BH376</f>
        <v>0</v>
      </c>
      <c r="FN193" s="74">
        <f t="shared" si="406"/>
        <v>0</v>
      </c>
    </row>
    <row r="194" spans="1:170">
      <c r="A194" s="3">
        <v>191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3">
        <f t="shared" si="364"/>
        <v>0</v>
      </c>
      <c r="DP194" s="3">
        <f t="shared" si="365"/>
        <v>0</v>
      </c>
      <c r="DQ194" s="3">
        <f t="shared" si="366"/>
        <v>0</v>
      </c>
      <c r="DR194" s="3" t="s">
        <v>69</v>
      </c>
      <c r="DS194" s="3">
        <f t="shared" si="367"/>
        <v>0</v>
      </c>
      <c r="DT194" s="3">
        <f t="shared" si="368"/>
        <v>0</v>
      </c>
      <c r="DU194" s="3">
        <f t="shared" si="369"/>
        <v>0</v>
      </c>
      <c r="DV194" s="3">
        <f t="shared" si="370"/>
        <v>0</v>
      </c>
      <c r="DW194" s="3">
        <f t="shared" si="371"/>
        <v>0</v>
      </c>
      <c r="DX194" s="3">
        <f t="shared" si="372"/>
        <v>0</v>
      </c>
      <c r="DY194" s="3">
        <f t="shared" si="373"/>
        <v>0</v>
      </c>
      <c r="DZ194" s="3">
        <f t="shared" si="374"/>
        <v>0</v>
      </c>
      <c r="EA194" s="3">
        <f t="shared" si="375"/>
        <v>0</v>
      </c>
      <c r="EB194" s="3" t="s">
        <v>70</v>
      </c>
      <c r="EC194" s="3">
        <f t="shared" si="376"/>
        <v>0</v>
      </c>
      <c r="ED194" s="3" t="s">
        <v>70</v>
      </c>
      <c r="EE194" s="3">
        <f t="shared" si="377"/>
        <v>0</v>
      </c>
      <c r="EF194" s="3">
        <f t="shared" si="378"/>
        <v>0</v>
      </c>
      <c r="EG194" s="3">
        <f t="shared" si="379"/>
        <v>0</v>
      </c>
      <c r="EH194" s="3">
        <f t="shared" si="380"/>
        <v>0</v>
      </c>
      <c r="EI194" s="3">
        <f t="shared" si="381"/>
        <v>0</v>
      </c>
      <c r="EJ194" s="3">
        <f t="shared" si="382"/>
        <v>0</v>
      </c>
      <c r="EK194" s="3">
        <f t="shared" si="383"/>
        <v>0</v>
      </c>
      <c r="EL194" s="24">
        <f t="shared" si="384"/>
        <v>0</v>
      </c>
      <c r="EM194" s="24"/>
      <c r="EN194" s="46">
        <f t="shared" si="385"/>
        <v>0</v>
      </c>
      <c r="EO194" s="46">
        <f t="shared" si="386"/>
        <v>0</v>
      </c>
      <c r="EP194" s="47">
        <f t="shared" si="387"/>
        <v>0</v>
      </c>
      <c r="EQ194" s="3" t="s">
        <v>69</v>
      </c>
      <c r="ER194" s="3">
        <f t="shared" si="388"/>
        <v>0</v>
      </c>
      <c r="ES194" s="3">
        <f t="shared" si="389"/>
        <v>0</v>
      </c>
      <c r="ET194" s="46">
        <f t="shared" si="390"/>
        <v>0</v>
      </c>
      <c r="EU194" s="46">
        <f t="shared" si="391"/>
        <v>0</v>
      </c>
      <c r="EV194" s="46">
        <f t="shared" si="392"/>
        <v>0</v>
      </c>
      <c r="EW194" s="46">
        <f t="shared" si="393"/>
        <v>0</v>
      </c>
      <c r="EX194" s="46">
        <f t="shared" si="394"/>
        <v>0</v>
      </c>
      <c r="EY194" s="46">
        <f t="shared" si="395"/>
        <v>0</v>
      </c>
      <c r="EZ194" s="3">
        <f t="shared" si="396"/>
        <v>0</v>
      </c>
      <c r="FA194" s="3" t="s">
        <v>70</v>
      </c>
      <c r="FB194" s="3">
        <f t="shared" si="397"/>
        <v>0</v>
      </c>
      <c r="FC194" s="3" t="s">
        <v>70</v>
      </c>
      <c r="FD194" s="46">
        <f t="shared" si="398"/>
        <v>0</v>
      </c>
      <c r="FE194" s="46">
        <f t="shared" si="399"/>
        <v>0</v>
      </c>
      <c r="FF194" s="46">
        <f t="shared" si="400"/>
        <v>0</v>
      </c>
      <c r="FG194" s="46">
        <f t="shared" si="401"/>
        <v>0</v>
      </c>
      <c r="FH194" s="46">
        <f t="shared" si="402"/>
        <v>0</v>
      </c>
      <c r="FI194" s="46">
        <f t="shared" si="403"/>
        <v>0</v>
      </c>
      <c r="FJ194" s="3">
        <f t="shared" si="404"/>
        <v>0</v>
      </c>
      <c r="FK194" s="46">
        <f t="shared" si="405"/>
        <v>0</v>
      </c>
      <c r="FM194" s="74">
        <f>EL194+'EXTRALABORAL B '!BH377</f>
        <v>0</v>
      </c>
      <c r="FN194" s="74">
        <f t="shared" si="406"/>
        <v>0</v>
      </c>
    </row>
    <row r="195" spans="1:170">
      <c r="A195" s="3">
        <v>192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3">
        <f t="shared" si="364"/>
        <v>0</v>
      </c>
      <c r="DP195" s="3">
        <f t="shared" si="365"/>
        <v>0</v>
      </c>
      <c r="DQ195" s="3">
        <f t="shared" si="366"/>
        <v>0</v>
      </c>
      <c r="DR195" s="3" t="s">
        <v>69</v>
      </c>
      <c r="DS195" s="3">
        <f t="shared" si="367"/>
        <v>0</v>
      </c>
      <c r="DT195" s="3">
        <f t="shared" si="368"/>
        <v>0</v>
      </c>
      <c r="DU195" s="3">
        <f t="shared" si="369"/>
        <v>0</v>
      </c>
      <c r="DV195" s="3">
        <f t="shared" si="370"/>
        <v>0</v>
      </c>
      <c r="DW195" s="3">
        <f t="shared" si="371"/>
        <v>0</v>
      </c>
      <c r="DX195" s="3">
        <f t="shared" si="372"/>
        <v>0</v>
      </c>
      <c r="DY195" s="3">
        <f t="shared" si="373"/>
        <v>0</v>
      </c>
      <c r="DZ195" s="3">
        <f t="shared" si="374"/>
        <v>0</v>
      </c>
      <c r="EA195" s="3">
        <f t="shared" si="375"/>
        <v>0</v>
      </c>
      <c r="EB195" s="3" t="s">
        <v>70</v>
      </c>
      <c r="EC195" s="3">
        <f t="shared" si="376"/>
        <v>0</v>
      </c>
      <c r="ED195" s="3" t="s">
        <v>70</v>
      </c>
      <c r="EE195" s="3">
        <f t="shared" si="377"/>
        <v>0</v>
      </c>
      <c r="EF195" s="3">
        <f t="shared" si="378"/>
        <v>0</v>
      </c>
      <c r="EG195" s="3">
        <f t="shared" si="379"/>
        <v>0</v>
      </c>
      <c r="EH195" s="3">
        <f t="shared" si="380"/>
        <v>0</v>
      </c>
      <c r="EI195" s="3">
        <f t="shared" si="381"/>
        <v>0</v>
      </c>
      <c r="EJ195" s="3">
        <f t="shared" si="382"/>
        <v>0</v>
      </c>
      <c r="EK195" s="3">
        <f t="shared" si="383"/>
        <v>0</v>
      </c>
      <c r="EL195" s="24">
        <f t="shared" si="384"/>
        <v>0</v>
      </c>
      <c r="EM195" s="24"/>
      <c r="EN195" s="46">
        <f t="shared" si="385"/>
        <v>0</v>
      </c>
      <c r="EO195" s="46">
        <f t="shared" si="386"/>
        <v>0</v>
      </c>
      <c r="EP195" s="47">
        <f t="shared" si="387"/>
        <v>0</v>
      </c>
      <c r="EQ195" s="3" t="s">
        <v>69</v>
      </c>
      <c r="ER195" s="3">
        <f t="shared" si="388"/>
        <v>0</v>
      </c>
      <c r="ES195" s="3">
        <f t="shared" si="389"/>
        <v>0</v>
      </c>
      <c r="ET195" s="46">
        <f t="shared" si="390"/>
        <v>0</v>
      </c>
      <c r="EU195" s="46">
        <f t="shared" si="391"/>
        <v>0</v>
      </c>
      <c r="EV195" s="46">
        <f t="shared" si="392"/>
        <v>0</v>
      </c>
      <c r="EW195" s="46">
        <f t="shared" si="393"/>
        <v>0</v>
      </c>
      <c r="EX195" s="46">
        <f t="shared" si="394"/>
        <v>0</v>
      </c>
      <c r="EY195" s="46">
        <f t="shared" si="395"/>
        <v>0</v>
      </c>
      <c r="EZ195" s="3">
        <f t="shared" si="396"/>
        <v>0</v>
      </c>
      <c r="FA195" s="3" t="s">
        <v>70</v>
      </c>
      <c r="FB195" s="3">
        <f t="shared" si="397"/>
        <v>0</v>
      </c>
      <c r="FC195" s="3" t="s">
        <v>70</v>
      </c>
      <c r="FD195" s="46">
        <f t="shared" si="398"/>
        <v>0</v>
      </c>
      <c r="FE195" s="46">
        <f t="shared" si="399"/>
        <v>0</v>
      </c>
      <c r="FF195" s="46">
        <f t="shared" si="400"/>
        <v>0</v>
      </c>
      <c r="FG195" s="46">
        <f t="shared" si="401"/>
        <v>0</v>
      </c>
      <c r="FH195" s="46">
        <f t="shared" si="402"/>
        <v>0</v>
      </c>
      <c r="FI195" s="46">
        <f t="shared" si="403"/>
        <v>0</v>
      </c>
      <c r="FJ195" s="3">
        <f t="shared" si="404"/>
        <v>0</v>
      </c>
      <c r="FK195" s="46">
        <f t="shared" si="405"/>
        <v>0</v>
      </c>
      <c r="FM195" s="74">
        <f>EL195+'EXTRALABORAL B '!BH378</f>
        <v>0</v>
      </c>
      <c r="FN195" s="74">
        <f t="shared" si="406"/>
        <v>0</v>
      </c>
    </row>
    <row r="196" spans="1:170">
      <c r="A196" s="3">
        <v>193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3">
        <f t="shared" si="364"/>
        <v>0</v>
      </c>
      <c r="DP196" s="3">
        <f t="shared" si="365"/>
        <v>0</v>
      </c>
      <c r="DQ196" s="3">
        <f t="shared" si="366"/>
        <v>0</v>
      </c>
      <c r="DR196" s="3" t="s">
        <v>69</v>
      </c>
      <c r="DS196" s="3">
        <f t="shared" si="367"/>
        <v>0</v>
      </c>
      <c r="DT196" s="3">
        <f t="shared" si="368"/>
        <v>0</v>
      </c>
      <c r="DU196" s="3">
        <f t="shared" si="369"/>
        <v>0</v>
      </c>
      <c r="DV196" s="3">
        <f t="shared" si="370"/>
        <v>0</v>
      </c>
      <c r="DW196" s="3">
        <f t="shared" si="371"/>
        <v>0</v>
      </c>
      <c r="DX196" s="3">
        <f t="shared" si="372"/>
        <v>0</v>
      </c>
      <c r="DY196" s="3">
        <f t="shared" si="373"/>
        <v>0</v>
      </c>
      <c r="DZ196" s="3">
        <f t="shared" si="374"/>
        <v>0</v>
      </c>
      <c r="EA196" s="3">
        <f t="shared" si="375"/>
        <v>0</v>
      </c>
      <c r="EB196" s="3" t="s">
        <v>70</v>
      </c>
      <c r="EC196" s="3">
        <f t="shared" si="376"/>
        <v>0</v>
      </c>
      <c r="ED196" s="3" t="s">
        <v>70</v>
      </c>
      <c r="EE196" s="3">
        <f t="shared" si="377"/>
        <v>0</v>
      </c>
      <c r="EF196" s="3">
        <f t="shared" si="378"/>
        <v>0</v>
      </c>
      <c r="EG196" s="3">
        <f t="shared" si="379"/>
        <v>0</v>
      </c>
      <c r="EH196" s="3">
        <f t="shared" si="380"/>
        <v>0</v>
      </c>
      <c r="EI196" s="3">
        <f t="shared" si="381"/>
        <v>0</v>
      </c>
      <c r="EJ196" s="3">
        <f t="shared" si="382"/>
        <v>0</v>
      </c>
      <c r="EK196" s="3">
        <f t="shared" si="383"/>
        <v>0</v>
      </c>
      <c r="EL196" s="24">
        <f t="shared" si="384"/>
        <v>0</v>
      </c>
      <c r="EM196" s="24"/>
      <c r="EN196" s="46">
        <f t="shared" si="385"/>
        <v>0</v>
      </c>
      <c r="EO196" s="46">
        <f t="shared" si="386"/>
        <v>0</v>
      </c>
      <c r="EP196" s="47">
        <f t="shared" si="387"/>
        <v>0</v>
      </c>
      <c r="EQ196" s="3" t="s">
        <v>69</v>
      </c>
      <c r="ER196" s="3">
        <f t="shared" si="388"/>
        <v>0</v>
      </c>
      <c r="ES196" s="3">
        <f t="shared" si="389"/>
        <v>0</v>
      </c>
      <c r="ET196" s="46">
        <f t="shared" si="390"/>
        <v>0</v>
      </c>
      <c r="EU196" s="46">
        <f t="shared" si="391"/>
        <v>0</v>
      </c>
      <c r="EV196" s="46">
        <f t="shared" si="392"/>
        <v>0</v>
      </c>
      <c r="EW196" s="46">
        <f t="shared" si="393"/>
        <v>0</v>
      </c>
      <c r="EX196" s="46">
        <f t="shared" si="394"/>
        <v>0</v>
      </c>
      <c r="EY196" s="46">
        <f t="shared" si="395"/>
        <v>0</v>
      </c>
      <c r="EZ196" s="3">
        <f t="shared" si="396"/>
        <v>0</v>
      </c>
      <c r="FA196" s="3" t="s">
        <v>70</v>
      </c>
      <c r="FB196" s="3">
        <f t="shared" si="397"/>
        <v>0</v>
      </c>
      <c r="FC196" s="3" t="s">
        <v>70</v>
      </c>
      <c r="FD196" s="46">
        <f t="shared" si="398"/>
        <v>0</v>
      </c>
      <c r="FE196" s="46">
        <f t="shared" si="399"/>
        <v>0</v>
      </c>
      <c r="FF196" s="46">
        <f t="shared" si="400"/>
        <v>0</v>
      </c>
      <c r="FG196" s="46">
        <f t="shared" si="401"/>
        <v>0</v>
      </c>
      <c r="FH196" s="46">
        <f t="shared" si="402"/>
        <v>0</v>
      </c>
      <c r="FI196" s="46">
        <f t="shared" si="403"/>
        <v>0</v>
      </c>
      <c r="FJ196" s="3">
        <f t="shared" si="404"/>
        <v>0</v>
      </c>
      <c r="FK196" s="46">
        <f t="shared" si="405"/>
        <v>0</v>
      </c>
      <c r="FM196" s="74">
        <f>EL196+'EXTRALABORAL B '!BH379</f>
        <v>0</v>
      </c>
      <c r="FN196" s="74">
        <f t="shared" si="406"/>
        <v>0</v>
      </c>
    </row>
    <row r="197" spans="1:170">
      <c r="A197" s="3">
        <v>194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3">
        <f t="shared" si="364"/>
        <v>0</v>
      </c>
      <c r="DP197" s="3">
        <f t="shared" si="365"/>
        <v>0</v>
      </c>
      <c r="DQ197" s="3">
        <f t="shared" si="366"/>
        <v>0</v>
      </c>
      <c r="DR197" s="3" t="s">
        <v>69</v>
      </c>
      <c r="DS197" s="3">
        <f t="shared" si="367"/>
        <v>0</v>
      </c>
      <c r="DT197" s="3">
        <f t="shared" si="368"/>
        <v>0</v>
      </c>
      <c r="DU197" s="3">
        <f t="shared" si="369"/>
        <v>0</v>
      </c>
      <c r="DV197" s="3">
        <f t="shared" si="370"/>
        <v>0</v>
      </c>
      <c r="DW197" s="3">
        <f t="shared" si="371"/>
        <v>0</v>
      </c>
      <c r="DX197" s="3">
        <f t="shared" si="372"/>
        <v>0</v>
      </c>
      <c r="DY197" s="3">
        <f t="shared" si="373"/>
        <v>0</v>
      </c>
      <c r="DZ197" s="3">
        <f t="shared" si="374"/>
        <v>0</v>
      </c>
      <c r="EA197" s="3">
        <f t="shared" si="375"/>
        <v>0</v>
      </c>
      <c r="EB197" s="3" t="s">
        <v>70</v>
      </c>
      <c r="EC197" s="3">
        <f t="shared" si="376"/>
        <v>0</v>
      </c>
      <c r="ED197" s="3" t="s">
        <v>70</v>
      </c>
      <c r="EE197" s="3">
        <f t="shared" si="377"/>
        <v>0</v>
      </c>
      <c r="EF197" s="3">
        <f t="shared" si="378"/>
        <v>0</v>
      </c>
      <c r="EG197" s="3">
        <f t="shared" si="379"/>
        <v>0</v>
      </c>
      <c r="EH197" s="3">
        <f t="shared" si="380"/>
        <v>0</v>
      </c>
      <c r="EI197" s="3">
        <f t="shared" si="381"/>
        <v>0</v>
      </c>
      <c r="EJ197" s="3">
        <f t="shared" si="382"/>
        <v>0</v>
      </c>
      <c r="EK197" s="3">
        <f t="shared" si="383"/>
        <v>0</v>
      </c>
      <c r="EL197" s="24">
        <f t="shared" si="384"/>
        <v>0</v>
      </c>
      <c r="EM197" s="24"/>
      <c r="EN197" s="46">
        <f t="shared" si="385"/>
        <v>0</v>
      </c>
      <c r="EO197" s="46">
        <f t="shared" si="386"/>
        <v>0</v>
      </c>
      <c r="EP197" s="47">
        <f t="shared" si="387"/>
        <v>0</v>
      </c>
      <c r="EQ197" s="3" t="s">
        <v>69</v>
      </c>
      <c r="ER197" s="3">
        <f t="shared" si="388"/>
        <v>0</v>
      </c>
      <c r="ES197" s="3">
        <f t="shared" si="389"/>
        <v>0</v>
      </c>
      <c r="ET197" s="46">
        <f t="shared" si="390"/>
        <v>0</v>
      </c>
      <c r="EU197" s="46">
        <f t="shared" si="391"/>
        <v>0</v>
      </c>
      <c r="EV197" s="46">
        <f t="shared" si="392"/>
        <v>0</v>
      </c>
      <c r="EW197" s="46">
        <f t="shared" si="393"/>
        <v>0</v>
      </c>
      <c r="EX197" s="46">
        <f t="shared" si="394"/>
        <v>0</v>
      </c>
      <c r="EY197" s="46">
        <f t="shared" si="395"/>
        <v>0</v>
      </c>
      <c r="EZ197" s="3">
        <f t="shared" si="396"/>
        <v>0</v>
      </c>
      <c r="FA197" s="3" t="s">
        <v>70</v>
      </c>
      <c r="FB197" s="3">
        <f t="shared" si="397"/>
        <v>0</v>
      </c>
      <c r="FC197" s="3" t="s">
        <v>70</v>
      </c>
      <c r="FD197" s="46">
        <f t="shared" si="398"/>
        <v>0</v>
      </c>
      <c r="FE197" s="46">
        <f t="shared" si="399"/>
        <v>0</v>
      </c>
      <c r="FF197" s="46">
        <f t="shared" si="400"/>
        <v>0</v>
      </c>
      <c r="FG197" s="46">
        <f t="shared" si="401"/>
        <v>0</v>
      </c>
      <c r="FH197" s="46">
        <f t="shared" si="402"/>
        <v>0</v>
      </c>
      <c r="FI197" s="46">
        <f t="shared" si="403"/>
        <v>0</v>
      </c>
      <c r="FJ197" s="3">
        <f t="shared" si="404"/>
        <v>0</v>
      </c>
      <c r="FK197" s="46">
        <f t="shared" si="405"/>
        <v>0</v>
      </c>
      <c r="FM197" s="74">
        <f>EL197+'EXTRALABORAL B '!BH380</f>
        <v>0</v>
      </c>
      <c r="FN197" s="74">
        <f t="shared" si="406"/>
        <v>0</v>
      </c>
    </row>
    <row r="198" spans="1:170">
      <c r="A198" s="3">
        <v>195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3">
        <f t="shared" si="364"/>
        <v>0</v>
      </c>
      <c r="DP198" s="3">
        <f t="shared" si="365"/>
        <v>0</v>
      </c>
      <c r="DQ198" s="3">
        <f t="shared" si="366"/>
        <v>0</v>
      </c>
      <c r="DR198" s="3" t="s">
        <v>69</v>
      </c>
      <c r="DS198" s="3">
        <f t="shared" si="367"/>
        <v>0</v>
      </c>
      <c r="DT198" s="3">
        <f t="shared" si="368"/>
        <v>0</v>
      </c>
      <c r="DU198" s="3">
        <f t="shared" si="369"/>
        <v>0</v>
      </c>
      <c r="DV198" s="3">
        <f t="shared" si="370"/>
        <v>0</v>
      </c>
      <c r="DW198" s="3">
        <f t="shared" si="371"/>
        <v>0</v>
      </c>
      <c r="DX198" s="3">
        <f t="shared" si="372"/>
        <v>0</v>
      </c>
      <c r="DY198" s="3">
        <f t="shared" si="373"/>
        <v>0</v>
      </c>
      <c r="DZ198" s="3">
        <f t="shared" si="374"/>
        <v>0</v>
      </c>
      <c r="EA198" s="3">
        <f t="shared" si="375"/>
        <v>0</v>
      </c>
      <c r="EB198" s="3" t="s">
        <v>70</v>
      </c>
      <c r="EC198" s="3">
        <f t="shared" si="376"/>
        <v>0</v>
      </c>
      <c r="ED198" s="3" t="s">
        <v>70</v>
      </c>
      <c r="EE198" s="3">
        <f t="shared" si="377"/>
        <v>0</v>
      </c>
      <c r="EF198" s="3">
        <f t="shared" si="378"/>
        <v>0</v>
      </c>
      <c r="EG198" s="3">
        <f t="shared" si="379"/>
        <v>0</v>
      </c>
      <c r="EH198" s="3">
        <f t="shared" si="380"/>
        <v>0</v>
      </c>
      <c r="EI198" s="3">
        <f t="shared" si="381"/>
        <v>0</v>
      </c>
      <c r="EJ198" s="3">
        <f t="shared" si="382"/>
        <v>0</v>
      </c>
      <c r="EK198" s="3">
        <f t="shared" si="383"/>
        <v>0</v>
      </c>
      <c r="EL198" s="24">
        <f t="shared" si="384"/>
        <v>0</v>
      </c>
      <c r="EM198" s="24"/>
      <c r="EN198" s="46">
        <f t="shared" si="385"/>
        <v>0</v>
      </c>
      <c r="EO198" s="46">
        <f t="shared" si="386"/>
        <v>0</v>
      </c>
      <c r="EP198" s="47">
        <f t="shared" si="387"/>
        <v>0</v>
      </c>
      <c r="EQ198" s="3" t="s">
        <v>69</v>
      </c>
      <c r="ER198" s="3">
        <f t="shared" si="388"/>
        <v>0</v>
      </c>
      <c r="ES198" s="3">
        <f t="shared" si="389"/>
        <v>0</v>
      </c>
      <c r="ET198" s="46">
        <f t="shared" si="390"/>
        <v>0</v>
      </c>
      <c r="EU198" s="46">
        <f t="shared" si="391"/>
        <v>0</v>
      </c>
      <c r="EV198" s="46">
        <f t="shared" si="392"/>
        <v>0</v>
      </c>
      <c r="EW198" s="46">
        <f t="shared" si="393"/>
        <v>0</v>
      </c>
      <c r="EX198" s="46">
        <f t="shared" si="394"/>
        <v>0</v>
      </c>
      <c r="EY198" s="46">
        <f t="shared" si="395"/>
        <v>0</v>
      </c>
      <c r="EZ198" s="3">
        <f t="shared" si="396"/>
        <v>0</v>
      </c>
      <c r="FA198" s="3" t="s">
        <v>70</v>
      </c>
      <c r="FB198" s="3">
        <f t="shared" si="397"/>
        <v>0</v>
      </c>
      <c r="FC198" s="3" t="s">
        <v>70</v>
      </c>
      <c r="FD198" s="46">
        <f t="shared" si="398"/>
        <v>0</v>
      </c>
      <c r="FE198" s="46">
        <f t="shared" si="399"/>
        <v>0</v>
      </c>
      <c r="FF198" s="46">
        <f t="shared" si="400"/>
        <v>0</v>
      </c>
      <c r="FG198" s="46">
        <f t="shared" si="401"/>
        <v>0</v>
      </c>
      <c r="FH198" s="46">
        <f t="shared" si="402"/>
        <v>0</v>
      </c>
      <c r="FI198" s="46">
        <f t="shared" si="403"/>
        <v>0</v>
      </c>
      <c r="FJ198" s="3">
        <f t="shared" si="404"/>
        <v>0</v>
      </c>
      <c r="FK198" s="46">
        <f t="shared" si="405"/>
        <v>0</v>
      </c>
      <c r="FM198" s="74">
        <f>EL198+'EXTRALABORAL B '!BH381</f>
        <v>0</v>
      </c>
      <c r="FN198" s="74">
        <f t="shared" si="406"/>
        <v>0</v>
      </c>
    </row>
    <row r="199" spans="1:170">
      <c r="A199" s="3">
        <v>196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3">
        <f t="shared" si="364"/>
        <v>0</v>
      </c>
      <c r="DP199" s="3">
        <f t="shared" si="365"/>
        <v>0</v>
      </c>
      <c r="DQ199" s="3">
        <f t="shared" si="366"/>
        <v>0</v>
      </c>
      <c r="DR199" s="3" t="s">
        <v>69</v>
      </c>
      <c r="DS199" s="3">
        <f t="shared" si="367"/>
        <v>0</v>
      </c>
      <c r="DT199" s="3">
        <f t="shared" si="368"/>
        <v>0</v>
      </c>
      <c r="DU199" s="3">
        <f t="shared" si="369"/>
        <v>0</v>
      </c>
      <c r="DV199" s="3">
        <f t="shared" si="370"/>
        <v>0</v>
      </c>
      <c r="DW199" s="3">
        <f t="shared" si="371"/>
        <v>0</v>
      </c>
      <c r="DX199" s="3">
        <f t="shared" si="372"/>
        <v>0</v>
      </c>
      <c r="DY199" s="3">
        <f t="shared" si="373"/>
        <v>0</v>
      </c>
      <c r="DZ199" s="3">
        <f t="shared" si="374"/>
        <v>0</v>
      </c>
      <c r="EA199" s="3">
        <f t="shared" si="375"/>
        <v>0</v>
      </c>
      <c r="EB199" s="3" t="s">
        <v>70</v>
      </c>
      <c r="EC199" s="3">
        <f t="shared" si="376"/>
        <v>0</v>
      </c>
      <c r="ED199" s="3" t="s">
        <v>70</v>
      </c>
      <c r="EE199" s="3">
        <f t="shared" si="377"/>
        <v>0</v>
      </c>
      <c r="EF199" s="3">
        <f t="shared" si="378"/>
        <v>0</v>
      </c>
      <c r="EG199" s="3">
        <f t="shared" si="379"/>
        <v>0</v>
      </c>
      <c r="EH199" s="3">
        <f t="shared" si="380"/>
        <v>0</v>
      </c>
      <c r="EI199" s="3">
        <f t="shared" si="381"/>
        <v>0</v>
      </c>
      <c r="EJ199" s="3">
        <f t="shared" si="382"/>
        <v>0</v>
      </c>
      <c r="EK199" s="3">
        <f t="shared" si="383"/>
        <v>0</v>
      </c>
      <c r="EL199" s="24">
        <f t="shared" si="384"/>
        <v>0</v>
      </c>
      <c r="EM199" s="24"/>
      <c r="EN199" s="46">
        <f t="shared" si="385"/>
        <v>0</v>
      </c>
      <c r="EO199" s="46">
        <f t="shared" si="386"/>
        <v>0</v>
      </c>
      <c r="EP199" s="47">
        <f t="shared" si="387"/>
        <v>0</v>
      </c>
      <c r="EQ199" s="3" t="s">
        <v>69</v>
      </c>
      <c r="ER199" s="3">
        <f t="shared" si="388"/>
        <v>0</v>
      </c>
      <c r="ES199" s="3">
        <f t="shared" si="389"/>
        <v>0</v>
      </c>
      <c r="ET199" s="46">
        <f t="shared" si="390"/>
        <v>0</v>
      </c>
      <c r="EU199" s="46">
        <f t="shared" si="391"/>
        <v>0</v>
      </c>
      <c r="EV199" s="46">
        <f t="shared" si="392"/>
        <v>0</v>
      </c>
      <c r="EW199" s="46">
        <f t="shared" si="393"/>
        <v>0</v>
      </c>
      <c r="EX199" s="46">
        <f t="shared" si="394"/>
        <v>0</v>
      </c>
      <c r="EY199" s="46">
        <f t="shared" si="395"/>
        <v>0</v>
      </c>
      <c r="EZ199" s="3">
        <f t="shared" si="396"/>
        <v>0</v>
      </c>
      <c r="FA199" s="3" t="s">
        <v>70</v>
      </c>
      <c r="FB199" s="3">
        <f t="shared" si="397"/>
        <v>0</v>
      </c>
      <c r="FC199" s="3" t="s">
        <v>70</v>
      </c>
      <c r="FD199" s="46">
        <f t="shared" si="398"/>
        <v>0</v>
      </c>
      <c r="FE199" s="46">
        <f t="shared" si="399"/>
        <v>0</v>
      </c>
      <c r="FF199" s="46">
        <f t="shared" si="400"/>
        <v>0</v>
      </c>
      <c r="FG199" s="46">
        <f t="shared" si="401"/>
        <v>0</v>
      </c>
      <c r="FH199" s="46">
        <f t="shared" si="402"/>
        <v>0</v>
      </c>
      <c r="FI199" s="46">
        <f t="shared" si="403"/>
        <v>0</v>
      </c>
      <c r="FJ199" s="3">
        <f t="shared" si="404"/>
        <v>0</v>
      </c>
      <c r="FK199" s="46">
        <f t="shared" si="405"/>
        <v>0</v>
      </c>
      <c r="FM199" s="74">
        <f>EL199+'EXTRALABORAL B '!BH382</f>
        <v>0</v>
      </c>
      <c r="FN199" s="74">
        <f t="shared" si="406"/>
        <v>0</v>
      </c>
    </row>
    <row r="200" spans="1:170">
      <c r="A200" s="3">
        <v>197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3">
        <f t="shared" si="364"/>
        <v>0</v>
      </c>
      <c r="DP200" s="3">
        <f t="shared" si="365"/>
        <v>0</v>
      </c>
      <c r="DQ200" s="3">
        <f t="shared" si="366"/>
        <v>0</v>
      </c>
      <c r="DR200" s="3" t="s">
        <v>69</v>
      </c>
      <c r="DS200" s="3">
        <f t="shared" si="367"/>
        <v>0</v>
      </c>
      <c r="DT200" s="3">
        <f t="shared" si="368"/>
        <v>0</v>
      </c>
      <c r="DU200" s="3">
        <f t="shared" si="369"/>
        <v>0</v>
      </c>
      <c r="DV200" s="3">
        <f t="shared" si="370"/>
        <v>0</v>
      </c>
      <c r="DW200" s="3">
        <f t="shared" si="371"/>
        <v>0</v>
      </c>
      <c r="DX200" s="3">
        <f t="shared" si="372"/>
        <v>0</v>
      </c>
      <c r="DY200" s="3">
        <f t="shared" si="373"/>
        <v>0</v>
      </c>
      <c r="DZ200" s="3">
        <f t="shared" si="374"/>
        <v>0</v>
      </c>
      <c r="EA200" s="3">
        <f t="shared" si="375"/>
        <v>0</v>
      </c>
      <c r="EB200" s="3" t="s">
        <v>70</v>
      </c>
      <c r="EC200" s="3">
        <f t="shared" si="376"/>
        <v>0</v>
      </c>
      <c r="ED200" s="3" t="s">
        <v>70</v>
      </c>
      <c r="EE200" s="3">
        <f t="shared" si="377"/>
        <v>0</v>
      </c>
      <c r="EF200" s="3">
        <f t="shared" si="378"/>
        <v>0</v>
      </c>
      <c r="EG200" s="3">
        <f t="shared" si="379"/>
        <v>0</v>
      </c>
      <c r="EH200" s="3">
        <f t="shared" si="380"/>
        <v>0</v>
      </c>
      <c r="EI200" s="3">
        <f t="shared" si="381"/>
        <v>0</v>
      </c>
      <c r="EJ200" s="3">
        <f t="shared" si="382"/>
        <v>0</v>
      </c>
      <c r="EK200" s="3">
        <f t="shared" si="383"/>
        <v>0</v>
      </c>
      <c r="EL200" s="24">
        <f t="shared" si="384"/>
        <v>0</v>
      </c>
      <c r="EM200" s="24"/>
      <c r="EN200" s="46">
        <f t="shared" si="385"/>
        <v>0</v>
      </c>
      <c r="EO200" s="46">
        <f t="shared" si="386"/>
        <v>0</v>
      </c>
      <c r="EP200" s="47">
        <f t="shared" si="387"/>
        <v>0</v>
      </c>
      <c r="EQ200" s="3" t="s">
        <v>69</v>
      </c>
      <c r="ER200" s="3">
        <f t="shared" si="388"/>
        <v>0</v>
      </c>
      <c r="ES200" s="3">
        <f t="shared" si="389"/>
        <v>0</v>
      </c>
      <c r="ET200" s="46">
        <f t="shared" si="390"/>
        <v>0</v>
      </c>
      <c r="EU200" s="46">
        <f t="shared" si="391"/>
        <v>0</v>
      </c>
      <c r="EV200" s="46">
        <f t="shared" si="392"/>
        <v>0</v>
      </c>
      <c r="EW200" s="46">
        <f t="shared" si="393"/>
        <v>0</v>
      </c>
      <c r="EX200" s="46">
        <f t="shared" si="394"/>
        <v>0</v>
      </c>
      <c r="EY200" s="46">
        <f t="shared" si="395"/>
        <v>0</v>
      </c>
      <c r="EZ200" s="3">
        <f t="shared" si="396"/>
        <v>0</v>
      </c>
      <c r="FA200" s="3" t="s">
        <v>70</v>
      </c>
      <c r="FB200" s="3">
        <f t="shared" si="397"/>
        <v>0</v>
      </c>
      <c r="FC200" s="3" t="s">
        <v>70</v>
      </c>
      <c r="FD200" s="46">
        <f t="shared" si="398"/>
        <v>0</v>
      </c>
      <c r="FE200" s="46">
        <f t="shared" si="399"/>
        <v>0</v>
      </c>
      <c r="FF200" s="46">
        <f t="shared" si="400"/>
        <v>0</v>
      </c>
      <c r="FG200" s="46">
        <f t="shared" si="401"/>
        <v>0</v>
      </c>
      <c r="FH200" s="46">
        <f t="shared" si="402"/>
        <v>0</v>
      </c>
      <c r="FI200" s="46">
        <f t="shared" si="403"/>
        <v>0</v>
      </c>
      <c r="FJ200" s="3">
        <f t="shared" si="404"/>
        <v>0</v>
      </c>
      <c r="FK200" s="46">
        <f t="shared" si="405"/>
        <v>0</v>
      </c>
      <c r="FM200" s="74">
        <f>EL200+'EXTRALABORAL B '!BH383</f>
        <v>0</v>
      </c>
      <c r="FN200" s="74">
        <f t="shared" si="406"/>
        <v>0</v>
      </c>
    </row>
    <row r="201" spans="1:170">
      <c r="A201" s="3">
        <v>198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3">
        <f t="shared" si="364"/>
        <v>0</v>
      </c>
      <c r="DP201" s="3">
        <f t="shared" si="365"/>
        <v>0</v>
      </c>
      <c r="DQ201" s="3">
        <f t="shared" si="366"/>
        <v>0</v>
      </c>
      <c r="DR201" s="3" t="s">
        <v>69</v>
      </c>
      <c r="DS201" s="3">
        <f t="shared" si="367"/>
        <v>0</v>
      </c>
      <c r="DT201" s="3">
        <f t="shared" si="368"/>
        <v>0</v>
      </c>
      <c r="DU201" s="3">
        <f t="shared" si="369"/>
        <v>0</v>
      </c>
      <c r="DV201" s="3">
        <f t="shared" si="370"/>
        <v>0</v>
      </c>
      <c r="DW201" s="3">
        <f t="shared" si="371"/>
        <v>0</v>
      </c>
      <c r="DX201" s="3">
        <f t="shared" si="372"/>
        <v>0</v>
      </c>
      <c r="DY201" s="3">
        <f t="shared" si="373"/>
        <v>0</v>
      </c>
      <c r="DZ201" s="3">
        <f t="shared" si="374"/>
        <v>0</v>
      </c>
      <c r="EA201" s="3">
        <f t="shared" si="375"/>
        <v>0</v>
      </c>
      <c r="EB201" s="3" t="s">
        <v>70</v>
      </c>
      <c r="EC201" s="3">
        <f t="shared" si="376"/>
        <v>0</v>
      </c>
      <c r="ED201" s="3" t="s">
        <v>70</v>
      </c>
      <c r="EE201" s="3">
        <f t="shared" si="377"/>
        <v>0</v>
      </c>
      <c r="EF201" s="3">
        <f t="shared" si="378"/>
        <v>0</v>
      </c>
      <c r="EG201" s="3">
        <f t="shared" si="379"/>
        <v>0</v>
      </c>
      <c r="EH201" s="3">
        <f t="shared" si="380"/>
        <v>0</v>
      </c>
      <c r="EI201" s="3">
        <f t="shared" si="381"/>
        <v>0</v>
      </c>
      <c r="EJ201" s="3">
        <f t="shared" si="382"/>
        <v>0</v>
      </c>
      <c r="EK201" s="3">
        <f t="shared" si="383"/>
        <v>0</v>
      </c>
      <c r="EL201" s="24">
        <f t="shared" si="384"/>
        <v>0</v>
      </c>
      <c r="EM201" s="24"/>
      <c r="EN201" s="46">
        <f t="shared" si="385"/>
        <v>0</v>
      </c>
      <c r="EO201" s="46">
        <f t="shared" si="386"/>
        <v>0</v>
      </c>
      <c r="EP201" s="47">
        <f t="shared" si="387"/>
        <v>0</v>
      </c>
      <c r="EQ201" s="3" t="s">
        <v>69</v>
      </c>
      <c r="ER201" s="3">
        <f t="shared" si="388"/>
        <v>0</v>
      </c>
      <c r="ES201" s="3">
        <f t="shared" si="389"/>
        <v>0</v>
      </c>
      <c r="ET201" s="46">
        <f t="shared" si="390"/>
        <v>0</v>
      </c>
      <c r="EU201" s="46">
        <f t="shared" si="391"/>
        <v>0</v>
      </c>
      <c r="EV201" s="46">
        <f t="shared" si="392"/>
        <v>0</v>
      </c>
      <c r="EW201" s="46">
        <f t="shared" si="393"/>
        <v>0</v>
      </c>
      <c r="EX201" s="46">
        <f t="shared" si="394"/>
        <v>0</v>
      </c>
      <c r="EY201" s="46">
        <f t="shared" si="395"/>
        <v>0</v>
      </c>
      <c r="EZ201" s="3">
        <f t="shared" si="396"/>
        <v>0</v>
      </c>
      <c r="FA201" s="3" t="s">
        <v>70</v>
      </c>
      <c r="FB201" s="3">
        <f t="shared" si="397"/>
        <v>0</v>
      </c>
      <c r="FC201" s="3" t="s">
        <v>70</v>
      </c>
      <c r="FD201" s="46">
        <f t="shared" si="398"/>
        <v>0</v>
      </c>
      <c r="FE201" s="46">
        <f t="shared" si="399"/>
        <v>0</v>
      </c>
      <c r="FF201" s="46">
        <f t="shared" si="400"/>
        <v>0</v>
      </c>
      <c r="FG201" s="46">
        <f t="shared" si="401"/>
        <v>0</v>
      </c>
      <c r="FH201" s="46">
        <f t="shared" si="402"/>
        <v>0</v>
      </c>
      <c r="FI201" s="46">
        <f t="shared" si="403"/>
        <v>0</v>
      </c>
      <c r="FJ201" s="3">
        <f t="shared" si="404"/>
        <v>0</v>
      </c>
      <c r="FK201" s="46">
        <f t="shared" si="405"/>
        <v>0</v>
      </c>
      <c r="FM201" s="74">
        <f>EL201+'EXTRALABORAL B '!BH384</f>
        <v>0</v>
      </c>
      <c r="FN201" s="74">
        <f t="shared" si="406"/>
        <v>0</v>
      </c>
    </row>
    <row r="202" spans="1:170">
      <c r="A202" s="3">
        <v>199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3">
        <f t="shared" si="364"/>
        <v>0</v>
      </c>
      <c r="DP202" s="3">
        <f t="shared" si="365"/>
        <v>0</v>
      </c>
      <c r="DQ202" s="3">
        <f t="shared" si="366"/>
        <v>0</v>
      </c>
      <c r="DR202" s="3" t="s">
        <v>69</v>
      </c>
      <c r="DS202" s="3">
        <f t="shared" si="367"/>
        <v>0</v>
      </c>
      <c r="DT202" s="3">
        <f t="shared" si="368"/>
        <v>0</v>
      </c>
      <c r="DU202" s="3">
        <f t="shared" si="369"/>
        <v>0</v>
      </c>
      <c r="DV202" s="3">
        <f t="shared" si="370"/>
        <v>0</v>
      </c>
      <c r="DW202" s="3">
        <f t="shared" si="371"/>
        <v>0</v>
      </c>
      <c r="DX202" s="3">
        <f t="shared" si="372"/>
        <v>0</v>
      </c>
      <c r="DY202" s="3">
        <f t="shared" si="373"/>
        <v>0</v>
      </c>
      <c r="DZ202" s="3">
        <f t="shared" si="374"/>
        <v>0</v>
      </c>
      <c r="EA202" s="3">
        <f t="shared" si="375"/>
        <v>0</v>
      </c>
      <c r="EB202" s="3" t="s">
        <v>70</v>
      </c>
      <c r="EC202" s="3">
        <f t="shared" si="376"/>
        <v>0</v>
      </c>
      <c r="ED202" s="3" t="s">
        <v>70</v>
      </c>
      <c r="EE202" s="3">
        <f t="shared" si="377"/>
        <v>0</v>
      </c>
      <c r="EF202" s="3">
        <f t="shared" si="378"/>
        <v>0</v>
      </c>
      <c r="EG202" s="3">
        <f t="shared" si="379"/>
        <v>0</v>
      </c>
      <c r="EH202" s="3">
        <f t="shared" si="380"/>
        <v>0</v>
      </c>
      <c r="EI202" s="3">
        <f t="shared" si="381"/>
        <v>0</v>
      </c>
      <c r="EJ202" s="3">
        <f t="shared" si="382"/>
        <v>0</v>
      </c>
      <c r="EK202" s="3">
        <f t="shared" si="383"/>
        <v>0</v>
      </c>
      <c r="EL202" s="24">
        <f t="shared" si="384"/>
        <v>0</v>
      </c>
      <c r="EM202" s="24"/>
      <c r="EN202" s="46">
        <f t="shared" si="385"/>
        <v>0</v>
      </c>
      <c r="EO202" s="46">
        <f t="shared" si="386"/>
        <v>0</v>
      </c>
      <c r="EP202" s="47">
        <f t="shared" si="387"/>
        <v>0</v>
      </c>
      <c r="EQ202" s="3" t="s">
        <v>69</v>
      </c>
      <c r="ER202" s="3">
        <f t="shared" si="388"/>
        <v>0</v>
      </c>
      <c r="ES202" s="3">
        <f t="shared" si="389"/>
        <v>0</v>
      </c>
      <c r="ET202" s="46">
        <f t="shared" si="390"/>
        <v>0</v>
      </c>
      <c r="EU202" s="46">
        <f t="shared" si="391"/>
        <v>0</v>
      </c>
      <c r="EV202" s="46">
        <f t="shared" si="392"/>
        <v>0</v>
      </c>
      <c r="EW202" s="46">
        <f t="shared" si="393"/>
        <v>0</v>
      </c>
      <c r="EX202" s="46">
        <f t="shared" si="394"/>
        <v>0</v>
      </c>
      <c r="EY202" s="46">
        <f t="shared" si="395"/>
        <v>0</v>
      </c>
      <c r="EZ202" s="3">
        <f t="shared" si="396"/>
        <v>0</v>
      </c>
      <c r="FA202" s="3" t="s">
        <v>70</v>
      </c>
      <c r="FB202" s="3">
        <f t="shared" si="397"/>
        <v>0</v>
      </c>
      <c r="FC202" s="3" t="s">
        <v>70</v>
      </c>
      <c r="FD202" s="46">
        <f t="shared" si="398"/>
        <v>0</v>
      </c>
      <c r="FE202" s="46">
        <f t="shared" si="399"/>
        <v>0</v>
      </c>
      <c r="FF202" s="46">
        <f t="shared" si="400"/>
        <v>0</v>
      </c>
      <c r="FG202" s="46">
        <f t="shared" si="401"/>
        <v>0</v>
      </c>
      <c r="FH202" s="46">
        <f t="shared" si="402"/>
        <v>0</v>
      </c>
      <c r="FI202" s="46">
        <f t="shared" si="403"/>
        <v>0</v>
      </c>
      <c r="FJ202" s="3">
        <f t="shared" si="404"/>
        <v>0</v>
      </c>
      <c r="FK202" s="46">
        <f t="shared" si="405"/>
        <v>0</v>
      </c>
      <c r="FM202" s="74">
        <f>EL202+'EXTRALABORAL B '!BH385</f>
        <v>0</v>
      </c>
      <c r="FN202" s="74">
        <f t="shared" si="406"/>
        <v>0</v>
      </c>
    </row>
    <row r="203" spans="1:170">
      <c r="A203" s="3">
        <v>200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3">
        <f t="shared" si="364"/>
        <v>0</v>
      </c>
      <c r="DP203" s="3">
        <f t="shared" si="365"/>
        <v>0</v>
      </c>
      <c r="DQ203" s="3">
        <f t="shared" si="366"/>
        <v>0</v>
      </c>
      <c r="DR203" s="3" t="s">
        <v>69</v>
      </c>
      <c r="DS203" s="3">
        <f t="shared" si="367"/>
        <v>0</v>
      </c>
      <c r="DT203" s="3">
        <f t="shared" si="368"/>
        <v>0</v>
      </c>
      <c r="DU203" s="3">
        <f t="shared" si="369"/>
        <v>0</v>
      </c>
      <c r="DV203" s="3">
        <f t="shared" si="370"/>
        <v>0</v>
      </c>
      <c r="DW203" s="3">
        <f t="shared" si="371"/>
        <v>0</v>
      </c>
      <c r="DX203" s="3">
        <f t="shared" si="372"/>
        <v>0</v>
      </c>
      <c r="DY203" s="3">
        <f t="shared" si="373"/>
        <v>0</v>
      </c>
      <c r="DZ203" s="3">
        <f t="shared" si="374"/>
        <v>0</v>
      </c>
      <c r="EA203" s="3">
        <f t="shared" si="375"/>
        <v>0</v>
      </c>
      <c r="EB203" s="3" t="s">
        <v>70</v>
      </c>
      <c r="EC203" s="3">
        <f t="shared" si="376"/>
        <v>0</v>
      </c>
      <c r="ED203" s="3" t="s">
        <v>70</v>
      </c>
      <c r="EE203" s="3">
        <f t="shared" si="377"/>
        <v>0</v>
      </c>
      <c r="EF203" s="3">
        <f t="shared" si="378"/>
        <v>0</v>
      </c>
      <c r="EG203" s="3">
        <f t="shared" si="379"/>
        <v>0</v>
      </c>
      <c r="EH203" s="3">
        <f t="shared" si="380"/>
        <v>0</v>
      </c>
      <c r="EI203" s="3">
        <f t="shared" si="381"/>
        <v>0</v>
      </c>
      <c r="EJ203" s="3">
        <f t="shared" si="382"/>
        <v>0</v>
      </c>
      <c r="EK203" s="3">
        <f t="shared" si="383"/>
        <v>0</v>
      </c>
      <c r="EL203" s="24">
        <f t="shared" si="384"/>
        <v>0</v>
      </c>
      <c r="EM203" s="24"/>
      <c r="EN203" s="46">
        <f t="shared" si="385"/>
        <v>0</v>
      </c>
      <c r="EO203" s="46">
        <f t="shared" si="386"/>
        <v>0</v>
      </c>
      <c r="EP203" s="47">
        <f t="shared" si="387"/>
        <v>0</v>
      </c>
      <c r="EQ203" s="3" t="s">
        <v>69</v>
      </c>
      <c r="ER203" s="3">
        <f t="shared" si="388"/>
        <v>0</v>
      </c>
      <c r="ES203" s="3">
        <f t="shared" si="389"/>
        <v>0</v>
      </c>
      <c r="ET203" s="46">
        <f t="shared" si="390"/>
        <v>0</v>
      </c>
      <c r="EU203" s="46">
        <f t="shared" si="391"/>
        <v>0</v>
      </c>
      <c r="EV203" s="46">
        <f t="shared" si="392"/>
        <v>0</v>
      </c>
      <c r="EW203" s="46">
        <f t="shared" si="393"/>
        <v>0</v>
      </c>
      <c r="EX203" s="46">
        <f t="shared" si="394"/>
        <v>0</v>
      </c>
      <c r="EY203" s="46">
        <f t="shared" si="395"/>
        <v>0</v>
      </c>
      <c r="EZ203" s="3">
        <f t="shared" si="396"/>
        <v>0</v>
      </c>
      <c r="FA203" s="3" t="s">
        <v>70</v>
      </c>
      <c r="FB203" s="3">
        <f t="shared" si="397"/>
        <v>0</v>
      </c>
      <c r="FC203" s="3" t="s">
        <v>70</v>
      </c>
      <c r="FD203" s="46">
        <f t="shared" si="398"/>
        <v>0</v>
      </c>
      <c r="FE203" s="46">
        <f t="shared" si="399"/>
        <v>0</v>
      </c>
      <c r="FF203" s="46">
        <f t="shared" si="400"/>
        <v>0</v>
      </c>
      <c r="FG203" s="46">
        <f t="shared" si="401"/>
        <v>0</v>
      </c>
      <c r="FH203" s="46">
        <f t="shared" si="402"/>
        <v>0</v>
      </c>
      <c r="FI203" s="46">
        <f t="shared" si="403"/>
        <v>0</v>
      </c>
      <c r="FJ203" s="3">
        <f t="shared" si="404"/>
        <v>0</v>
      </c>
      <c r="FK203" s="46">
        <f t="shared" si="405"/>
        <v>0</v>
      </c>
      <c r="FM203" s="74">
        <f>EL203+'EXTRALABORAL B '!BH386</f>
        <v>0</v>
      </c>
      <c r="FN203" s="74">
        <f t="shared" si="406"/>
        <v>0</v>
      </c>
    </row>
    <row r="204" spans="1:170">
      <c r="A204" s="3">
        <v>201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3">
        <f t="shared" si="364"/>
        <v>0</v>
      </c>
      <c r="DP204" s="3">
        <f t="shared" si="365"/>
        <v>0</v>
      </c>
      <c r="DQ204" s="3">
        <f t="shared" si="366"/>
        <v>0</v>
      </c>
      <c r="DR204" s="3" t="s">
        <v>69</v>
      </c>
      <c r="DS204" s="3">
        <f t="shared" si="367"/>
        <v>0</v>
      </c>
      <c r="DT204" s="3">
        <f t="shared" si="368"/>
        <v>0</v>
      </c>
      <c r="DU204" s="3">
        <f t="shared" si="369"/>
        <v>0</v>
      </c>
      <c r="DV204" s="3">
        <f t="shared" si="370"/>
        <v>0</v>
      </c>
      <c r="DW204" s="3">
        <f t="shared" si="371"/>
        <v>0</v>
      </c>
      <c r="DX204" s="3">
        <f t="shared" si="372"/>
        <v>0</v>
      </c>
      <c r="DY204" s="3">
        <f t="shared" si="373"/>
        <v>0</v>
      </c>
      <c r="DZ204" s="3">
        <f t="shared" si="374"/>
        <v>0</v>
      </c>
      <c r="EA204" s="3">
        <f t="shared" si="375"/>
        <v>0</v>
      </c>
      <c r="EB204" s="3" t="s">
        <v>70</v>
      </c>
      <c r="EC204" s="3">
        <f t="shared" si="376"/>
        <v>0</v>
      </c>
      <c r="ED204" s="3" t="s">
        <v>70</v>
      </c>
      <c r="EE204" s="3">
        <f t="shared" si="377"/>
        <v>0</v>
      </c>
      <c r="EF204" s="3">
        <f t="shared" si="378"/>
        <v>0</v>
      </c>
      <c r="EG204" s="3">
        <f t="shared" si="379"/>
        <v>0</v>
      </c>
      <c r="EH204" s="3">
        <f t="shared" si="380"/>
        <v>0</v>
      </c>
      <c r="EI204" s="3">
        <f t="shared" si="381"/>
        <v>0</v>
      </c>
      <c r="EJ204" s="3">
        <f t="shared" si="382"/>
        <v>0</v>
      </c>
      <c r="EK204" s="3">
        <f t="shared" si="383"/>
        <v>0</v>
      </c>
      <c r="EL204" s="24">
        <f t="shared" si="384"/>
        <v>0</v>
      </c>
      <c r="EM204" s="24"/>
      <c r="EN204" s="46">
        <f t="shared" si="385"/>
        <v>0</v>
      </c>
      <c r="EO204" s="46">
        <f t="shared" si="386"/>
        <v>0</v>
      </c>
      <c r="EP204" s="47">
        <f t="shared" si="387"/>
        <v>0</v>
      </c>
      <c r="EQ204" s="3" t="s">
        <v>69</v>
      </c>
      <c r="ER204" s="3">
        <f t="shared" si="388"/>
        <v>0</v>
      </c>
      <c r="ES204" s="3">
        <f t="shared" si="389"/>
        <v>0</v>
      </c>
      <c r="ET204" s="46">
        <f t="shared" si="390"/>
        <v>0</v>
      </c>
      <c r="EU204" s="46">
        <f t="shared" si="391"/>
        <v>0</v>
      </c>
      <c r="EV204" s="46">
        <f t="shared" si="392"/>
        <v>0</v>
      </c>
      <c r="EW204" s="46">
        <f t="shared" si="393"/>
        <v>0</v>
      </c>
      <c r="EX204" s="46">
        <f t="shared" si="394"/>
        <v>0</v>
      </c>
      <c r="EY204" s="46">
        <f t="shared" si="395"/>
        <v>0</v>
      </c>
      <c r="EZ204" s="3">
        <f t="shared" si="396"/>
        <v>0</v>
      </c>
      <c r="FA204" s="3" t="s">
        <v>70</v>
      </c>
      <c r="FB204" s="3">
        <f t="shared" si="397"/>
        <v>0</v>
      </c>
      <c r="FC204" s="3" t="s">
        <v>70</v>
      </c>
      <c r="FD204" s="46">
        <f t="shared" si="398"/>
        <v>0</v>
      </c>
      <c r="FE204" s="46">
        <f t="shared" si="399"/>
        <v>0</v>
      </c>
      <c r="FF204" s="46">
        <f t="shared" si="400"/>
        <v>0</v>
      </c>
      <c r="FG204" s="46">
        <f t="shared" si="401"/>
        <v>0</v>
      </c>
      <c r="FH204" s="46">
        <f t="shared" si="402"/>
        <v>0</v>
      </c>
      <c r="FI204" s="46">
        <f t="shared" si="403"/>
        <v>0</v>
      </c>
      <c r="FJ204" s="3">
        <f t="shared" si="404"/>
        <v>0</v>
      </c>
      <c r="FK204" s="46">
        <f t="shared" si="405"/>
        <v>0</v>
      </c>
      <c r="FM204" s="74">
        <f>EL204+'EXTRALABORAL B '!BH387</f>
        <v>0</v>
      </c>
      <c r="FN204" s="74">
        <f t="shared" si="406"/>
        <v>0</v>
      </c>
    </row>
    <row r="205" spans="1:170">
      <c r="A205" s="3">
        <v>202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3">
        <f t="shared" si="364"/>
        <v>0</v>
      </c>
      <c r="DP205" s="3">
        <f t="shared" si="365"/>
        <v>0</v>
      </c>
      <c r="DQ205" s="3">
        <f t="shared" si="366"/>
        <v>0</v>
      </c>
      <c r="DR205" s="3" t="s">
        <v>69</v>
      </c>
      <c r="DS205" s="3">
        <f t="shared" si="367"/>
        <v>0</v>
      </c>
      <c r="DT205" s="3">
        <f t="shared" si="368"/>
        <v>0</v>
      </c>
      <c r="DU205" s="3">
        <f t="shared" si="369"/>
        <v>0</v>
      </c>
      <c r="DV205" s="3">
        <f t="shared" si="370"/>
        <v>0</v>
      </c>
      <c r="DW205" s="3">
        <f t="shared" si="371"/>
        <v>0</v>
      </c>
      <c r="DX205" s="3">
        <f t="shared" si="372"/>
        <v>0</v>
      </c>
      <c r="DY205" s="3">
        <f t="shared" si="373"/>
        <v>0</v>
      </c>
      <c r="DZ205" s="3">
        <f t="shared" si="374"/>
        <v>0</v>
      </c>
      <c r="EA205" s="3">
        <f t="shared" si="375"/>
        <v>0</v>
      </c>
      <c r="EB205" s="3" t="s">
        <v>70</v>
      </c>
      <c r="EC205" s="3">
        <f t="shared" si="376"/>
        <v>0</v>
      </c>
      <c r="ED205" s="3" t="s">
        <v>70</v>
      </c>
      <c r="EE205" s="3">
        <f t="shared" si="377"/>
        <v>0</v>
      </c>
      <c r="EF205" s="3">
        <f t="shared" si="378"/>
        <v>0</v>
      </c>
      <c r="EG205" s="3">
        <f t="shared" si="379"/>
        <v>0</v>
      </c>
      <c r="EH205" s="3">
        <f t="shared" si="380"/>
        <v>0</v>
      </c>
      <c r="EI205" s="3">
        <f t="shared" si="381"/>
        <v>0</v>
      </c>
      <c r="EJ205" s="3">
        <f t="shared" si="382"/>
        <v>0</v>
      </c>
      <c r="EK205" s="3">
        <f t="shared" si="383"/>
        <v>0</v>
      </c>
      <c r="EL205" s="24">
        <f t="shared" si="384"/>
        <v>0</v>
      </c>
      <c r="EM205" s="24"/>
      <c r="EN205" s="46">
        <f t="shared" si="385"/>
        <v>0</v>
      </c>
      <c r="EO205" s="46">
        <f t="shared" si="386"/>
        <v>0</v>
      </c>
      <c r="EP205" s="47">
        <f t="shared" si="387"/>
        <v>0</v>
      </c>
      <c r="EQ205" s="3" t="s">
        <v>69</v>
      </c>
      <c r="ER205" s="3">
        <f t="shared" si="388"/>
        <v>0</v>
      </c>
      <c r="ES205" s="3">
        <f t="shared" si="389"/>
        <v>0</v>
      </c>
      <c r="ET205" s="46">
        <f t="shared" si="390"/>
        <v>0</v>
      </c>
      <c r="EU205" s="46">
        <f t="shared" si="391"/>
        <v>0</v>
      </c>
      <c r="EV205" s="46">
        <f t="shared" si="392"/>
        <v>0</v>
      </c>
      <c r="EW205" s="46">
        <f t="shared" si="393"/>
        <v>0</v>
      </c>
      <c r="EX205" s="46">
        <f t="shared" si="394"/>
        <v>0</v>
      </c>
      <c r="EY205" s="46">
        <f t="shared" si="395"/>
        <v>0</v>
      </c>
      <c r="EZ205" s="3">
        <f t="shared" si="396"/>
        <v>0</v>
      </c>
      <c r="FA205" s="3" t="s">
        <v>70</v>
      </c>
      <c r="FB205" s="3">
        <f t="shared" si="397"/>
        <v>0</v>
      </c>
      <c r="FC205" s="3" t="s">
        <v>70</v>
      </c>
      <c r="FD205" s="46">
        <f t="shared" si="398"/>
        <v>0</v>
      </c>
      <c r="FE205" s="46">
        <f t="shared" si="399"/>
        <v>0</v>
      </c>
      <c r="FF205" s="46">
        <f t="shared" si="400"/>
        <v>0</v>
      </c>
      <c r="FG205" s="46">
        <f t="shared" si="401"/>
        <v>0</v>
      </c>
      <c r="FH205" s="46">
        <f t="shared" si="402"/>
        <v>0</v>
      </c>
      <c r="FI205" s="46">
        <f t="shared" si="403"/>
        <v>0</v>
      </c>
      <c r="FJ205" s="3">
        <f t="shared" si="404"/>
        <v>0</v>
      </c>
      <c r="FK205" s="46">
        <f t="shared" si="405"/>
        <v>0</v>
      </c>
      <c r="FM205" s="74">
        <f>EL205+'EXTRALABORAL B '!BH388</f>
        <v>0</v>
      </c>
      <c r="FN205" s="74">
        <f t="shared" si="406"/>
        <v>0</v>
      </c>
    </row>
    <row r="206" spans="1:170">
      <c r="A206" s="3">
        <v>203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24"/>
      <c r="EM206" s="24"/>
      <c r="EN206" s="46"/>
      <c r="EO206" s="46"/>
      <c r="EP206" s="47"/>
      <c r="EQ206" s="3"/>
      <c r="ER206" s="3"/>
      <c r="ES206" s="3"/>
      <c r="ET206" s="46"/>
      <c r="EU206" s="46"/>
      <c r="EV206" s="46"/>
      <c r="EW206" s="46"/>
      <c r="EX206" s="46"/>
      <c r="EY206" s="46"/>
      <c r="EZ206" s="3"/>
      <c r="FA206" s="3"/>
      <c r="FB206" s="3"/>
      <c r="FC206" s="3"/>
      <c r="FD206" s="46"/>
      <c r="FE206" s="46"/>
      <c r="FF206" s="46"/>
      <c r="FG206" s="46"/>
      <c r="FH206" s="46"/>
      <c r="FI206" s="46"/>
      <c r="FJ206" s="3"/>
      <c r="FK206" s="46"/>
      <c r="FM206" s="74"/>
      <c r="FN206" s="74"/>
    </row>
    <row r="207" spans="1:170">
      <c r="A207" s="3">
        <v>204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3">
        <f t="shared" si="364"/>
        <v>0</v>
      </c>
      <c r="DP207" s="3">
        <f t="shared" si="365"/>
        <v>0</v>
      </c>
      <c r="DQ207" s="3">
        <f t="shared" si="366"/>
        <v>0</v>
      </c>
      <c r="DR207" s="3" t="s">
        <v>69</v>
      </c>
      <c r="DS207" s="3">
        <f t="shared" si="367"/>
        <v>0</v>
      </c>
      <c r="DT207" s="3">
        <f t="shared" si="368"/>
        <v>0</v>
      </c>
      <c r="DU207" s="3">
        <f t="shared" si="369"/>
        <v>0</v>
      </c>
      <c r="DV207" s="3">
        <f t="shared" si="370"/>
        <v>0</v>
      </c>
      <c r="DW207" s="3">
        <f t="shared" si="371"/>
        <v>0</v>
      </c>
      <c r="DX207" s="3">
        <f t="shared" si="372"/>
        <v>0</v>
      </c>
      <c r="DY207" s="3">
        <f t="shared" si="373"/>
        <v>0</v>
      </c>
      <c r="DZ207" s="3">
        <f t="shared" si="374"/>
        <v>0</v>
      </c>
      <c r="EA207" s="3">
        <f t="shared" si="375"/>
        <v>0</v>
      </c>
      <c r="EB207" s="3" t="s">
        <v>70</v>
      </c>
      <c r="EC207" s="3">
        <f t="shared" si="376"/>
        <v>0</v>
      </c>
      <c r="ED207" s="3" t="s">
        <v>70</v>
      </c>
      <c r="EE207" s="3">
        <f t="shared" si="377"/>
        <v>0</v>
      </c>
      <c r="EF207" s="3">
        <f t="shared" si="378"/>
        <v>0</v>
      </c>
      <c r="EG207" s="3">
        <f t="shared" si="379"/>
        <v>0</v>
      </c>
      <c r="EH207" s="3">
        <f t="shared" si="380"/>
        <v>0</v>
      </c>
      <c r="EI207" s="3">
        <f t="shared" si="381"/>
        <v>0</v>
      </c>
      <c r="EJ207" s="3">
        <f t="shared" si="382"/>
        <v>0</v>
      </c>
      <c r="EK207" s="3">
        <f t="shared" si="383"/>
        <v>0</v>
      </c>
      <c r="EL207" s="24">
        <f t="shared" si="384"/>
        <v>0</v>
      </c>
      <c r="EM207" s="24"/>
      <c r="EN207" s="46">
        <f t="shared" si="385"/>
        <v>0</v>
      </c>
      <c r="EO207" s="46">
        <f t="shared" si="386"/>
        <v>0</v>
      </c>
      <c r="EP207" s="47">
        <f t="shared" si="387"/>
        <v>0</v>
      </c>
      <c r="EQ207" s="3" t="s">
        <v>69</v>
      </c>
      <c r="ER207" s="3">
        <f t="shared" si="388"/>
        <v>0</v>
      </c>
      <c r="ES207" s="3">
        <f t="shared" si="389"/>
        <v>0</v>
      </c>
      <c r="ET207" s="46">
        <f t="shared" si="390"/>
        <v>0</v>
      </c>
      <c r="EU207" s="46">
        <f t="shared" si="391"/>
        <v>0</v>
      </c>
      <c r="EV207" s="46">
        <f t="shared" si="392"/>
        <v>0</v>
      </c>
      <c r="EW207" s="46">
        <f t="shared" si="393"/>
        <v>0</v>
      </c>
      <c r="EX207" s="46">
        <f t="shared" si="394"/>
        <v>0</v>
      </c>
      <c r="EY207" s="46">
        <f t="shared" si="395"/>
        <v>0</v>
      </c>
      <c r="EZ207" s="3">
        <f t="shared" si="396"/>
        <v>0</v>
      </c>
      <c r="FA207" s="3" t="s">
        <v>70</v>
      </c>
      <c r="FB207" s="3">
        <f t="shared" si="397"/>
        <v>0</v>
      </c>
      <c r="FC207" s="3" t="s">
        <v>70</v>
      </c>
      <c r="FD207" s="46">
        <f t="shared" si="398"/>
        <v>0</v>
      </c>
      <c r="FE207" s="46">
        <f t="shared" si="399"/>
        <v>0</v>
      </c>
      <c r="FF207" s="46">
        <f t="shared" si="400"/>
        <v>0</v>
      </c>
      <c r="FG207" s="46">
        <f t="shared" si="401"/>
        <v>0</v>
      </c>
      <c r="FH207" s="46">
        <f t="shared" si="402"/>
        <v>0</v>
      </c>
      <c r="FI207" s="46">
        <f t="shared" si="403"/>
        <v>0</v>
      </c>
      <c r="FJ207" s="3">
        <f t="shared" si="404"/>
        <v>0</v>
      </c>
      <c r="FK207" s="46">
        <f t="shared" si="405"/>
        <v>0</v>
      </c>
      <c r="FM207" s="74">
        <f>EL207+'EXTRALABORAL B '!BH389</f>
        <v>0</v>
      </c>
      <c r="FN207" s="74">
        <f t="shared" si="406"/>
        <v>0</v>
      </c>
    </row>
    <row r="208" spans="1:170">
      <c r="A208" s="3">
        <v>205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3">
        <f t="shared" si="364"/>
        <v>0</v>
      </c>
      <c r="DP208" s="3">
        <f t="shared" si="365"/>
        <v>0</v>
      </c>
      <c r="DQ208" s="3">
        <f t="shared" si="366"/>
        <v>0</v>
      </c>
      <c r="DR208" s="3" t="s">
        <v>69</v>
      </c>
      <c r="DS208" s="3">
        <f t="shared" si="367"/>
        <v>0</v>
      </c>
      <c r="DT208" s="3">
        <f t="shared" si="368"/>
        <v>0</v>
      </c>
      <c r="DU208" s="3">
        <f t="shared" si="369"/>
        <v>0</v>
      </c>
      <c r="DV208" s="3">
        <f t="shared" si="370"/>
        <v>0</v>
      </c>
      <c r="DW208" s="3">
        <f t="shared" si="371"/>
        <v>0</v>
      </c>
      <c r="DX208" s="3">
        <f t="shared" si="372"/>
        <v>0</v>
      </c>
      <c r="DY208" s="3">
        <f t="shared" si="373"/>
        <v>0</v>
      </c>
      <c r="DZ208" s="3">
        <f t="shared" si="374"/>
        <v>0</v>
      </c>
      <c r="EA208" s="3">
        <f t="shared" si="375"/>
        <v>0</v>
      </c>
      <c r="EB208" s="3" t="s">
        <v>70</v>
      </c>
      <c r="EC208" s="3">
        <f t="shared" si="376"/>
        <v>0</v>
      </c>
      <c r="ED208" s="3" t="s">
        <v>70</v>
      </c>
      <c r="EE208" s="3">
        <f t="shared" si="377"/>
        <v>0</v>
      </c>
      <c r="EF208" s="3">
        <f t="shared" si="378"/>
        <v>0</v>
      </c>
      <c r="EG208" s="3">
        <f t="shared" si="379"/>
        <v>0</v>
      </c>
      <c r="EH208" s="3">
        <f t="shared" si="380"/>
        <v>0</v>
      </c>
      <c r="EI208" s="3">
        <f t="shared" si="381"/>
        <v>0</v>
      </c>
      <c r="EJ208" s="3">
        <f t="shared" si="382"/>
        <v>0</v>
      </c>
      <c r="EK208" s="3">
        <f t="shared" si="383"/>
        <v>0</v>
      </c>
      <c r="EL208" s="24">
        <f t="shared" si="384"/>
        <v>0</v>
      </c>
      <c r="EM208" s="24"/>
      <c r="EN208" s="46">
        <f t="shared" si="385"/>
        <v>0</v>
      </c>
      <c r="EO208" s="46">
        <f t="shared" si="386"/>
        <v>0</v>
      </c>
      <c r="EP208" s="47">
        <f t="shared" si="387"/>
        <v>0</v>
      </c>
      <c r="EQ208" s="3" t="s">
        <v>69</v>
      </c>
      <c r="ER208" s="3">
        <f t="shared" si="388"/>
        <v>0</v>
      </c>
      <c r="ES208" s="3">
        <f t="shared" si="389"/>
        <v>0</v>
      </c>
      <c r="ET208" s="46">
        <f t="shared" si="390"/>
        <v>0</v>
      </c>
      <c r="EU208" s="46">
        <f t="shared" si="391"/>
        <v>0</v>
      </c>
      <c r="EV208" s="46">
        <f t="shared" si="392"/>
        <v>0</v>
      </c>
      <c r="EW208" s="46">
        <f t="shared" si="393"/>
        <v>0</v>
      </c>
      <c r="EX208" s="46">
        <f t="shared" si="394"/>
        <v>0</v>
      </c>
      <c r="EY208" s="46">
        <f t="shared" si="395"/>
        <v>0</v>
      </c>
      <c r="EZ208" s="3">
        <f t="shared" si="396"/>
        <v>0</v>
      </c>
      <c r="FA208" s="3" t="s">
        <v>70</v>
      </c>
      <c r="FB208" s="3">
        <f t="shared" si="397"/>
        <v>0</v>
      </c>
      <c r="FC208" s="3" t="s">
        <v>70</v>
      </c>
      <c r="FD208" s="46">
        <f t="shared" si="398"/>
        <v>0</v>
      </c>
      <c r="FE208" s="46">
        <f t="shared" si="399"/>
        <v>0</v>
      </c>
      <c r="FF208" s="46">
        <f t="shared" si="400"/>
        <v>0</v>
      </c>
      <c r="FG208" s="46">
        <f t="shared" si="401"/>
        <v>0</v>
      </c>
      <c r="FH208" s="46">
        <f t="shared" si="402"/>
        <v>0</v>
      </c>
      <c r="FI208" s="46">
        <f t="shared" si="403"/>
        <v>0</v>
      </c>
      <c r="FJ208" s="3">
        <f t="shared" si="404"/>
        <v>0</v>
      </c>
      <c r="FK208" s="46">
        <f t="shared" si="405"/>
        <v>0</v>
      </c>
      <c r="FM208" s="74">
        <f>EL208+'EXTRALABORAL B '!BH390</f>
        <v>0</v>
      </c>
      <c r="FN208" s="74">
        <f t="shared" si="406"/>
        <v>0</v>
      </c>
    </row>
    <row r="209" spans="1:170">
      <c r="A209" s="3">
        <v>206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3">
        <f t="shared" si="364"/>
        <v>0</v>
      </c>
      <c r="DP209" s="3">
        <f t="shared" si="365"/>
        <v>0</v>
      </c>
      <c r="DQ209" s="3">
        <f t="shared" si="366"/>
        <v>0</v>
      </c>
      <c r="DR209" s="3" t="s">
        <v>69</v>
      </c>
      <c r="DS209" s="3">
        <f t="shared" si="367"/>
        <v>0</v>
      </c>
      <c r="DT209" s="3">
        <f t="shared" si="368"/>
        <v>0</v>
      </c>
      <c r="DU209" s="3">
        <f t="shared" si="369"/>
        <v>0</v>
      </c>
      <c r="DV209" s="3">
        <f t="shared" si="370"/>
        <v>0</v>
      </c>
      <c r="DW209" s="3">
        <f t="shared" si="371"/>
        <v>0</v>
      </c>
      <c r="DX209" s="3">
        <f t="shared" si="372"/>
        <v>0</v>
      </c>
      <c r="DY209" s="3">
        <f t="shared" si="373"/>
        <v>0</v>
      </c>
      <c r="DZ209" s="3">
        <f t="shared" si="374"/>
        <v>0</v>
      </c>
      <c r="EA209" s="3">
        <f t="shared" si="375"/>
        <v>0</v>
      </c>
      <c r="EB209" s="3" t="s">
        <v>70</v>
      </c>
      <c r="EC209" s="3">
        <f t="shared" si="376"/>
        <v>0</v>
      </c>
      <c r="ED209" s="3" t="s">
        <v>70</v>
      </c>
      <c r="EE209" s="3">
        <f t="shared" si="377"/>
        <v>0</v>
      </c>
      <c r="EF209" s="3">
        <f t="shared" si="378"/>
        <v>0</v>
      </c>
      <c r="EG209" s="3">
        <f t="shared" si="379"/>
        <v>0</v>
      </c>
      <c r="EH209" s="3">
        <f t="shared" si="380"/>
        <v>0</v>
      </c>
      <c r="EI209" s="3">
        <f t="shared" si="381"/>
        <v>0</v>
      </c>
      <c r="EJ209" s="3">
        <f t="shared" si="382"/>
        <v>0</v>
      </c>
      <c r="EK209" s="3">
        <f t="shared" si="383"/>
        <v>0</v>
      </c>
      <c r="EL209" s="24">
        <f t="shared" si="384"/>
        <v>0</v>
      </c>
      <c r="EM209" s="24"/>
      <c r="EN209" s="46">
        <f t="shared" si="385"/>
        <v>0</v>
      </c>
      <c r="EO209" s="46">
        <f t="shared" si="386"/>
        <v>0</v>
      </c>
      <c r="EP209" s="47">
        <f t="shared" si="387"/>
        <v>0</v>
      </c>
      <c r="EQ209" s="3" t="s">
        <v>69</v>
      </c>
      <c r="ER209" s="3">
        <f t="shared" si="388"/>
        <v>0</v>
      </c>
      <c r="ES209" s="3">
        <f t="shared" si="389"/>
        <v>0</v>
      </c>
      <c r="ET209" s="46">
        <f t="shared" si="390"/>
        <v>0</v>
      </c>
      <c r="EU209" s="46">
        <f t="shared" si="391"/>
        <v>0</v>
      </c>
      <c r="EV209" s="46">
        <f t="shared" si="392"/>
        <v>0</v>
      </c>
      <c r="EW209" s="46">
        <f t="shared" si="393"/>
        <v>0</v>
      </c>
      <c r="EX209" s="46">
        <f t="shared" si="394"/>
        <v>0</v>
      </c>
      <c r="EY209" s="46">
        <f t="shared" si="395"/>
        <v>0</v>
      </c>
      <c r="EZ209" s="3">
        <f t="shared" si="396"/>
        <v>0</v>
      </c>
      <c r="FA209" s="3" t="s">
        <v>70</v>
      </c>
      <c r="FB209" s="3">
        <f t="shared" si="397"/>
        <v>0</v>
      </c>
      <c r="FC209" s="3" t="s">
        <v>70</v>
      </c>
      <c r="FD209" s="46">
        <f t="shared" si="398"/>
        <v>0</v>
      </c>
      <c r="FE209" s="46">
        <f t="shared" si="399"/>
        <v>0</v>
      </c>
      <c r="FF209" s="46">
        <f t="shared" si="400"/>
        <v>0</v>
      </c>
      <c r="FG209" s="46">
        <f t="shared" si="401"/>
        <v>0</v>
      </c>
      <c r="FH209" s="46">
        <f t="shared" si="402"/>
        <v>0</v>
      </c>
      <c r="FI209" s="46">
        <f t="shared" si="403"/>
        <v>0</v>
      </c>
      <c r="FJ209" s="3">
        <f t="shared" si="404"/>
        <v>0</v>
      </c>
      <c r="FK209" s="46">
        <f t="shared" si="405"/>
        <v>0</v>
      </c>
      <c r="FM209" s="74">
        <f>EL209+'EXTRALABORAL B '!BH391</f>
        <v>0</v>
      </c>
      <c r="FN209" s="74">
        <f t="shared" si="406"/>
        <v>0</v>
      </c>
    </row>
    <row r="210" spans="1:170">
      <c r="A210" s="3">
        <v>207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3">
        <f t="shared" si="364"/>
        <v>0</v>
      </c>
      <c r="DP210" s="3">
        <f t="shared" si="365"/>
        <v>0</v>
      </c>
      <c r="DQ210" s="3">
        <f t="shared" si="366"/>
        <v>0</v>
      </c>
      <c r="DR210" s="3" t="s">
        <v>69</v>
      </c>
      <c r="DS210" s="3">
        <f t="shared" si="367"/>
        <v>0</v>
      </c>
      <c r="DT210" s="3">
        <f t="shared" si="368"/>
        <v>0</v>
      </c>
      <c r="DU210" s="3">
        <f t="shared" si="369"/>
        <v>0</v>
      </c>
      <c r="DV210" s="3">
        <f t="shared" si="370"/>
        <v>0</v>
      </c>
      <c r="DW210" s="3">
        <f t="shared" si="371"/>
        <v>0</v>
      </c>
      <c r="DX210" s="3">
        <f t="shared" si="372"/>
        <v>0</v>
      </c>
      <c r="DY210" s="3">
        <f t="shared" si="373"/>
        <v>0</v>
      </c>
      <c r="DZ210" s="3">
        <f t="shared" si="374"/>
        <v>0</v>
      </c>
      <c r="EA210" s="3">
        <f t="shared" si="375"/>
        <v>0</v>
      </c>
      <c r="EB210" s="3" t="s">
        <v>70</v>
      </c>
      <c r="EC210" s="3">
        <f t="shared" si="376"/>
        <v>0</v>
      </c>
      <c r="ED210" s="3" t="s">
        <v>70</v>
      </c>
      <c r="EE210" s="3">
        <f t="shared" si="377"/>
        <v>0</v>
      </c>
      <c r="EF210" s="3">
        <f t="shared" si="378"/>
        <v>0</v>
      </c>
      <c r="EG210" s="3">
        <f t="shared" si="379"/>
        <v>0</v>
      </c>
      <c r="EH210" s="3">
        <f t="shared" si="380"/>
        <v>0</v>
      </c>
      <c r="EI210" s="3">
        <f t="shared" si="381"/>
        <v>0</v>
      </c>
      <c r="EJ210" s="3">
        <f t="shared" si="382"/>
        <v>0</v>
      </c>
      <c r="EK210" s="3">
        <f t="shared" si="383"/>
        <v>0</v>
      </c>
      <c r="EL210" s="24">
        <f t="shared" si="384"/>
        <v>0</v>
      </c>
      <c r="EM210" s="24"/>
      <c r="EN210" s="46">
        <f t="shared" si="385"/>
        <v>0</v>
      </c>
      <c r="EO210" s="46">
        <f t="shared" si="386"/>
        <v>0</v>
      </c>
      <c r="EP210" s="47">
        <f t="shared" si="387"/>
        <v>0</v>
      </c>
      <c r="EQ210" s="3" t="s">
        <v>69</v>
      </c>
      <c r="ER210" s="3">
        <f t="shared" si="388"/>
        <v>0</v>
      </c>
      <c r="ES210" s="3">
        <f t="shared" si="389"/>
        <v>0</v>
      </c>
      <c r="ET210" s="46">
        <f t="shared" si="390"/>
        <v>0</v>
      </c>
      <c r="EU210" s="46">
        <f t="shared" si="391"/>
        <v>0</v>
      </c>
      <c r="EV210" s="46">
        <f t="shared" si="392"/>
        <v>0</v>
      </c>
      <c r="EW210" s="46">
        <f t="shared" si="393"/>
        <v>0</v>
      </c>
      <c r="EX210" s="46">
        <f t="shared" si="394"/>
        <v>0</v>
      </c>
      <c r="EY210" s="46">
        <f t="shared" si="395"/>
        <v>0</v>
      </c>
      <c r="EZ210" s="3">
        <f t="shared" si="396"/>
        <v>0</v>
      </c>
      <c r="FA210" s="3" t="s">
        <v>70</v>
      </c>
      <c r="FB210" s="3">
        <f t="shared" si="397"/>
        <v>0</v>
      </c>
      <c r="FC210" s="3" t="s">
        <v>70</v>
      </c>
      <c r="FD210" s="46">
        <f t="shared" si="398"/>
        <v>0</v>
      </c>
      <c r="FE210" s="46">
        <f t="shared" si="399"/>
        <v>0</v>
      </c>
      <c r="FF210" s="46">
        <f t="shared" si="400"/>
        <v>0</v>
      </c>
      <c r="FG210" s="46">
        <f t="shared" si="401"/>
        <v>0</v>
      </c>
      <c r="FH210" s="46">
        <f t="shared" si="402"/>
        <v>0</v>
      </c>
      <c r="FI210" s="46">
        <f t="shared" si="403"/>
        <v>0</v>
      </c>
      <c r="FJ210" s="3">
        <f t="shared" si="404"/>
        <v>0</v>
      </c>
      <c r="FK210" s="46">
        <f t="shared" si="405"/>
        <v>0</v>
      </c>
      <c r="FM210" s="74">
        <f>EL210+'EXTRALABORAL B '!BH392</f>
        <v>0</v>
      </c>
      <c r="FN210" s="74">
        <f t="shared" si="406"/>
        <v>0</v>
      </c>
    </row>
    <row r="211" spans="1:170">
      <c r="A211" s="3">
        <v>208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3">
        <f t="shared" si="364"/>
        <v>0</v>
      </c>
      <c r="DP211" s="3">
        <f t="shared" si="365"/>
        <v>0</v>
      </c>
      <c r="DQ211" s="3">
        <f t="shared" si="366"/>
        <v>0</v>
      </c>
      <c r="DR211" s="3" t="s">
        <v>69</v>
      </c>
      <c r="DS211" s="3">
        <f t="shared" si="367"/>
        <v>0</v>
      </c>
      <c r="DT211" s="3">
        <f t="shared" si="368"/>
        <v>0</v>
      </c>
      <c r="DU211" s="3">
        <f t="shared" si="369"/>
        <v>0</v>
      </c>
      <c r="DV211" s="3">
        <f t="shared" si="370"/>
        <v>0</v>
      </c>
      <c r="DW211" s="3">
        <f t="shared" si="371"/>
        <v>0</v>
      </c>
      <c r="DX211" s="3">
        <f t="shared" si="372"/>
        <v>0</v>
      </c>
      <c r="DY211" s="3">
        <f t="shared" si="373"/>
        <v>0</v>
      </c>
      <c r="DZ211" s="3">
        <f t="shared" si="374"/>
        <v>0</v>
      </c>
      <c r="EA211" s="3">
        <f t="shared" si="375"/>
        <v>0</v>
      </c>
      <c r="EB211" s="3" t="s">
        <v>70</v>
      </c>
      <c r="EC211" s="3">
        <f t="shared" si="376"/>
        <v>0</v>
      </c>
      <c r="ED211" s="3" t="s">
        <v>70</v>
      </c>
      <c r="EE211" s="3">
        <f t="shared" si="377"/>
        <v>0</v>
      </c>
      <c r="EF211" s="3">
        <f t="shared" si="378"/>
        <v>0</v>
      </c>
      <c r="EG211" s="3">
        <f t="shared" si="379"/>
        <v>0</v>
      </c>
      <c r="EH211" s="3">
        <f t="shared" si="380"/>
        <v>0</v>
      </c>
      <c r="EI211" s="3">
        <f t="shared" si="381"/>
        <v>0</v>
      </c>
      <c r="EJ211" s="3">
        <f t="shared" si="382"/>
        <v>0</v>
      </c>
      <c r="EK211" s="3">
        <f t="shared" si="383"/>
        <v>0</v>
      </c>
      <c r="EL211" s="24">
        <f t="shared" si="384"/>
        <v>0</v>
      </c>
      <c r="EM211" s="24"/>
      <c r="EN211" s="46">
        <f t="shared" si="385"/>
        <v>0</v>
      </c>
      <c r="EO211" s="46">
        <f t="shared" si="386"/>
        <v>0</v>
      </c>
      <c r="EP211" s="47">
        <f t="shared" si="387"/>
        <v>0</v>
      </c>
      <c r="EQ211" s="3" t="s">
        <v>69</v>
      </c>
      <c r="ER211" s="3">
        <f t="shared" si="388"/>
        <v>0</v>
      </c>
      <c r="ES211" s="3">
        <f t="shared" si="389"/>
        <v>0</v>
      </c>
      <c r="ET211" s="46">
        <f t="shared" si="390"/>
        <v>0</v>
      </c>
      <c r="EU211" s="46">
        <f t="shared" si="391"/>
        <v>0</v>
      </c>
      <c r="EV211" s="46">
        <f t="shared" si="392"/>
        <v>0</v>
      </c>
      <c r="EW211" s="46">
        <f t="shared" si="393"/>
        <v>0</v>
      </c>
      <c r="EX211" s="46">
        <f t="shared" si="394"/>
        <v>0</v>
      </c>
      <c r="EY211" s="46">
        <f t="shared" si="395"/>
        <v>0</v>
      </c>
      <c r="EZ211" s="3">
        <f t="shared" si="396"/>
        <v>0</v>
      </c>
      <c r="FA211" s="3" t="s">
        <v>70</v>
      </c>
      <c r="FB211" s="3">
        <f t="shared" si="397"/>
        <v>0</v>
      </c>
      <c r="FC211" s="3" t="s">
        <v>70</v>
      </c>
      <c r="FD211" s="46">
        <f t="shared" si="398"/>
        <v>0</v>
      </c>
      <c r="FE211" s="46">
        <f t="shared" si="399"/>
        <v>0</v>
      </c>
      <c r="FF211" s="46">
        <f t="shared" si="400"/>
        <v>0</v>
      </c>
      <c r="FG211" s="46">
        <f t="shared" si="401"/>
        <v>0</v>
      </c>
      <c r="FH211" s="46">
        <f t="shared" si="402"/>
        <v>0</v>
      </c>
      <c r="FI211" s="46">
        <f t="shared" si="403"/>
        <v>0</v>
      </c>
      <c r="FJ211" s="3">
        <f t="shared" si="404"/>
        <v>0</v>
      </c>
      <c r="FK211" s="46">
        <f t="shared" si="405"/>
        <v>0</v>
      </c>
      <c r="FM211" s="74">
        <f>EL211+'EXTRALABORAL B '!BH393</f>
        <v>0</v>
      </c>
      <c r="FN211" s="74">
        <f t="shared" si="406"/>
        <v>0</v>
      </c>
    </row>
    <row r="212" spans="1:170">
      <c r="A212" s="3"/>
      <c r="B212" s="3"/>
      <c r="DO212" s="55"/>
      <c r="DP212" s="55"/>
      <c r="DQ212" s="55"/>
      <c r="DR212" s="55"/>
      <c r="DS212" s="55"/>
      <c r="DT212" s="55"/>
      <c r="DU212" s="55"/>
      <c r="DV212" s="55"/>
      <c r="DW212" s="55"/>
      <c r="DX212" s="55"/>
      <c r="DY212" s="55"/>
      <c r="DZ212" s="55"/>
      <c r="EA212" s="55"/>
      <c r="EB212" s="55"/>
      <c r="EC212" s="55"/>
      <c r="ED212" s="55"/>
      <c r="EE212" s="55"/>
      <c r="EF212" s="55"/>
      <c r="EG212" s="55"/>
      <c r="EH212" s="55"/>
      <c r="EI212" s="55"/>
      <c r="EJ212" s="55"/>
      <c r="EK212" s="55"/>
      <c r="EL212" s="55"/>
      <c r="EM212" s="55"/>
      <c r="EN212" s="55">
        <f>AVERAGE(EN4:EN211)</f>
        <v>1.616499442586399</v>
      </c>
      <c r="EO212" s="55">
        <f>AVERAGE(EO4:EO211)</f>
        <v>1.6203703703703705</v>
      </c>
      <c r="EP212" s="55">
        <f>AVERAGE(EP4:EP211)</f>
        <v>2.318840579710145</v>
      </c>
      <c r="EQ212" s="55"/>
      <c r="ER212" s="55">
        <f t="shared" ref="ER212:EZ212" si="407">AVERAGE(ER4:ER211)</f>
        <v>0.893719806763285</v>
      </c>
      <c r="ES212" s="55">
        <f t="shared" si="407"/>
        <v>0.52334943639291454</v>
      </c>
      <c r="ET212" s="55">
        <f t="shared" si="407"/>
        <v>1.6908212560386473</v>
      </c>
      <c r="EU212" s="55">
        <f t="shared" si="407"/>
        <v>2.0229468599033815</v>
      </c>
      <c r="EV212" s="55">
        <f t="shared" si="407"/>
        <v>2.8180354267310785</v>
      </c>
      <c r="EW212" s="55">
        <f t="shared" si="407"/>
        <v>1.4090177133655393</v>
      </c>
      <c r="EX212" s="80">
        <f t="shared" si="407"/>
        <v>1.7847557702630168</v>
      </c>
      <c r="EY212" s="55">
        <f t="shared" si="407"/>
        <v>2.1739130434782608</v>
      </c>
      <c r="EZ212" s="55">
        <f t="shared" si="407"/>
        <v>1.8417874396135265</v>
      </c>
      <c r="FA212" s="55"/>
      <c r="FB212" s="55">
        <f>AVERAGE(FB4:FB211)</f>
        <v>4.879227053140097</v>
      </c>
      <c r="FC212" s="55"/>
      <c r="FD212" s="55">
        <f t="shared" ref="FD212:FJ212" si="408">AVERAGE(FD4:FD211)</f>
        <v>1.9122383252818032</v>
      </c>
      <c r="FE212" s="55">
        <f t="shared" si="408"/>
        <v>0.21135265700483091</v>
      </c>
      <c r="FF212" s="55">
        <f t="shared" si="408"/>
        <v>0.72463768115942029</v>
      </c>
      <c r="FG212" s="55">
        <f t="shared" si="408"/>
        <v>1.7270531400966187</v>
      </c>
      <c r="FH212" s="55">
        <f t="shared" si="408"/>
        <v>1.5365002683843263</v>
      </c>
      <c r="FI212" s="55">
        <f t="shared" si="408"/>
        <v>2.1212684256162517</v>
      </c>
      <c r="FJ212" s="55">
        <f t="shared" si="408"/>
        <v>0.51932367149758452</v>
      </c>
      <c r="FK212" s="55">
        <f>AVERAGE(FK4:FK18)</f>
        <v>23.814432989690726</v>
      </c>
      <c r="FM212" s="74">
        <f>EL212+'EXTRALABORAL B '!BH213</f>
        <v>0</v>
      </c>
      <c r="FN212" s="71">
        <f>AVERAGE(FN4:FN18)</f>
        <v>22.916666666666668</v>
      </c>
    </row>
    <row r="213" spans="1:170">
      <c r="DS213" s="54"/>
      <c r="DT213" s="54"/>
      <c r="DU213" s="54"/>
      <c r="DV213" s="54"/>
      <c r="DW213" s="54"/>
      <c r="DX213" s="54"/>
      <c r="DY213" s="54"/>
      <c r="DZ213" s="54"/>
      <c r="EA213" s="54"/>
      <c r="EB213" s="54"/>
      <c r="EC213" s="54"/>
      <c r="ED213" s="54"/>
      <c r="EE213" s="54"/>
      <c r="EF213" s="54"/>
      <c r="EG213" s="54"/>
      <c r="EN213" s="46"/>
      <c r="EO213" s="46"/>
    </row>
    <row r="214" spans="1:170">
      <c r="EN214" s="46"/>
      <c r="EO214" s="46"/>
    </row>
    <row r="215" spans="1:170">
      <c r="EN215" s="46"/>
      <c r="EO215" s="46"/>
    </row>
    <row r="216" spans="1:170">
      <c r="EN216" s="46"/>
      <c r="EO216" s="46"/>
    </row>
  </sheetData>
  <mergeCells count="22">
    <mergeCell ref="EF1:EG1"/>
    <mergeCell ref="EH1:EK2"/>
    <mergeCell ref="EL1:EL2"/>
    <mergeCell ref="DO1:DR1"/>
    <mergeCell ref="DS1:DW1"/>
    <mergeCell ref="DX1:EE1"/>
    <mergeCell ref="FM2:FN2"/>
    <mergeCell ref="A1:U2"/>
    <mergeCell ref="V2:DN2"/>
    <mergeCell ref="FG2:FJ2"/>
    <mergeCell ref="EN1:EQ1"/>
    <mergeCell ref="ER1:EV1"/>
    <mergeCell ref="EW1:FD1"/>
    <mergeCell ref="FE1:FF1"/>
    <mergeCell ref="EW2:FD2"/>
    <mergeCell ref="FE2:FF2"/>
    <mergeCell ref="DO2:DR2"/>
    <mergeCell ref="DS2:DW2"/>
    <mergeCell ref="DX2:EE2"/>
    <mergeCell ref="EF2:EG2"/>
    <mergeCell ref="EN2:EQ2"/>
    <mergeCell ref="ER2:EV2"/>
  </mergeCells>
  <phoneticPr fontId="10" type="noConversion"/>
  <conditionalFormatting sqref="EN212">
    <cfRule type="cellIs" dxfId="153" priority="111" operator="between">
      <formula>38.6</formula>
      <formula>100</formula>
    </cfRule>
    <cfRule type="cellIs" dxfId="152" priority="115" operator="between">
      <formula>0</formula>
      <formula>3.8</formula>
    </cfRule>
    <cfRule type="cellIs" dxfId="151" priority="112" operator="between">
      <formula>25.1</formula>
      <formula>38.5</formula>
    </cfRule>
    <cfRule type="cellIs" dxfId="150" priority="113" operator="between">
      <formula>13.6</formula>
      <formula>25</formula>
    </cfRule>
    <cfRule type="cellIs" dxfId="149" priority="114" operator="between">
      <formula>3.9</formula>
      <formula>13.5</formula>
    </cfRule>
  </conditionalFormatting>
  <conditionalFormatting sqref="EO212">
    <cfRule type="cellIs" dxfId="148" priority="110" operator="between">
      <formula>0</formula>
      <formula>6.3</formula>
    </cfRule>
    <cfRule type="cellIs" dxfId="147" priority="109" operator="between">
      <formula>6.4</formula>
      <formula>14.6</formula>
    </cfRule>
    <cfRule type="cellIs" dxfId="146" priority="108" operator="between">
      <formula>14.7</formula>
      <formula>27.1</formula>
    </cfRule>
    <cfRule type="cellIs" dxfId="145" priority="107" operator="between">
      <formula>27.2</formula>
      <formula>37.5</formula>
    </cfRule>
    <cfRule type="cellIs" dxfId="144" priority="106" operator="between">
      <formula>37.6</formula>
      <formula>100</formula>
    </cfRule>
  </conditionalFormatting>
  <conditionalFormatting sqref="EP212">
    <cfRule type="cellIs" dxfId="143" priority="105" operator="between">
      <formula>0.5</formula>
      <formula>5</formula>
    </cfRule>
    <cfRule type="cellIs" dxfId="142" priority="104" operator="between">
      <formula>5.1</formula>
      <formula>20</formula>
    </cfRule>
    <cfRule type="cellIs" dxfId="141" priority="103" operator="between">
      <formula>20.1</formula>
      <formula>30</formula>
    </cfRule>
    <cfRule type="cellIs" dxfId="140" priority="101" operator="between">
      <formula>50.1</formula>
      <formula>100</formula>
    </cfRule>
    <cfRule type="cellIs" dxfId="139" priority="102" operator="between">
      <formula>30.1</formula>
      <formula>50</formula>
    </cfRule>
  </conditionalFormatting>
  <conditionalFormatting sqref="ER212">
    <cfRule type="cellIs" dxfId="138" priority="100" operator="between">
      <formula>0</formula>
      <formula>0.9</formula>
    </cfRule>
    <cfRule type="cellIs" dxfId="137" priority="99" operator="between">
      <formula>1</formula>
      <formula>5</formula>
    </cfRule>
    <cfRule type="cellIs" dxfId="136" priority="98" operator="between">
      <formula>5.1</formula>
      <formula>15</formula>
    </cfRule>
    <cfRule type="cellIs" dxfId="135" priority="97" operator="between">
      <formula>15.1</formula>
      <formula>30</formula>
    </cfRule>
    <cfRule type="cellIs" dxfId="134" priority="96" operator="between">
      <formula>30.1</formula>
      <formula>100</formula>
    </cfRule>
  </conditionalFormatting>
  <conditionalFormatting sqref="ES212">
    <cfRule type="cellIs" dxfId="133" priority="95" operator="between">
      <formula>0</formula>
      <formula>0.9</formula>
    </cfRule>
    <cfRule type="cellIs" dxfId="132" priority="94" operator="between">
      <formula>1</formula>
      <formula>16.7</formula>
    </cfRule>
    <cfRule type="cellIs" dxfId="131" priority="93" operator="between">
      <formula>16.8</formula>
      <formula>25</formula>
    </cfRule>
    <cfRule type="cellIs" dxfId="130" priority="92" operator="between">
      <formula>25.1</formula>
      <formula>50</formula>
    </cfRule>
    <cfRule type="cellIs" dxfId="129" priority="91" operator="between">
      <formula>50.1</formula>
      <formula>100</formula>
    </cfRule>
  </conditionalFormatting>
  <conditionalFormatting sqref="ET212">
    <cfRule type="cellIs" dxfId="128" priority="90" operator="between">
      <formula>0</formula>
      <formula>16.7</formula>
    </cfRule>
    <cfRule type="cellIs" dxfId="127" priority="88" operator="between">
      <formula>33.4</formula>
      <formula>41.7</formula>
    </cfRule>
    <cfRule type="cellIs" dxfId="126" priority="87" operator="between">
      <formula>41.8</formula>
      <formula>58.3</formula>
    </cfRule>
    <cfRule type="cellIs" dxfId="125" priority="86" operator="between">
      <formula>58.4</formula>
      <formula>100</formula>
    </cfRule>
    <cfRule type="cellIs" dxfId="124" priority="89" operator="between">
      <formula>16.8</formula>
      <formula>33.3</formula>
    </cfRule>
  </conditionalFormatting>
  <conditionalFormatting sqref="EU212">
    <cfRule type="cellIs" dxfId="123" priority="81" operator="between">
      <formula>56.4</formula>
      <formula>100</formula>
    </cfRule>
    <cfRule type="cellIs" dxfId="122" priority="85" operator="between">
      <formula>0</formula>
      <formula>12.5</formula>
    </cfRule>
    <cfRule type="cellIs" dxfId="121" priority="84" operator="between">
      <formula>12.6</formula>
      <formula>25</formula>
    </cfRule>
    <cfRule type="cellIs" dxfId="120" priority="83" operator="between">
      <formula>25.1</formula>
      <formula>37.5</formula>
    </cfRule>
    <cfRule type="cellIs" dxfId="119" priority="82" operator="between">
      <formula>37.6</formula>
      <formula>56.3</formula>
    </cfRule>
  </conditionalFormatting>
  <conditionalFormatting sqref="EV212">
    <cfRule type="cellIs" dxfId="118" priority="76" operator="between">
      <formula>75.1</formula>
      <formula>100</formula>
    </cfRule>
    <cfRule type="cellIs" dxfId="117" priority="80" operator="between">
      <formula>0</formula>
      <formula>33.3</formula>
    </cfRule>
    <cfRule type="cellIs" dxfId="116" priority="79" operator="between">
      <formula>33.4</formula>
      <formula>50</formula>
    </cfRule>
    <cfRule type="cellIs" dxfId="115" priority="78" operator="between">
      <formula>50.1</formula>
      <formula>66.7</formula>
    </cfRule>
    <cfRule type="cellIs" dxfId="114" priority="77" operator="between">
      <formula>66.8</formula>
      <formula>75</formula>
    </cfRule>
  </conditionalFormatting>
  <conditionalFormatting sqref="EW212">
    <cfRule type="cellIs" dxfId="113" priority="75" operator="between">
      <formula>0</formula>
      <formula>22.9</formula>
    </cfRule>
    <cfRule type="cellIs" dxfId="112" priority="73" operator="between">
      <formula>31.4</formula>
      <formula>39.6</formula>
    </cfRule>
    <cfRule type="cellIs" dxfId="111" priority="72" operator="between">
      <formula>39.7</formula>
      <formula>47.9</formula>
    </cfRule>
    <cfRule type="cellIs" dxfId="110" priority="71" operator="between">
      <formula>48</formula>
      <formula>100</formula>
    </cfRule>
    <cfRule type="cellIs" dxfId="109" priority="74" operator="between">
      <formula>23</formula>
      <formula>31.3</formula>
    </cfRule>
  </conditionalFormatting>
  <conditionalFormatting sqref="EX212">
    <cfRule type="cellIs" dxfId="108" priority="70" operator="between">
      <formula>0</formula>
      <formula>19.4</formula>
    </cfRule>
    <cfRule type="cellIs" dxfId="107" priority="68" operator="between">
      <formula>27.9</formula>
      <formula>38.9</formula>
    </cfRule>
    <cfRule type="cellIs" dxfId="106" priority="67" operator="between">
      <formula>39</formula>
      <formula>47.2</formula>
    </cfRule>
    <cfRule type="cellIs" dxfId="105" priority="66" operator="between">
      <formula>47.3</formula>
      <formula>100</formula>
    </cfRule>
    <cfRule type="cellIs" dxfId="104" priority="69" operator="between">
      <formula>19.5</formula>
      <formula>27.8</formula>
    </cfRule>
  </conditionalFormatting>
  <conditionalFormatting sqref="EY212">
    <cfRule type="cellIs" dxfId="103" priority="65" operator="between">
      <formula>0</formula>
      <formula>16.7</formula>
    </cfRule>
    <cfRule type="cellIs" dxfId="102" priority="64" operator="between">
      <formula>16.8</formula>
      <formula>33.3</formula>
    </cfRule>
    <cfRule type="cellIs" dxfId="101" priority="62" operator="between">
      <formula>41.8</formula>
      <formula>50</formula>
    </cfRule>
    <cfRule type="cellIs" dxfId="100" priority="63" operator="between">
      <formula>33.4</formula>
      <formula>41.7</formula>
    </cfRule>
  </conditionalFormatting>
  <conditionalFormatting sqref="EY212:EZ212">
    <cfRule type="cellIs" dxfId="99" priority="56" operator="between">
      <formula>50.1</formula>
      <formula>100</formula>
    </cfRule>
  </conditionalFormatting>
  <conditionalFormatting sqref="EZ212">
    <cfRule type="cellIs" dxfId="98" priority="57" operator="between">
      <formula>31.4</formula>
      <formula>50</formula>
    </cfRule>
    <cfRule type="cellIs" dxfId="97" priority="58" operator="between">
      <formula>25.1</formula>
      <formula>31.3</formula>
    </cfRule>
    <cfRule type="cellIs" dxfId="96" priority="59" operator="between">
      <formula>12.6</formula>
      <formula>25</formula>
    </cfRule>
    <cfRule type="cellIs" dxfId="95" priority="60" operator="between">
      <formula>0</formula>
      <formula>12.5</formula>
    </cfRule>
  </conditionalFormatting>
  <conditionalFormatting sqref="FB212">
    <cfRule type="cellIs" dxfId="94" priority="51" operator="between">
      <formula>85.1</formula>
      <formula>100</formula>
    </cfRule>
    <cfRule type="cellIs" dxfId="93" priority="53" operator="between">
      <formula>65.1</formula>
      <formula>75</formula>
    </cfRule>
    <cfRule type="cellIs" dxfId="92" priority="52" operator="between">
      <formula>75.1</formula>
      <formula>85</formula>
    </cfRule>
    <cfRule type="cellIs" dxfId="91" priority="55" operator="between">
      <formula>0</formula>
      <formula>50</formula>
    </cfRule>
    <cfRule type="cellIs" dxfId="90" priority="54" operator="between">
      <formula>50.1</formula>
      <formula>65</formula>
    </cfRule>
  </conditionalFormatting>
  <conditionalFormatting sqref="FD212">
    <cfRule type="cellIs" dxfId="89" priority="50" operator="between">
      <formula>0</formula>
      <formula>25</formula>
    </cfRule>
    <cfRule type="cellIs" dxfId="88" priority="49" operator="between">
      <formula>25.1</formula>
      <formula>37.5</formula>
    </cfRule>
    <cfRule type="cellIs" dxfId="87" priority="48" operator="between">
      <formula>37.6</formula>
      <formula>45.8</formula>
    </cfRule>
    <cfRule type="cellIs" dxfId="86" priority="46" operator="between">
      <formula>58.4</formula>
      <formula>100</formula>
    </cfRule>
    <cfRule type="cellIs" dxfId="85" priority="47" operator="between">
      <formula>45.9</formula>
      <formula>58.3</formula>
    </cfRule>
  </conditionalFormatting>
  <conditionalFormatting sqref="FE212">
    <cfRule type="cellIs" dxfId="84" priority="45" operator="between">
      <formula>0</formula>
      <formula>0.9</formula>
    </cfRule>
    <cfRule type="cellIs" dxfId="83" priority="44" operator="between">
      <formula>1</formula>
      <formula>6.3</formula>
    </cfRule>
    <cfRule type="cellIs" dxfId="82" priority="43" operator="between">
      <formula>6.4</formula>
      <formula>12.5</formula>
    </cfRule>
    <cfRule type="cellIs" dxfId="81" priority="42" operator="between">
      <formula>12.6</formula>
      <formula>18.8</formula>
    </cfRule>
    <cfRule type="cellIs" dxfId="80" priority="41" operator="between">
      <formula>18.9</formula>
      <formula>100</formula>
    </cfRule>
  </conditionalFormatting>
  <conditionalFormatting sqref="FF212">
    <cfRule type="cellIs" dxfId="79" priority="40" operator="between">
      <formula>0</formula>
      <formula>0.9</formula>
    </cfRule>
    <cfRule type="cellIs" dxfId="78" priority="39" operator="between">
      <formula>1</formula>
      <formula>12.5</formula>
    </cfRule>
    <cfRule type="cellIs" dxfId="77" priority="38" operator="between">
      <formula>12.6</formula>
      <formula>25</formula>
    </cfRule>
    <cfRule type="cellIs" dxfId="76" priority="37" operator="between">
      <formula>25.1</formula>
      <formula>37.5</formula>
    </cfRule>
    <cfRule type="cellIs" dxfId="75" priority="36" operator="between">
      <formula>37.6</formula>
      <formula>100</formula>
    </cfRule>
  </conditionalFormatting>
  <conditionalFormatting sqref="FG212">
    <cfRule type="cellIs" dxfId="74" priority="35" operator="between">
      <formula>0</formula>
      <formula>8.3</formula>
    </cfRule>
    <cfRule type="cellIs" dxfId="73" priority="33" operator="between">
      <formula>17.6</formula>
      <formula>26.7</formula>
    </cfRule>
    <cfRule type="cellIs" dxfId="72" priority="32" operator="between">
      <formula>26.8</formula>
      <formula>38.3</formula>
    </cfRule>
    <cfRule type="cellIs" dxfId="71" priority="31" operator="between">
      <formula>38.4</formula>
      <formula>100</formula>
    </cfRule>
    <cfRule type="cellIs" dxfId="70" priority="34" operator="between">
      <formula>8.4</formula>
      <formula>17.5</formula>
    </cfRule>
  </conditionalFormatting>
  <conditionalFormatting sqref="FH212">
    <cfRule type="cellIs" dxfId="69" priority="30" operator="between">
      <formula>0</formula>
      <formula>19.4</formula>
    </cfRule>
    <cfRule type="cellIs" dxfId="68" priority="29" operator="between">
      <formula>19.5</formula>
      <formula>26.4</formula>
    </cfRule>
    <cfRule type="cellIs" dxfId="67" priority="28" operator="between">
      <formula>26.5</formula>
      <formula>34.7</formula>
    </cfRule>
    <cfRule type="cellIs" dxfId="66" priority="27" operator="between">
      <formula>34.8</formula>
      <formula>43.1</formula>
    </cfRule>
    <cfRule type="cellIs" dxfId="65" priority="26" operator="between">
      <formula>43.2</formula>
      <formula>100</formula>
    </cfRule>
  </conditionalFormatting>
  <conditionalFormatting sqref="FI212">
    <cfRule type="cellIs" dxfId="64" priority="25" operator="between">
      <formula>0</formula>
      <formula>26.9</formula>
    </cfRule>
    <cfRule type="cellIs" dxfId="63" priority="24" operator="between">
      <formula>27</formula>
      <formula>33.3</formula>
    </cfRule>
    <cfRule type="cellIs" dxfId="62" priority="23" operator="between">
      <formula>33.4</formula>
      <formula>37.8</formula>
    </cfRule>
    <cfRule type="cellIs" dxfId="61" priority="22" operator="between">
      <formula>37.9</formula>
      <formula>44.2</formula>
    </cfRule>
    <cfRule type="cellIs" dxfId="60" priority="21" operator="between">
      <formula>44.3</formula>
      <formula>100</formula>
    </cfRule>
  </conditionalFormatting>
  <conditionalFormatting sqref="FJ212">
    <cfRule type="cellIs" dxfId="59" priority="20" operator="between">
      <formula>0</formula>
      <formula>2.5</formula>
    </cfRule>
    <cfRule type="cellIs" dxfId="58" priority="18" operator="between">
      <formula>10.1</formula>
      <formula>17.5</formula>
    </cfRule>
    <cfRule type="cellIs" dxfId="57" priority="17" operator="between">
      <formula>17.6</formula>
      <formula>27.5</formula>
    </cfRule>
    <cfRule type="cellIs" dxfId="56" priority="16" operator="between">
      <formula>27.6</formula>
      <formula>100</formula>
    </cfRule>
    <cfRule type="cellIs" dxfId="55" priority="19" operator="between">
      <formula>2.6</formula>
      <formula>10</formula>
    </cfRule>
  </conditionalFormatting>
  <conditionalFormatting sqref="FK212">
    <cfRule type="cellIs" dxfId="54" priority="11" operator="between">
      <formula>38.8</formula>
      <formula>100</formula>
    </cfRule>
    <cfRule type="cellIs" dxfId="53" priority="14" operator="between">
      <formula>20.7</formula>
      <formula>26</formula>
    </cfRule>
    <cfRule type="cellIs" dxfId="52" priority="15" operator="between">
      <formula>0</formula>
      <formula>20.6</formula>
    </cfRule>
    <cfRule type="cellIs" dxfId="51" priority="13" operator="between">
      <formula>26.1</formula>
      <formula>31.2</formula>
    </cfRule>
    <cfRule type="cellIs" dxfId="50" priority="12" operator="between">
      <formula>31.3</formula>
      <formula>38.7</formula>
    </cfRule>
  </conditionalFormatting>
  <conditionalFormatting sqref="FN212">
    <cfRule type="cellIs" dxfId="49" priority="5" operator="between">
      <formula>0</formula>
      <formula>19.9</formula>
    </cfRule>
    <cfRule type="cellIs" dxfId="48" priority="4" operator="between">
      <formula>20</formula>
      <formula>24.8</formula>
    </cfRule>
    <cfRule type="cellIs" dxfId="47" priority="2" operator="between">
      <formula>29.6</formula>
      <formula>35.4</formula>
    </cfRule>
    <cfRule type="cellIs" dxfId="46" priority="1" operator="between">
      <formula>35.5</formula>
      <formula>100</formula>
    </cfRule>
    <cfRule type="cellIs" dxfId="45" priority="3" operator="between">
      <formula>24.9</formula>
      <formula>29.5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13"/>
  <sheetViews>
    <sheetView topLeftCell="BN1" zoomScale="110" zoomScaleNormal="110" workbookViewId="0">
      <pane ySplit="3" topLeftCell="A203" activePane="bottomLeft" state="frozen"/>
      <selection activeCell="BJ1" sqref="BJ1"/>
      <selection pane="bottomLeft" activeCell="AW20" sqref="AW20"/>
    </sheetView>
  </sheetViews>
  <sheetFormatPr baseColWidth="10" defaultRowHeight="14.5"/>
  <cols>
    <col min="1" max="1" width="10" style="1" customWidth="1"/>
    <col min="2" max="2" width="28.453125" style="1" customWidth="1"/>
    <col min="3" max="3" width="11.7265625" style="1" bestFit="1" customWidth="1"/>
    <col min="4" max="4" width="10.81640625" style="1"/>
    <col min="5" max="5" width="10.453125" style="1" customWidth="1"/>
    <col min="6" max="6" width="10.81640625" style="1"/>
    <col min="7" max="7" width="27.1796875" style="1" customWidth="1"/>
    <col min="8" max="8" width="30.1796875" style="1" customWidth="1"/>
    <col min="9" max="9" width="21" style="1" customWidth="1"/>
    <col min="10" max="10" width="11" style="1" bestFit="1" customWidth="1"/>
    <col min="11" max="11" width="10.81640625" style="1"/>
    <col min="12" max="12" width="11" style="1" bestFit="1" customWidth="1"/>
    <col min="13" max="13" width="10.81640625" style="1"/>
    <col min="14" max="14" width="16.453125" style="1" customWidth="1"/>
    <col min="15" max="15" width="28.81640625" style="1" customWidth="1"/>
    <col min="16" max="16" width="39.81640625" style="1" customWidth="1"/>
    <col min="17" max="17" width="18.453125" style="1" customWidth="1"/>
    <col min="18" max="18" width="34.453125" style="1" customWidth="1"/>
    <col min="19" max="19" width="24.453125" style="1" customWidth="1"/>
    <col min="20" max="21" width="11" style="1" bestFit="1" customWidth="1"/>
    <col min="22" max="52" width="3" customWidth="1"/>
    <col min="53" max="61" width="24.7265625" style="2" customWidth="1"/>
    <col min="62" max="69" width="19.54296875" customWidth="1"/>
  </cols>
  <sheetData>
    <row r="1" spans="1:69">
      <c r="A1" s="148" t="s">
        <v>78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50" t="s">
        <v>6</v>
      </c>
      <c r="W1" s="150"/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0"/>
      <c r="AJ1" s="150"/>
      <c r="AK1" s="150"/>
      <c r="AL1" s="150"/>
      <c r="AM1" s="150"/>
      <c r="AN1" s="150"/>
      <c r="AO1" s="150"/>
      <c r="AP1" s="150"/>
      <c r="AQ1" s="150"/>
      <c r="AR1" s="150"/>
      <c r="AS1" s="150"/>
      <c r="AT1" s="150"/>
      <c r="AU1" s="150"/>
      <c r="AV1" s="150"/>
      <c r="AW1" s="150"/>
      <c r="AX1" s="150"/>
      <c r="AY1" s="150"/>
      <c r="AZ1" s="151"/>
      <c r="BA1" s="154" t="s">
        <v>11</v>
      </c>
      <c r="BB1" s="155"/>
      <c r="BC1" s="155"/>
      <c r="BD1" s="155"/>
      <c r="BE1" s="155"/>
      <c r="BF1" s="155"/>
      <c r="BG1" s="156"/>
      <c r="BH1" s="160" t="s">
        <v>13</v>
      </c>
      <c r="BJ1" s="162" t="s">
        <v>11</v>
      </c>
      <c r="BK1" s="163"/>
      <c r="BL1" s="163"/>
      <c r="BM1" s="163"/>
      <c r="BN1" s="163"/>
      <c r="BO1" s="163"/>
      <c r="BP1" s="164"/>
      <c r="BQ1" s="146" t="s">
        <v>81</v>
      </c>
    </row>
    <row r="2" spans="1:69" ht="14.5" customHeight="1">
      <c r="A2" s="149"/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3"/>
      <c r="BA2" s="157"/>
      <c r="BB2" s="158"/>
      <c r="BC2" s="158"/>
      <c r="BD2" s="158"/>
      <c r="BE2" s="158"/>
      <c r="BF2" s="158"/>
      <c r="BG2" s="159"/>
      <c r="BH2" s="160"/>
      <c r="BJ2" s="165"/>
      <c r="BK2" s="166"/>
      <c r="BL2" s="166"/>
      <c r="BM2" s="166"/>
      <c r="BN2" s="166"/>
      <c r="BO2" s="166"/>
      <c r="BP2" s="167"/>
      <c r="BQ2" s="146"/>
    </row>
    <row r="3" spans="1:69" ht="65.5" thickBot="1">
      <c r="A3" s="10" t="s">
        <v>37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  <c r="R3" s="10" t="s">
        <v>31</v>
      </c>
      <c r="S3" s="10" t="s">
        <v>32</v>
      </c>
      <c r="T3" s="10" t="s">
        <v>33</v>
      </c>
      <c r="U3" s="10" t="s">
        <v>34</v>
      </c>
      <c r="V3" s="13">
        <v>1</v>
      </c>
      <c r="W3" s="14">
        <v>2</v>
      </c>
      <c r="X3" s="14">
        <v>3</v>
      </c>
      <c r="Y3" s="14">
        <v>4</v>
      </c>
      <c r="Z3" s="14">
        <v>5</v>
      </c>
      <c r="AA3" s="14">
        <v>6</v>
      </c>
      <c r="AB3" s="14">
        <v>7</v>
      </c>
      <c r="AC3" s="14">
        <v>8</v>
      </c>
      <c r="AD3" s="14">
        <v>9</v>
      </c>
      <c r="AE3" s="14">
        <v>10</v>
      </c>
      <c r="AF3" s="14">
        <v>11</v>
      </c>
      <c r="AG3" s="14">
        <v>12</v>
      </c>
      <c r="AH3" s="14">
        <v>13</v>
      </c>
      <c r="AI3" s="14">
        <v>14</v>
      </c>
      <c r="AJ3" s="14">
        <v>15</v>
      </c>
      <c r="AK3" s="14">
        <v>16</v>
      </c>
      <c r="AL3" s="14">
        <v>17</v>
      </c>
      <c r="AM3" s="14">
        <v>18</v>
      </c>
      <c r="AN3" s="14">
        <v>19</v>
      </c>
      <c r="AO3" s="14">
        <v>20</v>
      </c>
      <c r="AP3" s="14">
        <v>21</v>
      </c>
      <c r="AQ3" s="14">
        <v>22</v>
      </c>
      <c r="AR3" s="14">
        <v>23</v>
      </c>
      <c r="AS3" s="14">
        <v>24</v>
      </c>
      <c r="AT3" s="14">
        <v>25</v>
      </c>
      <c r="AU3" s="14">
        <v>26</v>
      </c>
      <c r="AV3" s="14">
        <v>27</v>
      </c>
      <c r="AW3" s="14">
        <v>28</v>
      </c>
      <c r="AX3" s="14">
        <v>29</v>
      </c>
      <c r="AY3" s="14">
        <v>30</v>
      </c>
      <c r="AZ3" s="15">
        <v>31</v>
      </c>
      <c r="BA3" s="61" t="s">
        <v>71</v>
      </c>
      <c r="BB3" s="61" t="s">
        <v>72</v>
      </c>
      <c r="BC3" s="61" t="s">
        <v>73</v>
      </c>
      <c r="BD3" s="61" t="s">
        <v>74</v>
      </c>
      <c r="BE3" s="61" t="s">
        <v>75</v>
      </c>
      <c r="BF3" s="61" t="s">
        <v>76</v>
      </c>
      <c r="BG3" s="61" t="s">
        <v>77</v>
      </c>
      <c r="BH3" s="161"/>
      <c r="BJ3" s="60" t="s">
        <v>71</v>
      </c>
      <c r="BK3" s="60" t="s">
        <v>72</v>
      </c>
      <c r="BL3" s="60" t="s">
        <v>73</v>
      </c>
      <c r="BM3" s="60" t="s">
        <v>74</v>
      </c>
      <c r="BN3" s="60" t="s">
        <v>75</v>
      </c>
      <c r="BO3" s="60" t="s">
        <v>79</v>
      </c>
      <c r="BP3" s="60" t="s">
        <v>80</v>
      </c>
      <c r="BQ3" s="147"/>
    </row>
    <row r="4" spans="1:69">
      <c r="A4" s="3" cm="1">
        <f t="array" ref="A4:U211">'INTRA LABORAL B'!A4:U211</f>
        <v>1</v>
      </c>
      <c r="B4" s="3" t="str">
        <v xml:space="preserve">ALEJANDRA TATIANA MURCIA ORBE </v>
      </c>
      <c r="C4" s="3">
        <v>1080933847</v>
      </c>
      <c r="D4" s="3" t="str">
        <v>f</v>
      </c>
      <c r="E4" s="3">
        <v>1992</v>
      </c>
      <c r="F4" s="3" t="str">
        <v>Soltero (a)</v>
      </c>
      <c r="G4" s="3" t="str">
        <v xml:space="preserve">PROFESIONAL </v>
      </c>
      <c r="H4" s="3" t="str">
        <v xml:space="preserve">INGENIERO ELECTRONICO </v>
      </c>
      <c r="I4" s="3" t="str">
        <v>Neiva - Huila</v>
      </c>
      <c r="J4" s="3">
        <v>2</v>
      </c>
      <c r="K4" s="3" t="str">
        <v>En arriendo</v>
      </c>
      <c r="L4" s="3">
        <v>0</v>
      </c>
      <c r="M4" s="3" t="str">
        <v>Neiva - Huila</v>
      </c>
      <c r="N4" s="3" t="str">
        <v>Menos de 1 año</v>
      </c>
      <c r="O4" s="3" t="str">
        <v xml:space="preserve">ingeniero de mantenimiento  biomedico </v>
      </c>
      <c r="P4" s="3" t="str">
        <v>Profesional, analista, técnico, tecnólogo</v>
      </c>
      <c r="Q4" s="3" t="str">
        <v>Menos de 1 año</v>
      </c>
      <c r="R4" s="3" t="str">
        <v xml:space="preserve">ingenieria </v>
      </c>
      <c r="S4" s="3" t="str">
        <v>Temporal de menos de 1 año</v>
      </c>
      <c r="T4" s="3">
        <v>8</v>
      </c>
      <c r="U4" s="3" t="str">
        <v>Fijo</v>
      </c>
      <c r="V4" s="73">
        <v>0</v>
      </c>
      <c r="W4" s="73">
        <v>1</v>
      </c>
      <c r="X4" s="73">
        <v>1</v>
      </c>
      <c r="Y4" s="6">
        <v>0</v>
      </c>
      <c r="Z4" s="6">
        <v>1</v>
      </c>
      <c r="AA4" s="6">
        <v>1</v>
      </c>
      <c r="AB4" s="6">
        <v>2</v>
      </c>
      <c r="AC4" s="6">
        <v>1</v>
      </c>
      <c r="AD4" s="6">
        <v>0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1</v>
      </c>
      <c r="AK4" s="6">
        <v>1</v>
      </c>
      <c r="AL4" s="6">
        <v>1</v>
      </c>
      <c r="AM4" s="6">
        <v>1</v>
      </c>
      <c r="AN4" s="6">
        <v>0</v>
      </c>
      <c r="AO4" s="6">
        <v>1</v>
      </c>
      <c r="AP4" s="6">
        <v>1</v>
      </c>
      <c r="AQ4" s="6">
        <v>0</v>
      </c>
      <c r="AR4" s="6">
        <v>1</v>
      </c>
      <c r="AS4" s="6">
        <v>0</v>
      </c>
      <c r="AT4" s="6">
        <v>1</v>
      </c>
      <c r="AU4" s="6">
        <v>0</v>
      </c>
      <c r="AV4" s="6">
        <v>1</v>
      </c>
      <c r="AW4" s="6">
        <v>0</v>
      </c>
      <c r="AX4" s="6">
        <v>1</v>
      </c>
      <c r="AY4" s="6">
        <v>1</v>
      </c>
      <c r="AZ4" s="6">
        <v>0</v>
      </c>
      <c r="BA4" s="3">
        <f t="shared" ref="BA4" si="0">SUM(AI4:AL4)</f>
        <v>3</v>
      </c>
      <c r="BB4" s="3">
        <f t="shared" ref="BB4" si="1">SUM(AQ4+AT4+AV4)</f>
        <v>2</v>
      </c>
      <c r="BC4" s="3">
        <f t="shared" ref="BC4" si="2">SUM(AM4+AN4+AO4+AP4+AR4)</f>
        <v>4</v>
      </c>
      <c r="BD4" s="3">
        <f t="shared" ref="BD4" si="3">SUM(AX4+AY4+AZ4)</f>
        <v>2</v>
      </c>
      <c r="BE4" s="3">
        <f t="shared" ref="BE4" si="4">SUM(Z4:AH4)</f>
        <v>6</v>
      </c>
      <c r="BF4" s="3">
        <f t="shared" ref="BF4" si="5">SUM(AS4+AU4+AW4)</f>
        <v>0</v>
      </c>
      <c r="BG4" s="3">
        <f t="shared" ref="BG4" si="6">SUM(V4:Y4)</f>
        <v>2</v>
      </c>
      <c r="BH4" s="3">
        <f t="shared" ref="BH4" si="7">SUM(BA4:BG4)</f>
        <v>19</v>
      </c>
      <c r="BJ4" s="62">
        <f t="shared" ref="BJ4" si="8">SUM(BA4/16)*100</f>
        <v>18.75</v>
      </c>
      <c r="BK4" s="62">
        <f t="shared" ref="BK4" si="9">SUM(BB4/12)*100</f>
        <v>16.666666666666664</v>
      </c>
      <c r="BL4" s="62">
        <f t="shared" ref="BL4" si="10">SUM(BC4/20)*100</f>
        <v>20</v>
      </c>
      <c r="BM4" s="62">
        <f t="shared" ref="BM4" si="11">SUM(BD4/12)*100</f>
        <v>16.666666666666664</v>
      </c>
      <c r="BN4" s="62">
        <f t="shared" ref="BN4" si="12">SUM(BE4/36)*100</f>
        <v>16.666666666666664</v>
      </c>
      <c r="BO4" s="62">
        <f t="shared" ref="BO4" si="13">SUM(BF4/12)*100</f>
        <v>0</v>
      </c>
      <c r="BP4" s="62">
        <f t="shared" ref="BP4" si="14">SUM(BG4/16)*100</f>
        <v>12.5</v>
      </c>
      <c r="BQ4" s="62">
        <f t="shared" ref="BQ4" si="15">SUM(BH4/124)*100</f>
        <v>15.32258064516129</v>
      </c>
    </row>
    <row r="5" spans="1:69">
      <c r="A5" s="3">
        <v>2</v>
      </c>
      <c r="B5" s="3" t="str">
        <v xml:space="preserve">FRANCISCO JAVIER COLLAZOS </v>
      </c>
      <c r="C5" s="3">
        <v>1081156257</v>
      </c>
      <c r="D5" s="3" t="str">
        <v>m</v>
      </c>
      <c r="E5" s="3">
        <v>1989</v>
      </c>
      <c r="F5" s="3" t="str">
        <v>Union Libre</v>
      </c>
      <c r="G5" s="3" t="str">
        <v xml:space="preserve">TECNICO / TECNOLOGICO COMPLETO </v>
      </c>
      <c r="H5" s="3" t="str">
        <v>MANTENIMIENTO BIOMEDICO</v>
      </c>
      <c r="I5" s="3" t="str">
        <v>Neiva - Huila</v>
      </c>
      <c r="J5" s="3">
        <v>2</v>
      </c>
      <c r="K5" s="3" t="str">
        <v>En arriendo</v>
      </c>
      <c r="L5" s="3">
        <v>4</v>
      </c>
      <c r="M5" s="3" t="str">
        <v>Neiva - Huila</v>
      </c>
      <c r="N5" s="3" t="str">
        <v xml:space="preserve">Temporal de 1 año o mas </v>
      </c>
      <c r="O5" s="3" t="str">
        <v xml:space="preserve">Mantenimiento Biomedico </v>
      </c>
      <c r="P5" s="3" t="str">
        <v xml:space="preserve">Operario Operador , ayudante, servicios generales </v>
      </c>
      <c r="Q5" s="3" t="str">
        <v xml:space="preserve">2 años </v>
      </c>
      <c r="R5" s="3" t="str">
        <v xml:space="preserve">ingenieria </v>
      </c>
      <c r="S5" s="3" t="str">
        <v>Temporal de menos de 1 año</v>
      </c>
      <c r="T5" s="3">
        <v>9</v>
      </c>
      <c r="U5" s="3" t="str">
        <v>Fijo</v>
      </c>
      <c r="V5" s="6">
        <v>1</v>
      </c>
      <c r="W5" s="6">
        <v>1</v>
      </c>
      <c r="X5" s="6">
        <v>3</v>
      </c>
      <c r="Y5" s="6">
        <v>1</v>
      </c>
      <c r="Z5" s="6">
        <v>1</v>
      </c>
      <c r="AA5" s="6">
        <v>2</v>
      </c>
      <c r="AB5" s="6">
        <v>2</v>
      </c>
      <c r="AC5" s="6">
        <v>1</v>
      </c>
      <c r="AD5" s="6">
        <v>3</v>
      </c>
      <c r="AE5" s="6">
        <v>0</v>
      </c>
      <c r="AF5" s="6">
        <v>0</v>
      </c>
      <c r="AG5" s="6">
        <v>0</v>
      </c>
      <c r="AH5" s="6">
        <v>0</v>
      </c>
      <c r="AI5" s="6">
        <v>2</v>
      </c>
      <c r="AJ5" s="6">
        <v>2</v>
      </c>
      <c r="AK5" s="6">
        <v>2</v>
      </c>
      <c r="AL5" s="6">
        <v>2</v>
      </c>
      <c r="AM5" s="6">
        <v>1</v>
      </c>
      <c r="AN5" s="6">
        <v>0</v>
      </c>
      <c r="AO5" s="6">
        <v>0</v>
      </c>
      <c r="AP5" s="6">
        <v>0</v>
      </c>
      <c r="AQ5" s="6">
        <v>2</v>
      </c>
      <c r="AR5" s="6">
        <v>2</v>
      </c>
      <c r="AS5" s="6">
        <v>0</v>
      </c>
      <c r="AT5" s="6">
        <v>1</v>
      </c>
      <c r="AU5" s="6">
        <v>0</v>
      </c>
      <c r="AV5" s="6">
        <v>0</v>
      </c>
      <c r="AW5" s="6">
        <v>0</v>
      </c>
      <c r="AX5" s="6">
        <v>0</v>
      </c>
      <c r="AY5" s="6">
        <v>2</v>
      </c>
      <c r="AZ5" s="6">
        <v>0</v>
      </c>
      <c r="BA5" s="3">
        <f t="shared" ref="BA5" si="16">SUM(AI5:AL5)</f>
        <v>8</v>
      </c>
      <c r="BB5" s="3">
        <f t="shared" ref="BB5" si="17">SUM(AQ5+AT5+AV5)</f>
        <v>3</v>
      </c>
      <c r="BC5" s="3">
        <f t="shared" ref="BC5" si="18">SUM(AM5+AN5+AO5+AP5+AR5)</f>
        <v>3</v>
      </c>
      <c r="BD5" s="3">
        <f t="shared" ref="BD5" si="19">SUM(AX5+AY5+AZ5)</f>
        <v>2</v>
      </c>
      <c r="BE5" s="3">
        <f t="shared" ref="BE5" si="20">SUM(Z5:AH5)</f>
        <v>9</v>
      </c>
      <c r="BF5" s="3">
        <f t="shared" ref="BF5" si="21">SUM(AS5+AU5+AW5)</f>
        <v>0</v>
      </c>
      <c r="BG5" s="3">
        <f t="shared" ref="BG5" si="22">SUM(V5:Y5)</f>
        <v>6</v>
      </c>
      <c r="BH5" s="3">
        <f t="shared" ref="BH5" si="23">SUM(BA5:BG5)</f>
        <v>31</v>
      </c>
      <c r="BJ5" s="62">
        <f t="shared" ref="BJ5" si="24">SUM(BA5/16)*100</f>
        <v>50</v>
      </c>
      <c r="BK5" s="62">
        <f t="shared" ref="BK5" si="25">SUM(BB5/12)*100</f>
        <v>25</v>
      </c>
      <c r="BL5" s="62">
        <f t="shared" ref="BL5" si="26">SUM(BC5/20)*100</f>
        <v>15</v>
      </c>
      <c r="BM5" s="62">
        <f t="shared" ref="BM5" si="27">SUM(BD5/12)*100</f>
        <v>16.666666666666664</v>
      </c>
      <c r="BN5" s="62">
        <f t="shared" ref="BN5" si="28">SUM(BE5/36)*100</f>
        <v>25</v>
      </c>
      <c r="BO5" s="62">
        <f t="shared" ref="BO5" si="29">SUM(BF5/12)*100</f>
        <v>0</v>
      </c>
      <c r="BP5" s="62">
        <f t="shared" ref="BP5" si="30">SUM(BG5/16)*100</f>
        <v>37.5</v>
      </c>
      <c r="BQ5" s="62">
        <f t="shared" ref="BQ5" si="31">SUM(BH5/124)*100</f>
        <v>25</v>
      </c>
    </row>
    <row r="6" spans="1:69">
      <c r="A6" s="3">
        <v>3</v>
      </c>
      <c r="B6" s="3" t="str">
        <v xml:space="preserve">sandra yadira parada </v>
      </c>
      <c r="C6" s="3">
        <v>1090381143</v>
      </c>
      <c r="D6" s="3" t="str">
        <v>f</v>
      </c>
      <c r="E6" s="3">
        <v>1972</v>
      </c>
      <c r="F6" s="3" t="str">
        <v>Viudo (a)</v>
      </c>
      <c r="G6" s="3" t="str">
        <v xml:space="preserve">TECNICO / TECNOLOGICO COMPLETO </v>
      </c>
      <c r="H6" s="3" t="str">
        <v xml:space="preserve">REGENCIA DE FARMACIA </v>
      </c>
      <c r="I6" s="3" t="str">
        <v>Neiva - Huila</v>
      </c>
      <c r="J6" s="3">
        <v>3</v>
      </c>
      <c r="K6" s="3" t="str">
        <v>Propia</v>
      </c>
      <c r="L6" s="3">
        <v>2</v>
      </c>
      <c r="M6" s="3" t="str">
        <v>Neiva - Huila</v>
      </c>
      <c r="N6" s="3" t="str">
        <v>Menos de 1 año</v>
      </c>
      <c r="O6" s="3" t="str">
        <v xml:space="preserve">Regente de Farmacia </v>
      </c>
      <c r="P6" s="3" t="str">
        <v>Profesional, analista, tecnico, tecnologo</v>
      </c>
      <c r="Q6" s="3" t="str">
        <v>Menos de 1 año</v>
      </c>
      <c r="R6" s="3" t="str">
        <v xml:space="preserve">Almacen </v>
      </c>
      <c r="S6" s="3" t="str">
        <v>Temporal de menos de 1 año</v>
      </c>
      <c r="T6" s="3">
        <v>8</v>
      </c>
      <c r="U6" s="3" t="str">
        <v>Fijo</v>
      </c>
      <c r="V6" s="6">
        <v>0</v>
      </c>
      <c r="W6" s="6">
        <v>0</v>
      </c>
      <c r="X6" s="6">
        <v>0</v>
      </c>
      <c r="Y6" s="6">
        <v>1</v>
      </c>
      <c r="Z6" s="6">
        <v>1</v>
      </c>
      <c r="AA6" s="6">
        <v>0</v>
      </c>
      <c r="AB6" s="6">
        <v>2</v>
      </c>
      <c r="AC6" s="6">
        <v>0</v>
      </c>
      <c r="AD6" s="6">
        <v>2</v>
      </c>
      <c r="AE6" s="6">
        <v>0</v>
      </c>
      <c r="AF6" s="6">
        <v>0</v>
      </c>
      <c r="AG6" s="6">
        <v>1</v>
      </c>
      <c r="AH6" s="6">
        <v>0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0</v>
      </c>
      <c r="AO6" s="6">
        <v>1</v>
      </c>
      <c r="AP6" s="6">
        <v>1</v>
      </c>
      <c r="AQ6" s="6">
        <v>2</v>
      </c>
      <c r="AR6" s="6">
        <v>1</v>
      </c>
      <c r="AS6" s="6">
        <v>0</v>
      </c>
      <c r="AT6" s="6">
        <v>2</v>
      </c>
      <c r="AU6" s="6">
        <v>2</v>
      </c>
      <c r="AV6" s="6">
        <v>1</v>
      </c>
      <c r="AW6" s="6">
        <v>2</v>
      </c>
      <c r="AX6" s="6">
        <v>1</v>
      </c>
      <c r="AY6" s="6">
        <v>1</v>
      </c>
      <c r="AZ6" s="6">
        <v>3</v>
      </c>
      <c r="BA6" s="3">
        <f t="shared" ref="BA6" si="32">SUM(AI6:AL6)</f>
        <v>4</v>
      </c>
      <c r="BB6" s="3">
        <f t="shared" ref="BB6" si="33">SUM(AQ6+AT6+AV6)</f>
        <v>5</v>
      </c>
      <c r="BC6" s="3">
        <f t="shared" ref="BC6" si="34">SUM(AM6+AN6+AO6+AP6+AR6)</f>
        <v>4</v>
      </c>
      <c r="BD6" s="3">
        <f t="shared" ref="BD6" si="35">SUM(AX6+AY6+AZ6)</f>
        <v>5</v>
      </c>
      <c r="BE6" s="3">
        <f t="shared" ref="BE6" si="36">SUM(Z6:AH6)</f>
        <v>6</v>
      </c>
      <c r="BF6" s="3">
        <f t="shared" ref="BF6" si="37">SUM(AS6+AU6+AW6)</f>
        <v>4</v>
      </c>
      <c r="BG6" s="3">
        <f t="shared" ref="BG6" si="38">SUM(V6:Y6)</f>
        <v>1</v>
      </c>
      <c r="BH6" s="3">
        <f t="shared" ref="BH6" si="39">SUM(BA6:BG6)</f>
        <v>29</v>
      </c>
      <c r="BJ6" s="62">
        <f t="shared" ref="BJ6" si="40">SUM(BA6/16)*100</f>
        <v>25</v>
      </c>
      <c r="BK6" s="62">
        <f t="shared" ref="BK6" si="41">SUM(BB6/12)*100</f>
        <v>41.666666666666671</v>
      </c>
      <c r="BL6" s="62">
        <f t="shared" ref="BL6" si="42">SUM(BC6/20)*100</f>
        <v>20</v>
      </c>
      <c r="BM6" s="62">
        <f t="shared" ref="BM6" si="43">SUM(BD6/12)*100</f>
        <v>41.666666666666671</v>
      </c>
      <c r="BN6" s="62">
        <f t="shared" ref="BN6" si="44">SUM(BE6/36)*100</f>
        <v>16.666666666666664</v>
      </c>
      <c r="BO6" s="62">
        <f t="shared" ref="BO6" si="45">SUM(BF6/12)*100</f>
        <v>33.333333333333329</v>
      </c>
      <c r="BP6" s="62">
        <f t="shared" ref="BP6" si="46">SUM(BG6/16)*100</f>
        <v>6.25</v>
      </c>
      <c r="BQ6" s="62">
        <f t="shared" ref="BQ6" si="47">SUM(BH6/124)*100</f>
        <v>23.387096774193548</v>
      </c>
    </row>
    <row r="7" spans="1:69">
      <c r="A7" s="3">
        <v>4</v>
      </c>
      <c r="B7" s="3" t="str">
        <v xml:space="preserve">Ever toledo ramon </v>
      </c>
      <c r="C7" s="3">
        <v>7703284</v>
      </c>
      <c r="D7" s="3" t="str">
        <v>m</v>
      </c>
      <c r="E7" s="3">
        <v>1976</v>
      </c>
      <c r="F7" s="3" t="str">
        <v>Union Libre</v>
      </c>
      <c r="G7" s="3" t="str">
        <v xml:space="preserve">BACHILLERATO COMPLETO </v>
      </c>
      <c r="H7" s="3" t="str">
        <v xml:space="preserve">CONDUCTOR </v>
      </c>
      <c r="I7" s="3" t="str">
        <v>Neiva - Huila</v>
      </c>
      <c r="J7" s="3">
        <v>2</v>
      </c>
      <c r="K7" s="3" t="str">
        <v>En arriendo</v>
      </c>
      <c r="L7" s="3">
        <v>4</v>
      </c>
      <c r="M7" s="3" t="str">
        <v>Neiva - Huila</v>
      </c>
      <c r="N7" s="3" t="str">
        <v>Mas de 1 año</v>
      </c>
      <c r="O7" s="3" t="str">
        <v xml:space="preserve">Conductor /Mensajero </v>
      </c>
      <c r="P7" s="3" t="str">
        <v xml:space="preserve">Operario Operador , ayudante, servicios generales </v>
      </c>
      <c r="Q7" s="3" t="str">
        <v xml:space="preserve">10 años </v>
      </c>
      <c r="R7" s="3" t="str">
        <v xml:space="preserve">Almacen </v>
      </c>
      <c r="S7" s="3" t="str">
        <v>Prestacion de servicios</v>
      </c>
      <c r="T7" s="3">
        <v>8</v>
      </c>
      <c r="U7" s="3" t="str">
        <v>Fijo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2</v>
      </c>
      <c r="AB7" s="6">
        <v>1</v>
      </c>
      <c r="AC7" s="6">
        <v>1</v>
      </c>
      <c r="AD7" s="6">
        <v>3</v>
      </c>
      <c r="AE7" s="6">
        <v>1</v>
      </c>
      <c r="AF7" s="6">
        <v>3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1</v>
      </c>
      <c r="AQ7" s="6">
        <v>1</v>
      </c>
      <c r="AR7" s="6">
        <v>2</v>
      </c>
      <c r="AS7" s="6">
        <v>1</v>
      </c>
      <c r="AT7" s="6">
        <v>0</v>
      </c>
      <c r="AU7" s="6">
        <v>1</v>
      </c>
      <c r="AV7" s="6">
        <v>1</v>
      </c>
      <c r="AW7" s="6">
        <v>1</v>
      </c>
      <c r="AX7" s="6">
        <v>2</v>
      </c>
      <c r="AY7" s="6">
        <v>1</v>
      </c>
      <c r="AZ7" s="6">
        <v>0</v>
      </c>
      <c r="BA7" s="3">
        <f t="shared" ref="BA7" si="48">SUM(AI7:AL7)</f>
        <v>0</v>
      </c>
      <c r="BB7" s="3">
        <f t="shared" ref="BB7:BB25" si="49">SUM(AQ7+AT7+AV7)</f>
        <v>2</v>
      </c>
      <c r="BC7" s="3">
        <f t="shared" ref="BC7:BC25" si="50">SUM(AM7+AN7+AO7+AP7+AR7)</f>
        <v>3</v>
      </c>
      <c r="BD7" s="3">
        <f t="shared" ref="BD7:BD25" si="51">SUM(AX7+AY7+AZ7)</f>
        <v>3</v>
      </c>
      <c r="BE7" s="3">
        <f t="shared" ref="BE7:BE25" si="52">SUM(Z7:AH7)</f>
        <v>12</v>
      </c>
      <c r="BF7" s="3">
        <f t="shared" ref="BF7:BF25" si="53">SUM(AS7+AU7+AW7)</f>
        <v>3</v>
      </c>
      <c r="BG7" s="3">
        <f t="shared" ref="BG7:BG25" si="54">SUM(V7:Y7)</f>
        <v>0</v>
      </c>
      <c r="BH7" s="3">
        <f t="shared" ref="BH7:BH25" si="55">SUM(BA7:BG7)</f>
        <v>23</v>
      </c>
      <c r="BJ7" s="62">
        <f t="shared" ref="BJ7:BJ25" si="56">SUM(BA7/16)*100</f>
        <v>0</v>
      </c>
      <c r="BK7" s="62">
        <f t="shared" ref="BK7:BK25" si="57">SUM(BB7/12)*100</f>
        <v>16.666666666666664</v>
      </c>
      <c r="BL7" s="62">
        <f t="shared" ref="BL7:BL25" si="58">SUM(BC7/20)*100</f>
        <v>15</v>
      </c>
      <c r="BM7" s="62">
        <f t="shared" ref="BM7:BM25" si="59">SUM(BD7/12)*100</f>
        <v>25</v>
      </c>
      <c r="BN7" s="62">
        <f t="shared" ref="BN7:BN25" si="60">SUM(BE7/36)*100</f>
        <v>33.333333333333329</v>
      </c>
      <c r="BO7" s="62">
        <f t="shared" ref="BO7:BO25" si="61">SUM(BF7/12)*100</f>
        <v>25</v>
      </c>
      <c r="BP7" s="62">
        <f t="shared" ref="BP7:BP25" si="62">SUM(BG7/16)*100</f>
        <v>0</v>
      </c>
      <c r="BQ7" s="62">
        <f t="shared" ref="BQ7:BQ25" si="63">SUM(BH7/124)*100</f>
        <v>18.548387096774192</v>
      </c>
    </row>
    <row r="8" spans="1:69">
      <c r="A8" s="3">
        <v>4</v>
      </c>
      <c r="B8" s="3" t="str">
        <v xml:space="preserve">Deicy Cleves  Mora </v>
      </c>
      <c r="C8" s="3">
        <v>36310138</v>
      </c>
      <c r="D8" s="3" t="str">
        <v>f</v>
      </c>
      <c r="E8" s="3">
        <v>1983</v>
      </c>
      <c r="F8" s="3" t="str">
        <v>Casado (a)</v>
      </c>
      <c r="G8" s="3" t="str">
        <v xml:space="preserve">TECNICO / TECNOLOGICO COMPLETO </v>
      </c>
      <c r="H8" s="3" t="str">
        <v xml:space="preserve">EMPLEADA </v>
      </c>
      <c r="I8" s="3" t="str">
        <v>Neiva - Huila</v>
      </c>
      <c r="J8" s="3">
        <v>2</v>
      </c>
      <c r="K8" s="3" t="str">
        <v>Familiar</v>
      </c>
      <c r="L8" s="3">
        <v>1</v>
      </c>
      <c r="M8" s="3" t="str">
        <v>Neiva - Huila</v>
      </c>
      <c r="N8" s="3" t="str">
        <v xml:space="preserve">Temporal de 1 año o mas </v>
      </c>
      <c r="O8" s="3" t="str">
        <v xml:space="preserve">Asistente Administrativa y Comercial </v>
      </c>
      <c r="P8" s="3" t="str">
        <v xml:space="preserve">Auxiliar, asistente , administrativo, asistente tecnico </v>
      </c>
      <c r="Q8" s="3" t="str">
        <v>Temporal  de 1 año o mas</v>
      </c>
      <c r="R8" s="3" t="str">
        <v xml:space="preserve">Area comercial y administrativa </v>
      </c>
      <c r="S8" s="3" t="str">
        <v xml:space="preserve">Temporal de 1 año o mas </v>
      </c>
      <c r="T8" s="3">
        <v>8</v>
      </c>
      <c r="U8" s="3" t="str">
        <v>Fijo</v>
      </c>
      <c r="V8" s="6">
        <v>4</v>
      </c>
      <c r="W8" s="6">
        <v>0</v>
      </c>
      <c r="X8" s="6">
        <v>1</v>
      </c>
      <c r="Y8" s="6">
        <v>0</v>
      </c>
      <c r="Z8" s="6">
        <v>2</v>
      </c>
      <c r="AA8" s="6">
        <v>1</v>
      </c>
      <c r="AB8" s="6">
        <v>1</v>
      </c>
      <c r="AC8" s="6">
        <v>1</v>
      </c>
      <c r="AD8" s="6">
        <v>1</v>
      </c>
      <c r="AE8" s="6">
        <v>0</v>
      </c>
      <c r="AF8" s="6">
        <v>0</v>
      </c>
      <c r="AG8" s="6">
        <v>0</v>
      </c>
      <c r="AH8" s="6">
        <v>0</v>
      </c>
      <c r="AI8" s="6">
        <v>1</v>
      </c>
      <c r="AJ8" s="6">
        <v>1</v>
      </c>
      <c r="AK8" s="6">
        <v>1</v>
      </c>
      <c r="AL8" s="6">
        <v>1</v>
      </c>
      <c r="AM8" s="6">
        <v>1</v>
      </c>
      <c r="AN8" s="6">
        <v>1</v>
      </c>
      <c r="AO8" s="6">
        <v>1</v>
      </c>
      <c r="AP8" s="6">
        <v>2</v>
      </c>
      <c r="AQ8" s="6">
        <v>1</v>
      </c>
      <c r="AR8" s="6">
        <v>2</v>
      </c>
      <c r="AS8" s="6">
        <v>0</v>
      </c>
      <c r="AT8" s="6">
        <v>1</v>
      </c>
      <c r="AU8" s="6">
        <v>1</v>
      </c>
      <c r="AV8" s="6">
        <v>0</v>
      </c>
      <c r="AW8" s="6">
        <v>1</v>
      </c>
      <c r="AX8" s="6">
        <v>1</v>
      </c>
      <c r="AY8" s="6">
        <v>1</v>
      </c>
      <c r="AZ8" s="6">
        <v>1</v>
      </c>
      <c r="BA8" s="3">
        <f t="shared" ref="BA8" si="64">SUM(AI8:AL8)</f>
        <v>4</v>
      </c>
      <c r="BB8" s="3">
        <f t="shared" si="49"/>
        <v>2</v>
      </c>
      <c r="BC8" s="3">
        <f t="shared" si="50"/>
        <v>7</v>
      </c>
      <c r="BD8" s="3">
        <f t="shared" si="51"/>
        <v>3</v>
      </c>
      <c r="BE8" s="3">
        <f t="shared" si="52"/>
        <v>6</v>
      </c>
      <c r="BF8" s="3">
        <f t="shared" si="53"/>
        <v>2</v>
      </c>
      <c r="BG8" s="3">
        <f t="shared" si="54"/>
        <v>5</v>
      </c>
      <c r="BH8" s="3">
        <f t="shared" si="55"/>
        <v>29</v>
      </c>
      <c r="BJ8" s="62">
        <f t="shared" si="56"/>
        <v>25</v>
      </c>
      <c r="BK8" s="62">
        <f t="shared" si="57"/>
        <v>16.666666666666664</v>
      </c>
      <c r="BL8" s="62">
        <f t="shared" si="58"/>
        <v>35</v>
      </c>
      <c r="BM8" s="62">
        <f t="shared" si="59"/>
        <v>25</v>
      </c>
      <c r="BN8" s="62">
        <f t="shared" si="60"/>
        <v>16.666666666666664</v>
      </c>
      <c r="BO8" s="62">
        <f t="shared" si="61"/>
        <v>16.666666666666664</v>
      </c>
      <c r="BP8" s="62">
        <f t="shared" si="62"/>
        <v>31.25</v>
      </c>
      <c r="BQ8" s="62">
        <f t="shared" si="63"/>
        <v>23.387096774193548</v>
      </c>
    </row>
    <row r="9" spans="1:69">
      <c r="A9" s="3">
        <v>6</v>
      </c>
      <c r="B9" s="3" t="str">
        <v xml:space="preserve">juan Carlos Lopez Gutierrez </v>
      </c>
      <c r="C9" s="3">
        <v>7713088</v>
      </c>
      <c r="D9" s="3" t="str">
        <v>m</v>
      </c>
      <c r="E9" s="3">
        <v>1980</v>
      </c>
      <c r="F9" s="3" t="str">
        <v>Casado (a)</v>
      </c>
      <c r="G9" s="3" t="str">
        <v xml:space="preserve">TECNICO / TECNOLOGICO COMPLETO </v>
      </c>
      <c r="H9" s="3" t="str">
        <v xml:space="preserve">EMPLEADA </v>
      </c>
      <c r="I9" s="3" t="str">
        <v>Neiva - Huila</v>
      </c>
      <c r="J9" s="3">
        <v>2</v>
      </c>
      <c r="K9" s="3" t="str">
        <v>Propia</v>
      </c>
      <c r="L9" s="3">
        <v>2</v>
      </c>
      <c r="M9" s="3" t="str">
        <v>Neiva - Huila</v>
      </c>
      <c r="N9" s="3" t="str">
        <v xml:space="preserve">3 años </v>
      </c>
      <c r="O9" s="3" t="str">
        <v xml:space="preserve">Auxiliar de almacen  y conductor </v>
      </c>
      <c r="P9" s="3" t="str">
        <v xml:space="preserve">Operario Operador , ayudante, servicios generales </v>
      </c>
      <c r="Q9" s="3" t="str">
        <v xml:space="preserve">3 años </v>
      </c>
      <c r="R9" s="3" t="str">
        <v xml:space="preserve">Almacen </v>
      </c>
      <c r="S9" s="3" t="str">
        <v xml:space="preserve">Temporal de 1 año o mas </v>
      </c>
      <c r="T9" s="3">
        <v>8</v>
      </c>
      <c r="U9" s="3" t="str">
        <v>Fijo</v>
      </c>
      <c r="V9" s="6">
        <v>0</v>
      </c>
      <c r="W9" s="6">
        <v>0</v>
      </c>
      <c r="X9" s="6">
        <v>0</v>
      </c>
      <c r="Y9" s="6">
        <v>0</v>
      </c>
      <c r="Z9" s="6">
        <v>1</v>
      </c>
      <c r="AA9" s="6">
        <v>1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1</v>
      </c>
      <c r="AL9" s="6">
        <v>1</v>
      </c>
      <c r="AM9" s="6">
        <v>0</v>
      </c>
      <c r="AN9" s="6">
        <v>0</v>
      </c>
      <c r="AO9" s="6">
        <v>0</v>
      </c>
      <c r="AP9" s="6">
        <v>1</v>
      </c>
      <c r="AQ9" s="6">
        <v>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3">
        <f t="shared" ref="BA9" si="65">SUM(AI9:AL9)</f>
        <v>3</v>
      </c>
      <c r="BB9" s="3">
        <f t="shared" si="49"/>
        <v>0</v>
      </c>
      <c r="BC9" s="3">
        <f t="shared" si="50"/>
        <v>2</v>
      </c>
      <c r="BD9" s="3">
        <f t="shared" si="51"/>
        <v>0</v>
      </c>
      <c r="BE9" s="3">
        <f t="shared" si="52"/>
        <v>2</v>
      </c>
      <c r="BF9" s="3">
        <f t="shared" si="53"/>
        <v>0</v>
      </c>
      <c r="BG9" s="3">
        <f t="shared" si="54"/>
        <v>0</v>
      </c>
      <c r="BH9" s="3">
        <f t="shared" si="55"/>
        <v>7</v>
      </c>
      <c r="BJ9" s="62">
        <f t="shared" si="56"/>
        <v>18.75</v>
      </c>
      <c r="BK9" s="62">
        <f t="shared" si="57"/>
        <v>0</v>
      </c>
      <c r="BL9" s="62">
        <f t="shared" si="58"/>
        <v>10</v>
      </c>
      <c r="BM9" s="62">
        <f t="shared" si="59"/>
        <v>0</v>
      </c>
      <c r="BN9" s="62">
        <f t="shared" si="60"/>
        <v>5.5555555555555554</v>
      </c>
      <c r="BO9" s="62">
        <f t="shared" si="61"/>
        <v>0</v>
      </c>
      <c r="BP9" s="62">
        <f t="shared" si="62"/>
        <v>0</v>
      </c>
      <c r="BQ9" s="62">
        <f t="shared" si="63"/>
        <v>5.6451612903225801</v>
      </c>
    </row>
    <row r="10" spans="1:69">
      <c r="A10" s="3">
        <v>7</v>
      </c>
      <c r="B10" s="3" t="str">
        <v xml:space="preserve">Jorge Enrique Tovar Ortiz </v>
      </c>
      <c r="C10" s="3">
        <v>7690408</v>
      </c>
      <c r="D10" s="3" t="str">
        <v>m</v>
      </c>
      <c r="E10" s="3">
        <v>1971</v>
      </c>
      <c r="F10" s="3" t="str">
        <v>Casado (a)</v>
      </c>
      <c r="G10" s="3" t="str">
        <v xml:space="preserve">TECNICO / TECNOLOGICO COMPLETO </v>
      </c>
      <c r="H10" s="3" t="str">
        <v xml:space="preserve">TECNICO EN SERVICIOS FARMACEUTICOS </v>
      </c>
      <c r="I10" s="3" t="str">
        <v>Neiva - Huila</v>
      </c>
      <c r="J10" s="3">
        <v>2</v>
      </c>
      <c r="K10" s="3" t="str">
        <v>En arriendo</v>
      </c>
      <c r="L10" s="3">
        <v>2</v>
      </c>
      <c r="M10" s="3" t="str">
        <v>Neiva - Huila</v>
      </c>
      <c r="N10" s="3" t="str">
        <v xml:space="preserve">2 años </v>
      </c>
      <c r="O10" s="3" t="str">
        <v xml:space="preserve">Auxiliar de almacen </v>
      </c>
      <c r="P10" s="3" t="str">
        <v xml:space="preserve">Auxiliar, asistente , administrativo, asistente tecnico </v>
      </c>
      <c r="Q10" s="3" t="str">
        <v xml:space="preserve">2 años </v>
      </c>
      <c r="R10" s="3" t="str">
        <v xml:space="preserve">Almacen </v>
      </c>
      <c r="S10" s="3" t="str">
        <v>Termino Indefinido</v>
      </c>
      <c r="T10" s="3">
        <v>8</v>
      </c>
      <c r="U10" s="52" t="str">
        <v>Fijo</v>
      </c>
      <c r="V10" s="6">
        <v>0</v>
      </c>
      <c r="W10" s="6">
        <v>1</v>
      </c>
      <c r="X10" s="6">
        <v>1</v>
      </c>
      <c r="Y10" s="6">
        <v>0</v>
      </c>
      <c r="Z10" s="6">
        <v>1</v>
      </c>
      <c r="AA10" s="6">
        <v>1</v>
      </c>
      <c r="AB10" s="6">
        <v>0</v>
      </c>
      <c r="AC10" s="6">
        <v>1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1</v>
      </c>
      <c r="AL10" s="6">
        <v>1</v>
      </c>
      <c r="AM10" s="6">
        <v>1</v>
      </c>
      <c r="AN10" s="6">
        <v>0</v>
      </c>
      <c r="AO10" s="6">
        <v>1</v>
      </c>
      <c r="AP10" s="6">
        <v>1</v>
      </c>
      <c r="AQ10" s="6">
        <v>1</v>
      </c>
      <c r="AR10" s="6">
        <v>0</v>
      </c>
      <c r="AS10" s="6">
        <v>2</v>
      </c>
      <c r="AT10" s="6">
        <v>1</v>
      </c>
      <c r="AU10" s="6">
        <v>1</v>
      </c>
      <c r="AV10" s="6">
        <v>0</v>
      </c>
      <c r="AW10" s="6">
        <v>0</v>
      </c>
      <c r="AX10" s="6">
        <v>1</v>
      </c>
      <c r="AY10" s="6">
        <v>2</v>
      </c>
      <c r="AZ10" s="6">
        <v>1</v>
      </c>
      <c r="BA10" s="3">
        <f t="shared" ref="BA10" si="66">SUM(AI10:AL10)</f>
        <v>2</v>
      </c>
      <c r="BB10" s="3">
        <f t="shared" si="49"/>
        <v>2</v>
      </c>
      <c r="BC10" s="3">
        <f t="shared" si="50"/>
        <v>3</v>
      </c>
      <c r="BD10" s="3">
        <f t="shared" si="51"/>
        <v>4</v>
      </c>
      <c r="BE10" s="3">
        <f t="shared" si="52"/>
        <v>3</v>
      </c>
      <c r="BF10" s="3">
        <f t="shared" si="53"/>
        <v>3</v>
      </c>
      <c r="BG10" s="3">
        <f t="shared" si="54"/>
        <v>2</v>
      </c>
      <c r="BH10" s="3">
        <f t="shared" si="55"/>
        <v>19</v>
      </c>
      <c r="BJ10" s="62">
        <f t="shared" si="56"/>
        <v>12.5</v>
      </c>
      <c r="BK10" s="62">
        <f t="shared" si="57"/>
        <v>16.666666666666664</v>
      </c>
      <c r="BL10" s="62">
        <f t="shared" si="58"/>
        <v>15</v>
      </c>
      <c r="BM10" s="62">
        <f t="shared" si="59"/>
        <v>33.333333333333329</v>
      </c>
      <c r="BN10" s="62">
        <f t="shared" si="60"/>
        <v>8.3333333333333321</v>
      </c>
      <c r="BO10" s="62">
        <f t="shared" si="61"/>
        <v>25</v>
      </c>
      <c r="BP10" s="62">
        <f t="shared" si="62"/>
        <v>12.5</v>
      </c>
      <c r="BQ10" s="62">
        <f t="shared" si="63"/>
        <v>15.32258064516129</v>
      </c>
    </row>
    <row r="11" spans="1:69">
      <c r="A11" s="3">
        <v>8</v>
      </c>
      <c r="B11" s="3" t="str">
        <v xml:space="preserve">Viviana Lozano </v>
      </c>
      <c r="C11" s="3">
        <v>1075233572</v>
      </c>
      <c r="D11" s="3" t="str">
        <v>f</v>
      </c>
      <c r="E11" s="3">
        <v>1989</v>
      </c>
      <c r="F11" s="3" t="str">
        <v>Soltero (a)</v>
      </c>
      <c r="G11" s="3" t="str">
        <v xml:space="preserve">tECNICO / TECNOLOGICO COMPLETO </v>
      </c>
      <c r="H11" s="3" t="str">
        <v xml:space="preserve">ALMACENISTA </v>
      </c>
      <c r="I11" s="3" t="str">
        <v>Neiva - Huila</v>
      </c>
      <c r="J11" s="3">
        <v>2</v>
      </c>
      <c r="K11" s="3" t="str">
        <v>Propia</v>
      </c>
      <c r="L11" s="3">
        <v>1</v>
      </c>
      <c r="M11" s="3" t="str">
        <v>Neiva - Huila</v>
      </c>
      <c r="N11" s="3" t="str">
        <v xml:space="preserve">Temporal de 1 año o mas </v>
      </c>
      <c r="O11" s="3" t="str">
        <v xml:space="preserve">Almacenista </v>
      </c>
      <c r="P11" s="3" t="str">
        <v xml:space="preserve">Auxiliar, asistente , administrativo, asistente tecnico </v>
      </c>
      <c r="Q11" s="3" t="str">
        <v>Mas de 1 año</v>
      </c>
      <c r="R11" s="3" t="str">
        <v xml:space="preserve">Almacen </v>
      </c>
      <c r="S11" s="3" t="str">
        <v xml:space="preserve">Temporal de 1 año o mas </v>
      </c>
      <c r="T11" s="3">
        <v>8</v>
      </c>
      <c r="U11" s="3" t="str">
        <v>Fijo</v>
      </c>
      <c r="V11" s="6">
        <v>2</v>
      </c>
      <c r="W11" s="6">
        <v>1</v>
      </c>
      <c r="X11" s="6">
        <v>0</v>
      </c>
      <c r="Y11" s="6">
        <v>1</v>
      </c>
      <c r="Z11" s="6">
        <v>2</v>
      </c>
      <c r="AA11" s="6">
        <v>1</v>
      </c>
      <c r="AB11" s="6">
        <v>1</v>
      </c>
      <c r="AC11" s="6">
        <v>2</v>
      </c>
      <c r="AD11" s="6">
        <v>2</v>
      </c>
      <c r="AE11" s="6">
        <v>1</v>
      </c>
      <c r="AF11" s="6">
        <v>0</v>
      </c>
      <c r="AG11" s="6">
        <v>0</v>
      </c>
      <c r="AH11" s="6">
        <v>0</v>
      </c>
      <c r="AI11" s="6">
        <v>1</v>
      </c>
      <c r="AJ11" s="6">
        <v>1</v>
      </c>
      <c r="AK11" s="6">
        <v>0</v>
      </c>
      <c r="AL11" s="6">
        <v>0</v>
      </c>
      <c r="AM11" s="6">
        <v>1</v>
      </c>
      <c r="AN11" s="6">
        <v>1</v>
      </c>
      <c r="AO11" s="6">
        <v>1</v>
      </c>
      <c r="AP11" s="6">
        <v>1</v>
      </c>
      <c r="AQ11" s="6">
        <v>0</v>
      </c>
      <c r="AR11" s="6">
        <v>0</v>
      </c>
      <c r="AS11" s="6">
        <v>1</v>
      </c>
      <c r="AT11" s="6">
        <v>0</v>
      </c>
      <c r="AU11" s="6">
        <v>1</v>
      </c>
      <c r="AV11" s="6">
        <v>1</v>
      </c>
      <c r="AW11" s="6">
        <v>0</v>
      </c>
      <c r="AX11" s="6">
        <v>0</v>
      </c>
      <c r="AY11" s="6">
        <v>2</v>
      </c>
      <c r="AZ11" s="6">
        <v>1</v>
      </c>
      <c r="BA11" s="3">
        <f t="shared" ref="BA11" si="67">SUM(AI11:AL11)</f>
        <v>2</v>
      </c>
      <c r="BB11" s="3">
        <f t="shared" si="49"/>
        <v>1</v>
      </c>
      <c r="BC11" s="3">
        <f t="shared" si="50"/>
        <v>4</v>
      </c>
      <c r="BD11" s="3">
        <f t="shared" si="51"/>
        <v>3</v>
      </c>
      <c r="BE11" s="3">
        <f t="shared" si="52"/>
        <v>9</v>
      </c>
      <c r="BF11" s="3">
        <f t="shared" si="53"/>
        <v>2</v>
      </c>
      <c r="BG11" s="3">
        <f t="shared" si="54"/>
        <v>4</v>
      </c>
      <c r="BH11" s="3">
        <f t="shared" si="55"/>
        <v>25</v>
      </c>
      <c r="BJ11" s="62">
        <f t="shared" si="56"/>
        <v>12.5</v>
      </c>
      <c r="BK11" s="62">
        <f t="shared" si="57"/>
        <v>8.3333333333333321</v>
      </c>
      <c r="BL11" s="62">
        <f t="shared" si="58"/>
        <v>20</v>
      </c>
      <c r="BM11" s="62">
        <f t="shared" si="59"/>
        <v>25</v>
      </c>
      <c r="BN11" s="62">
        <f t="shared" si="60"/>
        <v>25</v>
      </c>
      <c r="BO11" s="62">
        <f t="shared" si="61"/>
        <v>16.666666666666664</v>
      </c>
      <c r="BP11" s="62">
        <f t="shared" si="62"/>
        <v>25</v>
      </c>
      <c r="BQ11" s="62">
        <f t="shared" si="63"/>
        <v>20.161290322580644</v>
      </c>
    </row>
    <row r="12" spans="1:69">
      <c r="A12" s="3">
        <v>9</v>
      </c>
      <c r="B12" s="3" t="str">
        <v xml:space="preserve">Claudia Marithza Rincon </v>
      </c>
      <c r="C12" s="3">
        <v>1003827815</v>
      </c>
      <c r="D12" s="3" t="str">
        <v>f</v>
      </c>
      <c r="E12" s="3">
        <v>1988</v>
      </c>
      <c r="F12" s="3" t="str">
        <v>Soltero (a)</v>
      </c>
      <c r="G12" s="3" t="str">
        <v xml:space="preserve">BACHILLERATO COMPLETO </v>
      </c>
      <c r="H12" s="3" t="str">
        <v xml:space="preserve">EMPLEADA </v>
      </c>
      <c r="I12" s="3" t="str">
        <v>Neiva - Huila</v>
      </c>
      <c r="J12" s="3">
        <v>2</v>
      </c>
      <c r="K12" s="3" t="str">
        <v>En arriendo</v>
      </c>
      <c r="L12" s="3">
        <v>3</v>
      </c>
      <c r="M12" s="3" t="str">
        <v>Neiva - Huila</v>
      </c>
      <c r="N12" s="3" t="str">
        <v xml:space="preserve">2 años </v>
      </c>
      <c r="O12" s="3" t="str">
        <v xml:space="preserve">Auxiliar de servivios generales </v>
      </c>
      <c r="P12" s="3" t="str">
        <v xml:space="preserve">Operario Operador , ayudante, servicios generales </v>
      </c>
      <c r="Q12" s="3" t="str">
        <v xml:space="preserve">2 años </v>
      </c>
      <c r="R12" s="3" t="str">
        <v xml:space="preserve">Huila- aseo </v>
      </c>
      <c r="S12" s="3" t="str">
        <v xml:space="preserve">Temporal de 1 año o mas </v>
      </c>
      <c r="T12" s="3">
        <v>8</v>
      </c>
      <c r="U12" s="3" t="str">
        <v>Fijo</v>
      </c>
      <c r="V12" s="6">
        <v>2</v>
      </c>
      <c r="W12" s="6">
        <v>1</v>
      </c>
      <c r="X12" s="6">
        <v>0</v>
      </c>
      <c r="Y12" s="6">
        <v>1</v>
      </c>
      <c r="Z12" s="6">
        <v>2</v>
      </c>
      <c r="AA12" s="6">
        <v>1</v>
      </c>
      <c r="AB12" s="6">
        <v>1</v>
      </c>
      <c r="AC12" s="6">
        <v>2</v>
      </c>
      <c r="AD12" s="6">
        <v>2</v>
      </c>
      <c r="AE12" s="6">
        <v>1</v>
      </c>
      <c r="AF12" s="6">
        <v>0</v>
      </c>
      <c r="AG12" s="6">
        <v>0</v>
      </c>
      <c r="AH12" s="6">
        <v>0</v>
      </c>
      <c r="AI12" s="6">
        <v>1</v>
      </c>
      <c r="AJ12" s="6">
        <v>1</v>
      </c>
      <c r="AK12" s="6">
        <v>0</v>
      </c>
      <c r="AL12" s="6">
        <v>0</v>
      </c>
      <c r="AM12" s="6">
        <v>1</v>
      </c>
      <c r="AN12" s="6">
        <v>1</v>
      </c>
      <c r="AO12" s="6">
        <v>1</v>
      </c>
      <c r="AP12" s="6">
        <v>1</v>
      </c>
      <c r="AQ12" s="6">
        <v>0</v>
      </c>
      <c r="AR12" s="6">
        <v>0</v>
      </c>
      <c r="AS12" s="6">
        <v>1</v>
      </c>
      <c r="AT12" s="6">
        <v>0</v>
      </c>
      <c r="AU12" s="6">
        <v>1</v>
      </c>
      <c r="AV12" s="6">
        <v>1</v>
      </c>
      <c r="AW12" s="6">
        <v>0</v>
      </c>
      <c r="AX12" s="6">
        <v>0</v>
      </c>
      <c r="AY12" s="6">
        <v>2</v>
      </c>
      <c r="AZ12" s="6">
        <v>1</v>
      </c>
      <c r="BA12" s="3">
        <f t="shared" ref="BA12" si="68">SUM(AI12:AL12)</f>
        <v>2</v>
      </c>
      <c r="BB12" s="3">
        <f t="shared" si="49"/>
        <v>1</v>
      </c>
      <c r="BC12" s="3">
        <f t="shared" si="50"/>
        <v>4</v>
      </c>
      <c r="BD12" s="3">
        <f t="shared" si="51"/>
        <v>3</v>
      </c>
      <c r="BE12" s="3">
        <f t="shared" si="52"/>
        <v>9</v>
      </c>
      <c r="BF12" s="3">
        <f t="shared" si="53"/>
        <v>2</v>
      </c>
      <c r="BG12" s="3">
        <f t="shared" si="54"/>
        <v>4</v>
      </c>
      <c r="BH12" s="3">
        <f t="shared" si="55"/>
        <v>25</v>
      </c>
      <c r="BJ12" s="62">
        <f t="shared" si="56"/>
        <v>12.5</v>
      </c>
      <c r="BK12" s="62">
        <f t="shared" si="57"/>
        <v>8.3333333333333321</v>
      </c>
      <c r="BL12" s="62">
        <f t="shared" si="58"/>
        <v>20</v>
      </c>
      <c r="BM12" s="62">
        <f t="shared" si="59"/>
        <v>25</v>
      </c>
      <c r="BN12" s="62">
        <f t="shared" si="60"/>
        <v>25</v>
      </c>
      <c r="BO12" s="62">
        <f t="shared" si="61"/>
        <v>16.666666666666664</v>
      </c>
      <c r="BP12" s="62">
        <f t="shared" si="62"/>
        <v>25</v>
      </c>
      <c r="BQ12" s="62">
        <f t="shared" si="63"/>
        <v>20.161290322580644</v>
      </c>
    </row>
    <row r="13" spans="1:69">
      <c r="A13" s="3">
        <v>10</v>
      </c>
      <c r="B13" s="3" t="str">
        <v xml:space="preserve">Hector Oswaldo </v>
      </c>
      <c r="C13" s="3">
        <v>12125388</v>
      </c>
      <c r="D13" s="3" t="str">
        <v>m</v>
      </c>
      <c r="E13" s="3">
        <v>1964</v>
      </c>
      <c r="F13" s="3" t="str">
        <v>Union Libre</v>
      </c>
      <c r="G13" s="3" t="str">
        <v xml:space="preserve">PROFESIONAL INCOMPLETO </v>
      </c>
      <c r="H13" s="3" t="str">
        <v xml:space="preserve">ASESOR COMERCIAL </v>
      </c>
      <c r="I13" s="3" t="str">
        <v>Neiva - Huila</v>
      </c>
      <c r="J13" s="3">
        <v>2</v>
      </c>
      <c r="K13" s="3" t="str">
        <v>En arriendo</v>
      </c>
      <c r="L13" s="3">
        <v>1</v>
      </c>
      <c r="M13" s="3" t="str">
        <v>Neiva - Huila</v>
      </c>
      <c r="N13" s="3" t="str">
        <v xml:space="preserve">Temporal de 1 año o mas </v>
      </c>
      <c r="O13" s="3" t="str">
        <v xml:space="preserve">Asesor Comercial </v>
      </c>
      <c r="P13" s="3" t="str">
        <v>Profesional, analista, tecnico, tecnologo</v>
      </c>
      <c r="Q13" s="3" t="str">
        <v xml:space="preserve">3 años </v>
      </c>
      <c r="R13" s="3" t="str">
        <v xml:space="preserve">Comercial </v>
      </c>
      <c r="S13" s="3" t="str">
        <v>Temporal de menos de 1 año</v>
      </c>
      <c r="T13" s="3">
        <v>8</v>
      </c>
      <c r="U13" s="3" t="str">
        <v>Fijo</v>
      </c>
      <c r="V13" s="6">
        <v>0</v>
      </c>
      <c r="W13" s="6">
        <v>0</v>
      </c>
      <c r="X13" s="6">
        <v>0</v>
      </c>
      <c r="Y13" s="6">
        <v>0</v>
      </c>
      <c r="Z13" s="6">
        <v>1</v>
      </c>
      <c r="AA13" s="6">
        <v>2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2</v>
      </c>
      <c r="AT13" s="6">
        <v>0</v>
      </c>
      <c r="AU13" s="6">
        <v>1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3">
        <f t="shared" ref="BA13" si="69">SUM(AI13:AL13)</f>
        <v>0</v>
      </c>
      <c r="BB13" s="3">
        <f t="shared" si="49"/>
        <v>0</v>
      </c>
      <c r="BC13" s="3">
        <f t="shared" si="50"/>
        <v>0</v>
      </c>
      <c r="BD13" s="3">
        <f t="shared" si="51"/>
        <v>0</v>
      </c>
      <c r="BE13" s="3">
        <f t="shared" si="52"/>
        <v>3</v>
      </c>
      <c r="BF13" s="3">
        <f t="shared" si="53"/>
        <v>3</v>
      </c>
      <c r="BG13" s="3">
        <f t="shared" si="54"/>
        <v>0</v>
      </c>
      <c r="BH13" s="3">
        <f t="shared" si="55"/>
        <v>6</v>
      </c>
      <c r="BJ13" s="62">
        <f t="shared" si="56"/>
        <v>0</v>
      </c>
      <c r="BK13" s="62">
        <f t="shared" si="57"/>
        <v>0</v>
      </c>
      <c r="BL13" s="62">
        <f t="shared" si="58"/>
        <v>0</v>
      </c>
      <c r="BM13" s="62">
        <f t="shared" si="59"/>
        <v>0</v>
      </c>
      <c r="BN13" s="62">
        <f t="shared" si="60"/>
        <v>8.3333333333333321</v>
      </c>
      <c r="BO13" s="62">
        <f t="shared" si="61"/>
        <v>25</v>
      </c>
      <c r="BP13" s="62">
        <f t="shared" si="62"/>
        <v>0</v>
      </c>
      <c r="BQ13" s="62">
        <f t="shared" si="63"/>
        <v>4.838709677419355</v>
      </c>
    </row>
    <row r="14" spans="1:69">
      <c r="A14" s="3">
        <v>11</v>
      </c>
      <c r="B14" s="3" t="str">
        <v>Juan Pablo Cordoba</v>
      </c>
      <c r="C14" s="3">
        <v>1075310963</v>
      </c>
      <c r="D14" s="3" t="str">
        <v>m</v>
      </c>
      <c r="E14" s="3">
        <v>1998</v>
      </c>
      <c r="F14" s="3" t="str">
        <v>Soltero (a)</v>
      </c>
      <c r="G14" s="3" t="str">
        <v xml:space="preserve">TECNICO / TECNOLOGICO COMPLETO </v>
      </c>
      <c r="H14" s="3" t="str">
        <v xml:space="preserve">AUXILIAR DE ALMACEN </v>
      </c>
      <c r="I14" s="3" t="str">
        <v>Neiva - Huila</v>
      </c>
      <c r="J14" s="3">
        <v>2</v>
      </c>
      <c r="K14" s="3" t="str">
        <v>Familiar</v>
      </c>
      <c r="L14" s="3">
        <v>1</v>
      </c>
      <c r="M14" s="3" t="str">
        <v>Neiva - Huila</v>
      </c>
      <c r="N14" s="3" t="str">
        <v xml:space="preserve">Temporal de 1 año o mas </v>
      </c>
      <c r="O14" s="3" t="str">
        <v xml:space="preserve">Auxiliar de almacen </v>
      </c>
      <c r="P14" s="3" t="str">
        <v xml:space="preserve">Auxiliar, asistente , administrativo, asistente tecnico </v>
      </c>
      <c r="Q14" s="3" t="str">
        <v>Menos de 1 año</v>
      </c>
      <c r="R14" s="3" t="str">
        <v xml:space="preserve">Almacen </v>
      </c>
      <c r="S14" s="3" t="str">
        <v xml:space="preserve">Temporal de 1 año o mas </v>
      </c>
      <c r="T14" s="3">
        <v>8</v>
      </c>
      <c r="U14" s="3" t="str">
        <v>Fijo</v>
      </c>
      <c r="V14" s="6">
        <v>0</v>
      </c>
      <c r="W14" s="6">
        <v>0</v>
      </c>
      <c r="X14" s="6">
        <v>1</v>
      </c>
      <c r="Y14" s="6">
        <v>0</v>
      </c>
      <c r="Z14" s="6">
        <v>2</v>
      </c>
      <c r="AA14" s="6">
        <v>2</v>
      </c>
      <c r="AB14" s="6">
        <v>1</v>
      </c>
      <c r="AC14" s="6">
        <v>2</v>
      </c>
      <c r="AD14" s="6">
        <v>1</v>
      </c>
      <c r="AE14" s="6">
        <v>0</v>
      </c>
      <c r="AF14" s="6">
        <v>0</v>
      </c>
      <c r="AG14" s="6">
        <v>0</v>
      </c>
      <c r="AH14" s="6">
        <v>0</v>
      </c>
      <c r="AI14" s="6">
        <v>2</v>
      </c>
      <c r="AJ14" s="6">
        <v>2</v>
      </c>
      <c r="AK14" s="6">
        <v>2</v>
      </c>
      <c r="AL14" s="6">
        <v>1</v>
      </c>
      <c r="AM14" s="6">
        <v>2</v>
      </c>
      <c r="AN14" s="6">
        <v>2</v>
      </c>
      <c r="AO14" s="6">
        <v>1</v>
      </c>
      <c r="AP14" s="6">
        <v>2</v>
      </c>
      <c r="AQ14" s="6">
        <v>2</v>
      </c>
      <c r="AR14" s="6">
        <v>1</v>
      </c>
      <c r="AS14" s="6">
        <v>2</v>
      </c>
      <c r="AT14" s="6">
        <v>3</v>
      </c>
      <c r="AU14" s="6">
        <v>1</v>
      </c>
      <c r="AV14" s="6">
        <v>2</v>
      </c>
      <c r="AW14" s="6">
        <v>1</v>
      </c>
      <c r="AX14" s="6">
        <v>3</v>
      </c>
      <c r="AY14" s="6">
        <v>1</v>
      </c>
      <c r="AZ14" s="6">
        <v>1</v>
      </c>
      <c r="BA14" s="3">
        <f t="shared" ref="BA14" si="70">SUM(AI14:AL14)</f>
        <v>7</v>
      </c>
      <c r="BB14" s="3">
        <f t="shared" si="49"/>
        <v>7</v>
      </c>
      <c r="BC14" s="3">
        <f t="shared" si="50"/>
        <v>8</v>
      </c>
      <c r="BD14" s="3">
        <f t="shared" si="51"/>
        <v>5</v>
      </c>
      <c r="BE14" s="3">
        <f t="shared" si="52"/>
        <v>8</v>
      </c>
      <c r="BF14" s="3">
        <f t="shared" si="53"/>
        <v>4</v>
      </c>
      <c r="BG14" s="3">
        <f t="shared" si="54"/>
        <v>1</v>
      </c>
      <c r="BH14" s="3">
        <f t="shared" si="55"/>
        <v>40</v>
      </c>
      <c r="BJ14" s="62">
        <f t="shared" si="56"/>
        <v>43.75</v>
      </c>
      <c r="BK14" s="62">
        <f t="shared" si="57"/>
        <v>58.333333333333336</v>
      </c>
      <c r="BL14" s="62">
        <f t="shared" si="58"/>
        <v>40</v>
      </c>
      <c r="BM14" s="62">
        <f t="shared" si="59"/>
        <v>41.666666666666671</v>
      </c>
      <c r="BN14" s="62">
        <f t="shared" si="60"/>
        <v>22.222222222222221</v>
      </c>
      <c r="BO14" s="62">
        <f t="shared" si="61"/>
        <v>33.333333333333329</v>
      </c>
      <c r="BP14" s="62">
        <f t="shared" si="62"/>
        <v>6.25</v>
      </c>
      <c r="BQ14" s="62">
        <f t="shared" si="63"/>
        <v>32.258064516129032</v>
      </c>
    </row>
    <row r="15" spans="1:69">
      <c r="A15" s="3">
        <v>12</v>
      </c>
      <c r="B15" s="3" t="str">
        <v xml:space="preserve">Daniela Castro  Hernandez </v>
      </c>
      <c r="C15" s="3">
        <v>1007717112</v>
      </c>
      <c r="D15" s="3" t="str">
        <v>f</v>
      </c>
      <c r="E15" s="3">
        <v>2000</v>
      </c>
      <c r="F15" s="3" t="str">
        <v>Union Libre</v>
      </c>
      <c r="G15" s="3" t="str">
        <v xml:space="preserve">PROFESIONAL INCOMPLETO </v>
      </c>
      <c r="H15" s="3" t="str">
        <v xml:space="preserve">TECNICO ADMINISTRATIVA </v>
      </c>
      <c r="I15" s="3" t="str">
        <v>Neiva - Huila</v>
      </c>
      <c r="J15" s="3">
        <v>3</v>
      </c>
      <c r="K15" s="3" t="str">
        <v>En arriendo</v>
      </c>
      <c r="L15" s="3">
        <v>0</v>
      </c>
      <c r="M15" s="3" t="str">
        <v>Neiva - Huila</v>
      </c>
      <c r="N15" s="3" t="str">
        <v xml:space="preserve">Temporal de 1 año o mas </v>
      </c>
      <c r="O15" s="3" t="str">
        <v xml:space="preserve">Asistente Administrativa y Comercial </v>
      </c>
      <c r="P15" s="3" t="str">
        <v xml:space="preserve">Auxiliar, asistente , administrativo, asistente tecnico </v>
      </c>
      <c r="Q15" s="3" t="str">
        <v xml:space="preserve">1 año </v>
      </c>
      <c r="R15" s="3" t="str">
        <v xml:space="preserve">Comercial </v>
      </c>
      <c r="S15" s="3" t="str">
        <v xml:space="preserve">Temporal de 1 año o mas </v>
      </c>
      <c r="T15" s="3">
        <v>8</v>
      </c>
      <c r="U15" s="3" t="str">
        <v>Fijo</v>
      </c>
      <c r="V15" s="6">
        <v>3</v>
      </c>
      <c r="W15" s="6">
        <v>6</v>
      </c>
      <c r="X15" s="6">
        <v>6</v>
      </c>
      <c r="Y15" s="6">
        <v>4</v>
      </c>
      <c r="Z15" s="6">
        <v>2</v>
      </c>
      <c r="AA15" s="6">
        <v>0</v>
      </c>
      <c r="AB15" s="6">
        <v>0</v>
      </c>
      <c r="AC15" s="6">
        <v>0</v>
      </c>
      <c r="AD15" s="6">
        <v>6</v>
      </c>
      <c r="AE15" s="6">
        <v>0</v>
      </c>
      <c r="AF15" s="6">
        <v>2</v>
      </c>
      <c r="AG15" s="6">
        <v>0</v>
      </c>
      <c r="AH15" s="6">
        <v>0</v>
      </c>
      <c r="AI15" s="6">
        <v>3</v>
      </c>
      <c r="AJ15" s="6">
        <v>0</v>
      </c>
      <c r="AK15" s="6">
        <v>0</v>
      </c>
      <c r="AL15" s="6">
        <v>2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3</v>
      </c>
      <c r="AT15" s="6">
        <v>2</v>
      </c>
      <c r="AU15" s="6">
        <v>0</v>
      </c>
      <c r="AV15" s="6">
        <v>0</v>
      </c>
      <c r="AW15" s="6">
        <v>2</v>
      </c>
      <c r="AX15" s="6">
        <v>0</v>
      </c>
      <c r="AY15" s="6">
        <v>0</v>
      </c>
      <c r="AZ15" s="6">
        <v>0</v>
      </c>
      <c r="BA15" s="3">
        <f t="shared" ref="BA15" si="71">SUM(AI15:AL15)</f>
        <v>5</v>
      </c>
      <c r="BB15" s="3">
        <f t="shared" si="49"/>
        <v>2</v>
      </c>
      <c r="BC15" s="3">
        <f t="shared" si="50"/>
        <v>0</v>
      </c>
      <c r="BD15" s="3">
        <f t="shared" si="51"/>
        <v>0</v>
      </c>
      <c r="BE15" s="3">
        <f t="shared" si="52"/>
        <v>10</v>
      </c>
      <c r="BF15" s="3">
        <f t="shared" si="53"/>
        <v>5</v>
      </c>
      <c r="BG15" s="3">
        <f t="shared" si="54"/>
        <v>19</v>
      </c>
      <c r="BH15" s="3">
        <f t="shared" si="55"/>
        <v>41</v>
      </c>
      <c r="BJ15" s="62">
        <f t="shared" si="56"/>
        <v>31.25</v>
      </c>
      <c r="BK15" s="62">
        <f t="shared" si="57"/>
        <v>16.666666666666664</v>
      </c>
      <c r="BL15" s="62">
        <f t="shared" si="58"/>
        <v>0</v>
      </c>
      <c r="BM15" s="62">
        <f t="shared" si="59"/>
        <v>0</v>
      </c>
      <c r="BN15" s="62">
        <f t="shared" si="60"/>
        <v>27.777777777777779</v>
      </c>
      <c r="BO15" s="62">
        <f t="shared" si="61"/>
        <v>41.666666666666671</v>
      </c>
      <c r="BP15" s="62">
        <f t="shared" si="62"/>
        <v>118.75</v>
      </c>
      <c r="BQ15" s="62">
        <f t="shared" si="63"/>
        <v>33.064516129032256</v>
      </c>
    </row>
    <row r="16" spans="1:69">
      <c r="A16" s="3">
        <v>13</v>
      </c>
      <c r="B16" s="3" t="str">
        <v xml:space="preserve">Diva Cristina Suarez </v>
      </c>
      <c r="C16" s="3">
        <v>1075222642</v>
      </c>
      <c r="D16" s="3" t="str">
        <v>f</v>
      </c>
      <c r="E16" s="3">
        <v>1987</v>
      </c>
      <c r="F16" s="3" t="str">
        <v>Divorciado (a)</v>
      </c>
      <c r="G16" s="3" t="str">
        <v xml:space="preserve">TECNICO / TECNOLOGICO COMPLETO </v>
      </c>
      <c r="H16" s="3" t="str">
        <v xml:space="preserve">TECNICO ADMINISTRATIVA </v>
      </c>
      <c r="I16" s="3" t="str">
        <v>Neiva - Huila</v>
      </c>
      <c r="J16" s="3">
        <v>2</v>
      </c>
      <c r="K16" s="3" t="str">
        <v>Propia</v>
      </c>
      <c r="L16" s="3">
        <v>2</v>
      </c>
      <c r="M16" s="3" t="str">
        <v>Neiva - Huila</v>
      </c>
      <c r="N16" s="3" t="str">
        <v xml:space="preserve">Temporal de 1 año o mas </v>
      </c>
      <c r="O16" s="3" t="str">
        <v xml:space="preserve">Ventas- comercial </v>
      </c>
      <c r="P16" s="3" t="str">
        <v xml:space="preserve">Auxiliar, asistente , administrativo, asistente tecnico </v>
      </c>
      <c r="Q16" s="3" t="str">
        <v xml:space="preserve">1 año </v>
      </c>
      <c r="R16" s="3" t="str">
        <v xml:space="preserve">Comercial </v>
      </c>
      <c r="S16" s="3" t="str">
        <v xml:space="preserve">Temporal de 1 año o mas </v>
      </c>
      <c r="T16" s="3">
        <v>8</v>
      </c>
      <c r="U16" s="3" t="str">
        <v>Fijo</v>
      </c>
      <c r="V16" s="6">
        <v>1</v>
      </c>
      <c r="W16" s="6">
        <v>0</v>
      </c>
      <c r="X16" s="6">
        <v>2</v>
      </c>
      <c r="Y16" s="6">
        <v>1</v>
      </c>
      <c r="Z16" s="6">
        <v>1</v>
      </c>
      <c r="AA16" s="6">
        <v>1</v>
      </c>
      <c r="AB16" s="6">
        <v>0</v>
      </c>
      <c r="AC16" s="6">
        <v>1</v>
      </c>
      <c r="AD16" s="6">
        <v>1</v>
      </c>
      <c r="AE16" s="6">
        <v>0</v>
      </c>
      <c r="AF16" s="6">
        <v>0</v>
      </c>
      <c r="AG16" s="6">
        <v>0</v>
      </c>
      <c r="AH16" s="6">
        <v>0</v>
      </c>
      <c r="AI16" s="6">
        <v>2</v>
      </c>
      <c r="AJ16" s="6">
        <v>2</v>
      </c>
      <c r="AK16" s="6">
        <v>1</v>
      </c>
      <c r="AL16" s="6">
        <v>2</v>
      </c>
      <c r="AM16" s="6">
        <v>1</v>
      </c>
      <c r="AN16" s="6">
        <v>1</v>
      </c>
      <c r="AO16" s="6">
        <v>1</v>
      </c>
      <c r="AP16" s="6">
        <v>0</v>
      </c>
      <c r="AQ16" s="6">
        <v>0</v>
      </c>
      <c r="AR16" s="6">
        <v>0</v>
      </c>
      <c r="AS16" s="6">
        <v>1</v>
      </c>
      <c r="AT16" s="6">
        <v>0</v>
      </c>
      <c r="AU16" s="6">
        <v>1</v>
      </c>
      <c r="AV16" s="6">
        <v>0</v>
      </c>
      <c r="AW16" s="6">
        <v>1</v>
      </c>
      <c r="AX16" s="6">
        <v>0</v>
      </c>
      <c r="AY16" s="6">
        <v>0</v>
      </c>
      <c r="AZ16" s="6">
        <v>1</v>
      </c>
      <c r="BA16" s="3">
        <f t="shared" ref="BA16" si="72">SUM(AI16:AL16)</f>
        <v>7</v>
      </c>
      <c r="BB16" s="3">
        <f t="shared" si="49"/>
        <v>0</v>
      </c>
      <c r="BC16" s="3">
        <f t="shared" si="50"/>
        <v>3</v>
      </c>
      <c r="BD16" s="3">
        <f t="shared" si="51"/>
        <v>1</v>
      </c>
      <c r="BE16" s="3">
        <f t="shared" si="52"/>
        <v>4</v>
      </c>
      <c r="BF16" s="3">
        <f t="shared" si="53"/>
        <v>3</v>
      </c>
      <c r="BG16" s="3">
        <f t="shared" si="54"/>
        <v>4</v>
      </c>
      <c r="BH16" s="3">
        <f t="shared" si="55"/>
        <v>22</v>
      </c>
      <c r="BJ16" s="62">
        <f t="shared" si="56"/>
        <v>43.75</v>
      </c>
      <c r="BK16" s="62">
        <f t="shared" si="57"/>
        <v>0</v>
      </c>
      <c r="BL16" s="62">
        <f t="shared" si="58"/>
        <v>15</v>
      </c>
      <c r="BM16" s="62">
        <f t="shared" si="59"/>
        <v>8.3333333333333321</v>
      </c>
      <c r="BN16" s="62">
        <f t="shared" si="60"/>
        <v>11.111111111111111</v>
      </c>
      <c r="BO16" s="62">
        <f t="shared" si="61"/>
        <v>25</v>
      </c>
      <c r="BP16" s="62">
        <f t="shared" si="62"/>
        <v>25</v>
      </c>
      <c r="BQ16" s="62">
        <f t="shared" si="63"/>
        <v>17.741935483870968</v>
      </c>
    </row>
    <row r="17" spans="1:69">
      <c r="A17" s="3">
        <v>14</v>
      </c>
      <c r="B17" s="3" t="str">
        <v xml:space="preserve">Jesus Andres Sanchez </v>
      </c>
      <c r="C17" s="3">
        <v>88031940</v>
      </c>
      <c r="D17" s="3" t="str">
        <v>m</v>
      </c>
      <c r="E17" s="3">
        <v>1982</v>
      </c>
      <c r="F17" s="3" t="str">
        <v>Casado (a)</v>
      </c>
      <c r="G17" s="3" t="str">
        <v xml:space="preserve">POSGRADO COMPLETO </v>
      </c>
      <c r="H17" s="3" t="str">
        <v xml:space="preserve">BACTERIOLOGO </v>
      </c>
      <c r="I17" s="3" t="str">
        <v>Neiva - Huila</v>
      </c>
      <c r="J17" s="3">
        <v>3</v>
      </c>
      <c r="K17" s="3" t="str">
        <v>Familiar</v>
      </c>
      <c r="L17" s="3">
        <v>1</v>
      </c>
      <c r="M17" s="3" t="str">
        <v>Neiva - Huila</v>
      </c>
      <c r="N17" s="3" t="str">
        <v xml:space="preserve">8 años </v>
      </c>
      <c r="O17" s="3" t="str">
        <v xml:space="preserve">Asesor comercial - Técnico Cientifico </v>
      </c>
      <c r="P17" s="3" t="str">
        <v>Profesional, analista, técnico, tecnólogo</v>
      </c>
      <c r="Q17" s="3" t="str">
        <v>8 años</v>
      </c>
      <c r="R17" s="3" t="str">
        <v xml:space="preserve">Comercial </v>
      </c>
      <c r="S17" s="3" t="str">
        <v>Termino Indefinido</v>
      </c>
      <c r="T17" s="3">
        <v>8</v>
      </c>
      <c r="U17" s="3" t="str">
        <v>Fijo</v>
      </c>
      <c r="V17" s="6">
        <v>0</v>
      </c>
      <c r="W17" s="6">
        <v>0</v>
      </c>
      <c r="X17" s="6">
        <v>2</v>
      </c>
      <c r="Y17" s="6">
        <v>0</v>
      </c>
      <c r="Z17" s="6">
        <v>0</v>
      </c>
      <c r="AA17" s="6">
        <v>1</v>
      </c>
      <c r="AB17" s="6">
        <v>1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2</v>
      </c>
      <c r="AJ17" s="6">
        <v>1</v>
      </c>
      <c r="AK17" s="6">
        <v>1</v>
      </c>
      <c r="AL17" s="6">
        <v>1</v>
      </c>
      <c r="AM17" s="6">
        <v>1</v>
      </c>
      <c r="AN17" s="6">
        <v>0</v>
      </c>
      <c r="AO17" s="6">
        <v>1</v>
      </c>
      <c r="AP17" s="6">
        <v>1</v>
      </c>
      <c r="AQ17" s="6">
        <v>0</v>
      </c>
      <c r="AR17" s="6">
        <v>1</v>
      </c>
      <c r="AS17" s="6">
        <v>1</v>
      </c>
      <c r="AT17" s="6">
        <v>0</v>
      </c>
      <c r="AU17" s="6">
        <v>1</v>
      </c>
      <c r="AV17" s="6">
        <v>0</v>
      </c>
      <c r="AW17" s="6">
        <v>3</v>
      </c>
      <c r="AX17" s="6">
        <v>1</v>
      </c>
      <c r="AY17" s="6">
        <v>1</v>
      </c>
      <c r="AZ17" s="6">
        <v>1</v>
      </c>
      <c r="BA17" s="3">
        <f t="shared" ref="BA17" si="73">SUM(AI17:AL17)</f>
        <v>5</v>
      </c>
      <c r="BB17" s="3">
        <f t="shared" si="49"/>
        <v>0</v>
      </c>
      <c r="BC17" s="3">
        <f t="shared" si="50"/>
        <v>4</v>
      </c>
      <c r="BD17" s="3">
        <f t="shared" si="51"/>
        <v>3</v>
      </c>
      <c r="BE17" s="3">
        <f t="shared" si="52"/>
        <v>2</v>
      </c>
      <c r="BF17" s="3">
        <f t="shared" si="53"/>
        <v>5</v>
      </c>
      <c r="BG17" s="3">
        <f t="shared" si="54"/>
        <v>2</v>
      </c>
      <c r="BH17" s="3">
        <f t="shared" si="55"/>
        <v>21</v>
      </c>
      <c r="BJ17" s="62">
        <f t="shared" si="56"/>
        <v>31.25</v>
      </c>
      <c r="BK17" s="62">
        <f t="shared" si="57"/>
        <v>0</v>
      </c>
      <c r="BL17" s="62">
        <f t="shared" si="58"/>
        <v>20</v>
      </c>
      <c r="BM17" s="62">
        <f t="shared" si="59"/>
        <v>25</v>
      </c>
      <c r="BN17" s="62">
        <f t="shared" si="60"/>
        <v>5.5555555555555554</v>
      </c>
      <c r="BO17" s="62">
        <f t="shared" si="61"/>
        <v>41.666666666666671</v>
      </c>
      <c r="BP17" s="62">
        <f t="shared" si="62"/>
        <v>12.5</v>
      </c>
      <c r="BQ17" s="62">
        <f t="shared" si="63"/>
        <v>16.93548387096774</v>
      </c>
    </row>
    <row r="18" spans="1:69">
      <c r="A18" s="3">
        <v>15</v>
      </c>
      <c r="B18" s="3" t="str">
        <v xml:space="preserve">Leonardo Penagos Cardozo </v>
      </c>
      <c r="C18" s="3">
        <v>1075233459</v>
      </c>
      <c r="D18" s="3" t="str">
        <v>m</v>
      </c>
      <c r="E18" s="3">
        <v>1988</v>
      </c>
      <c r="F18" s="3" t="str">
        <v>Union Libre</v>
      </c>
      <c r="G18" s="3" t="str">
        <v xml:space="preserve">PROFESIONAL COMPLETO </v>
      </c>
      <c r="H18" s="3" t="str">
        <v xml:space="preserve">INGENIERO ELECTRONICO </v>
      </c>
      <c r="I18" s="3" t="str">
        <v>Neiva - Huila</v>
      </c>
      <c r="J18" s="3">
        <v>2</v>
      </c>
      <c r="K18" s="3" t="str">
        <v>Familiar</v>
      </c>
      <c r="L18" s="3">
        <v>3</v>
      </c>
      <c r="M18" s="3" t="str">
        <v>Neiva - Huila</v>
      </c>
      <c r="N18" s="3" t="str">
        <v xml:space="preserve">2 años </v>
      </c>
      <c r="O18" s="3" t="str">
        <v xml:space="preserve">ingeniero de mantenimiento  biomedico </v>
      </c>
      <c r="P18" s="3" t="str">
        <v>Profesional, analista, técnico, tecnólogo</v>
      </c>
      <c r="Q18" s="3" t="str">
        <v xml:space="preserve">2 años </v>
      </c>
      <c r="R18" s="3" t="str">
        <v xml:space="preserve">ingenieria </v>
      </c>
      <c r="S18" s="3" t="str">
        <v xml:space="preserve">Temporal de 1 año o mas </v>
      </c>
      <c r="T18" s="3">
        <v>8</v>
      </c>
      <c r="U18" s="3" t="str">
        <v>Fijo</v>
      </c>
      <c r="V18" s="6">
        <v>0</v>
      </c>
      <c r="W18" s="6">
        <v>0</v>
      </c>
      <c r="X18" s="6">
        <v>1</v>
      </c>
      <c r="Y18" s="6">
        <v>0</v>
      </c>
      <c r="Z18" s="6">
        <v>0</v>
      </c>
      <c r="AA18" s="6">
        <v>2</v>
      </c>
      <c r="AB18" s="6">
        <v>1</v>
      </c>
      <c r="AC18" s="6">
        <v>1</v>
      </c>
      <c r="AD18" s="6">
        <v>1</v>
      </c>
      <c r="AE18" s="6">
        <v>0</v>
      </c>
      <c r="AF18" s="6">
        <v>0</v>
      </c>
      <c r="AG18" s="6">
        <v>0</v>
      </c>
      <c r="AH18" s="6">
        <v>0</v>
      </c>
      <c r="AI18" s="6">
        <v>3</v>
      </c>
      <c r="AJ18" s="6">
        <v>3</v>
      </c>
      <c r="AK18" s="6">
        <v>3</v>
      </c>
      <c r="AL18" s="6">
        <v>3</v>
      </c>
      <c r="AM18" s="6">
        <v>2</v>
      </c>
      <c r="AN18" s="6">
        <v>2</v>
      </c>
      <c r="AO18" s="6">
        <v>3</v>
      </c>
      <c r="AP18" s="6">
        <v>2</v>
      </c>
      <c r="AQ18" s="6">
        <v>0</v>
      </c>
      <c r="AR18" s="6">
        <v>1</v>
      </c>
      <c r="AS18" s="6">
        <v>1</v>
      </c>
      <c r="AT18" s="6">
        <v>0</v>
      </c>
      <c r="AU18" s="6">
        <v>0</v>
      </c>
      <c r="AV18" s="6">
        <v>2</v>
      </c>
      <c r="AW18" s="6">
        <v>0</v>
      </c>
      <c r="AX18" s="6">
        <v>2</v>
      </c>
      <c r="AY18" s="6">
        <v>3</v>
      </c>
      <c r="AZ18" s="6">
        <v>3</v>
      </c>
      <c r="BA18" s="3">
        <f t="shared" ref="BA18" si="74">SUM(AI18:AL18)</f>
        <v>12</v>
      </c>
      <c r="BB18" s="3">
        <f t="shared" si="49"/>
        <v>2</v>
      </c>
      <c r="BC18" s="3">
        <f t="shared" si="50"/>
        <v>10</v>
      </c>
      <c r="BD18" s="3">
        <f t="shared" si="51"/>
        <v>8</v>
      </c>
      <c r="BE18" s="3">
        <f t="shared" si="52"/>
        <v>5</v>
      </c>
      <c r="BF18" s="3">
        <f t="shared" si="53"/>
        <v>1</v>
      </c>
      <c r="BG18" s="3">
        <f t="shared" si="54"/>
        <v>1</v>
      </c>
      <c r="BH18" s="3">
        <f t="shared" si="55"/>
        <v>39</v>
      </c>
      <c r="BJ18" s="62">
        <f t="shared" si="56"/>
        <v>75</v>
      </c>
      <c r="BK18" s="62">
        <f t="shared" si="57"/>
        <v>16.666666666666664</v>
      </c>
      <c r="BL18" s="62">
        <f t="shared" si="58"/>
        <v>50</v>
      </c>
      <c r="BM18" s="62">
        <f t="shared" si="59"/>
        <v>66.666666666666657</v>
      </c>
      <c r="BN18" s="62">
        <f t="shared" si="60"/>
        <v>13.888888888888889</v>
      </c>
      <c r="BO18" s="62">
        <f t="shared" si="61"/>
        <v>8.3333333333333321</v>
      </c>
      <c r="BP18" s="62">
        <f t="shared" si="62"/>
        <v>6.25</v>
      </c>
      <c r="BQ18" s="62">
        <f t="shared" si="63"/>
        <v>31.451612903225808</v>
      </c>
    </row>
    <row r="19" spans="1:69">
      <c r="A19" s="3">
        <v>16</v>
      </c>
      <c r="B19" s="3">
        <v>0</v>
      </c>
      <c r="C19" s="3">
        <v>0</v>
      </c>
      <c r="D19" s="3" t="str">
        <v>m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6">
        <v>0</v>
      </c>
      <c r="W19" s="6">
        <v>0</v>
      </c>
      <c r="X19" s="6">
        <v>0</v>
      </c>
      <c r="Y19" s="6">
        <v>0</v>
      </c>
      <c r="Z19" s="6">
        <v>1</v>
      </c>
      <c r="AA19" s="6">
        <v>2</v>
      </c>
      <c r="AB19" s="6">
        <v>1</v>
      </c>
      <c r="AC19" s="6">
        <v>2</v>
      </c>
      <c r="AD19" s="6">
        <v>1</v>
      </c>
      <c r="AE19" s="6">
        <v>0</v>
      </c>
      <c r="AF19" s="6">
        <v>0</v>
      </c>
      <c r="AG19" s="6">
        <v>0</v>
      </c>
      <c r="AH19" s="6">
        <v>0</v>
      </c>
      <c r="AI19" s="6">
        <v>1</v>
      </c>
      <c r="AJ19" s="6">
        <v>1</v>
      </c>
      <c r="AK19" s="6">
        <v>1</v>
      </c>
      <c r="AL19" s="6">
        <v>1</v>
      </c>
      <c r="AM19" s="6">
        <v>0</v>
      </c>
      <c r="AN19" s="6">
        <v>1</v>
      </c>
      <c r="AO19" s="6">
        <v>0</v>
      </c>
      <c r="AP19" s="6">
        <v>1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3">
        <f t="shared" ref="BA19" si="75">SUM(AI19:AL19)</f>
        <v>4</v>
      </c>
      <c r="BB19" s="3">
        <f t="shared" si="49"/>
        <v>0</v>
      </c>
      <c r="BC19" s="3">
        <f t="shared" si="50"/>
        <v>2</v>
      </c>
      <c r="BD19" s="3">
        <f t="shared" si="51"/>
        <v>0</v>
      </c>
      <c r="BE19" s="3">
        <f t="shared" si="52"/>
        <v>7</v>
      </c>
      <c r="BF19" s="3">
        <f t="shared" si="53"/>
        <v>0</v>
      </c>
      <c r="BG19" s="3">
        <f t="shared" si="54"/>
        <v>0</v>
      </c>
      <c r="BH19" s="3">
        <f t="shared" si="55"/>
        <v>13</v>
      </c>
      <c r="BJ19" s="62">
        <f t="shared" si="56"/>
        <v>25</v>
      </c>
      <c r="BK19" s="62">
        <f t="shared" si="57"/>
        <v>0</v>
      </c>
      <c r="BL19" s="62">
        <f t="shared" si="58"/>
        <v>10</v>
      </c>
      <c r="BM19" s="62">
        <f t="shared" si="59"/>
        <v>0</v>
      </c>
      <c r="BN19" s="62">
        <f t="shared" si="60"/>
        <v>19.444444444444446</v>
      </c>
      <c r="BO19" s="62">
        <f t="shared" si="61"/>
        <v>0</v>
      </c>
      <c r="BP19" s="62">
        <f t="shared" si="62"/>
        <v>0</v>
      </c>
      <c r="BQ19" s="62">
        <f t="shared" si="63"/>
        <v>10.483870967741936</v>
      </c>
    </row>
    <row r="20" spans="1:69">
      <c r="A20" s="3">
        <v>17</v>
      </c>
      <c r="B20" s="3">
        <v>0</v>
      </c>
      <c r="C20" s="3">
        <v>0</v>
      </c>
      <c r="D20" s="3" t="str">
        <v>f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6">
        <v>4</v>
      </c>
      <c r="W20" s="6">
        <v>0</v>
      </c>
      <c r="X20" s="6">
        <v>0</v>
      </c>
      <c r="Y20" s="6">
        <v>0</v>
      </c>
      <c r="Z20" s="6">
        <v>2</v>
      </c>
      <c r="AA20" s="6">
        <v>2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2</v>
      </c>
      <c r="AV20" s="6">
        <v>0</v>
      </c>
      <c r="AW20" s="6">
        <v>2</v>
      </c>
      <c r="AX20" s="6">
        <v>0</v>
      </c>
      <c r="AY20" s="6">
        <v>0</v>
      </c>
      <c r="AZ20" s="6">
        <v>0</v>
      </c>
      <c r="BA20" s="3">
        <f t="shared" ref="BA20" si="76">SUM(AI20:AL20)</f>
        <v>0</v>
      </c>
      <c r="BB20" s="3">
        <f t="shared" si="49"/>
        <v>0</v>
      </c>
      <c r="BC20" s="3">
        <f t="shared" si="50"/>
        <v>0</v>
      </c>
      <c r="BD20" s="3">
        <f t="shared" si="51"/>
        <v>0</v>
      </c>
      <c r="BE20" s="3">
        <f t="shared" si="52"/>
        <v>4</v>
      </c>
      <c r="BF20" s="3">
        <f t="shared" si="53"/>
        <v>4</v>
      </c>
      <c r="BG20" s="3">
        <f t="shared" si="54"/>
        <v>4</v>
      </c>
      <c r="BH20" s="3">
        <f t="shared" si="55"/>
        <v>12</v>
      </c>
      <c r="BJ20" s="62">
        <f t="shared" si="56"/>
        <v>0</v>
      </c>
      <c r="BK20" s="62">
        <f t="shared" si="57"/>
        <v>0</v>
      </c>
      <c r="BL20" s="62">
        <f t="shared" si="58"/>
        <v>0</v>
      </c>
      <c r="BM20" s="62">
        <f t="shared" si="59"/>
        <v>0</v>
      </c>
      <c r="BN20" s="62">
        <f t="shared" si="60"/>
        <v>11.111111111111111</v>
      </c>
      <c r="BO20" s="62">
        <f t="shared" si="61"/>
        <v>33.333333333333329</v>
      </c>
      <c r="BP20" s="62">
        <f t="shared" si="62"/>
        <v>25</v>
      </c>
      <c r="BQ20" s="62">
        <f t="shared" si="63"/>
        <v>9.67741935483871</v>
      </c>
    </row>
    <row r="21" spans="1:69">
      <c r="A21" s="3">
        <v>18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2</v>
      </c>
      <c r="AJ21" s="6">
        <v>3</v>
      </c>
      <c r="AK21" s="6">
        <v>2</v>
      </c>
      <c r="AL21" s="6">
        <v>3</v>
      </c>
      <c r="AM21" s="6">
        <v>2</v>
      </c>
      <c r="AN21" s="6">
        <v>2</v>
      </c>
      <c r="AO21" s="6">
        <v>1</v>
      </c>
      <c r="AP21" s="6">
        <v>2</v>
      </c>
      <c r="AQ21" s="6">
        <v>1</v>
      </c>
      <c r="AR21" s="6">
        <v>1</v>
      </c>
      <c r="AS21" s="6">
        <v>3</v>
      </c>
      <c r="AT21" s="6">
        <v>1</v>
      </c>
      <c r="AU21" s="6">
        <v>2</v>
      </c>
      <c r="AV21" s="6">
        <v>1</v>
      </c>
      <c r="AW21" s="6">
        <v>2</v>
      </c>
      <c r="AX21" s="6">
        <v>1</v>
      </c>
      <c r="AY21" s="6">
        <v>0</v>
      </c>
      <c r="AZ21" s="6">
        <v>0</v>
      </c>
      <c r="BA21" s="3">
        <f t="shared" ref="BA21" si="77">SUM(AI21:AL21)</f>
        <v>10</v>
      </c>
      <c r="BB21" s="3">
        <f t="shared" si="49"/>
        <v>3</v>
      </c>
      <c r="BC21" s="3">
        <f t="shared" si="50"/>
        <v>8</v>
      </c>
      <c r="BD21" s="3">
        <f t="shared" si="51"/>
        <v>1</v>
      </c>
      <c r="BE21" s="3">
        <f t="shared" si="52"/>
        <v>0</v>
      </c>
      <c r="BF21" s="3">
        <f t="shared" si="53"/>
        <v>7</v>
      </c>
      <c r="BG21" s="3">
        <f t="shared" si="54"/>
        <v>0</v>
      </c>
      <c r="BH21" s="3">
        <f t="shared" si="55"/>
        <v>29</v>
      </c>
      <c r="BJ21" s="62">
        <f t="shared" si="56"/>
        <v>62.5</v>
      </c>
      <c r="BK21" s="62">
        <f t="shared" si="57"/>
        <v>25</v>
      </c>
      <c r="BL21" s="62">
        <f t="shared" si="58"/>
        <v>40</v>
      </c>
      <c r="BM21" s="62">
        <f t="shared" si="59"/>
        <v>8.3333333333333321</v>
      </c>
      <c r="BN21" s="62">
        <f t="shared" si="60"/>
        <v>0</v>
      </c>
      <c r="BO21" s="62">
        <f t="shared" si="61"/>
        <v>58.333333333333336</v>
      </c>
      <c r="BP21" s="62">
        <f t="shared" si="62"/>
        <v>0</v>
      </c>
      <c r="BQ21" s="62">
        <f t="shared" si="63"/>
        <v>23.387096774193548</v>
      </c>
    </row>
    <row r="22" spans="1:69">
      <c r="A22" s="3">
        <v>19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2</v>
      </c>
      <c r="AC22" s="6">
        <v>1</v>
      </c>
      <c r="AD22" s="6">
        <v>1</v>
      </c>
      <c r="AE22" s="6">
        <v>1</v>
      </c>
      <c r="AF22" s="6">
        <v>0</v>
      </c>
      <c r="AG22" s="6">
        <v>0</v>
      </c>
      <c r="AH22" s="6">
        <v>0</v>
      </c>
      <c r="AI22" s="6">
        <v>2</v>
      </c>
      <c r="AJ22" s="6">
        <v>2</v>
      </c>
      <c r="AK22" s="6">
        <v>2</v>
      </c>
      <c r="AL22" s="6">
        <v>2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1</v>
      </c>
      <c r="AT22" s="6">
        <v>0</v>
      </c>
      <c r="AU22" s="6">
        <v>1</v>
      </c>
      <c r="AV22" s="6">
        <v>1</v>
      </c>
      <c r="AW22" s="6">
        <v>1</v>
      </c>
      <c r="AX22" s="6">
        <v>1</v>
      </c>
      <c r="AY22" s="6">
        <v>1</v>
      </c>
      <c r="AZ22" s="6">
        <v>1</v>
      </c>
      <c r="BA22" s="3">
        <f t="shared" ref="BA22:BA23" si="78">SUM(AI22:AL22)</f>
        <v>8</v>
      </c>
      <c r="BB22" s="3">
        <f t="shared" si="49"/>
        <v>1</v>
      </c>
      <c r="BC22" s="3">
        <f t="shared" si="50"/>
        <v>0</v>
      </c>
      <c r="BD22" s="3">
        <f t="shared" si="51"/>
        <v>3</v>
      </c>
      <c r="BE22" s="3">
        <f t="shared" si="52"/>
        <v>7</v>
      </c>
      <c r="BF22" s="3">
        <f t="shared" si="53"/>
        <v>3</v>
      </c>
      <c r="BG22" s="3">
        <f t="shared" si="54"/>
        <v>4</v>
      </c>
      <c r="BH22" s="3">
        <f t="shared" si="55"/>
        <v>26</v>
      </c>
      <c r="BJ22" s="62">
        <f t="shared" si="56"/>
        <v>50</v>
      </c>
      <c r="BK22" s="62">
        <f t="shared" si="57"/>
        <v>8.3333333333333321</v>
      </c>
      <c r="BL22" s="62">
        <f t="shared" si="58"/>
        <v>0</v>
      </c>
      <c r="BM22" s="62">
        <f t="shared" si="59"/>
        <v>25</v>
      </c>
      <c r="BN22" s="62">
        <f t="shared" si="60"/>
        <v>19.444444444444446</v>
      </c>
      <c r="BO22" s="62">
        <f t="shared" si="61"/>
        <v>25</v>
      </c>
      <c r="BP22" s="62">
        <f t="shared" si="62"/>
        <v>25</v>
      </c>
      <c r="BQ22" s="62">
        <f t="shared" si="63"/>
        <v>20.967741935483872</v>
      </c>
    </row>
    <row r="23" spans="1:69">
      <c r="A23" s="3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6">
        <v>0</v>
      </c>
      <c r="W23" s="6">
        <v>4</v>
      </c>
      <c r="X23" s="6">
        <v>3</v>
      </c>
      <c r="Y23" s="6">
        <v>0</v>
      </c>
      <c r="Z23" s="6">
        <v>0</v>
      </c>
      <c r="AA23" s="6">
        <v>3</v>
      </c>
      <c r="AB23" s="6">
        <v>1</v>
      </c>
      <c r="AC23" s="6">
        <v>3</v>
      </c>
      <c r="AD23" s="6">
        <v>1</v>
      </c>
      <c r="AE23" s="6">
        <v>0</v>
      </c>
      <c r="AF23" s="6">
        <v>0</v>
      </c>
      <c r="AG23" s="6">
        <v>0</v>
      </c>
      <c r="AH23" s="6">
        <v>0</v>
      </c>
      <c r="AI23" s="6">
        <v>2</v>
      </c>
      <c r="AJ23" s="6">
        <v>2</v>
      </c>
      <c r="AK23" s="6">
        <v>2</v>
      </c>
      <c r="AL23" s="6">
        <v>1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3">
        <f t="shared" si="78"/>
        <v>7</v>
      </c>
      <c r="BB23" s="3">
        <f t="shared" si="49"/>
        <v>0</v>
      </c>
      <c r="BC23" s="3">
        <f t="shared" si="50"/>
        <v>0</v>
      </c>
      <c r="BD23" s="3">
        <f t="shared" si="51"/>
        <v>0</v>
      </c>
      <c r="BE23" s="3">
        <f t="shared" si="52"/>
        <v>8</v>
      </c>
      <c r="BF23" s="3">
        <f t="shared" si="53"/>
        <v>0</v>
      </c>
      <c r="BG23" s="3">
        <f t="shared" si="54"/>
        <v>7</v>
      </c>
      <c r="BH23" s="3">
        <f t="shared" si="55"/>
        <v>22</v>
      </c>
      <c r="BJ23" s="62">
        <f t="shared" si="56"/>
        <v>43.75</v>
      </c>
      <c r="BK23" s="62">
        <f t="shared" si="57"/>
        <v>0</v>
      </c>
      <c r="BL23" s="62">
        <f t="shared" si="58"/>
        <v>0</v>
      </c>
      <c r="BM23" s="62">
        <f t="shared" si="59"/>
        <v>0</v>
      </c>
      <c r="BN23" s="62">
        <f t="shared" si="60"/>
        <v>22.222222222222221</v>
      </c>
      <c r="BO23" s="62">
        <f t="shared" si="61"/>
        <v>0</v>
      </c>
      <c r="BP23" s="62">
        <f t="shared" si="62"/>
        <v>43.75</v>
      </c>
      <c r="BQ23" s="62">
        <f t="shared" si="63"/>
        <v>17.741935483870968</v>
      </c>
    </row>
    <row r="24" spans="1:69">
      <c r="A24" s="3"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1</v>
      </c>
      <c r="AB24" s="6">
        <v>1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/>
      <c r="AQ24" s="6">
        <v>0</v>
      </c>
      <c r="AR24" s="6">
        <v>1</v>
      </c>
      <c r="AS24" s="6">
        <v>1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3">
        <f t="shared" ref="BA24" si="79">SUM(AI24:AL24)</f>
        <v>0</v>
      </c>
      <c r="BB24" s="3">
        <f t="shared" si="49"/>
        <v>0</v>
      </c>
      <c r="BC24" s="3">
        <f t="shared" si="50"/>
        <v>1</v>
      </c>
      <c r="BD24" s="3">
        <f t="shared" si="51"/>
        <v>0</v>
      </c>
      <c r="BE24" s="3">
        <f t="shared" si="52"/>
        <v>2</v>
      </c>
      <c r="BF24" s="3">
        <f t="shared" si="53"/>
        <v>1</v>
      </c>
      <c r="BG24" s="3">
        <f t="shared" si="54"/>
        <v>0</v>
      </c>
      <c r="BH24" s="3">
        <f t="shared" si="55"/>
        <v>4</v>
      </c>
      <c r="BJ24" s="62">
        <f t="shared" si="56"/>
        <v>0</v>
      </c>
      <c r="BK24" s="62">
        <f t="shared" si="57"/>
        <v>0</v>
      </c>
      <c r="BL24" s="62">
        <f t="shared" si="58"/>
        <v>5</v>
      </c>
      <c r="BM24" s="62">
        <f t="shared" si="59"/>
        <v>0</v>
      </c>
      <c r="BN24" s="62">
        <f t="shared" si="60"/>
        <v>5.5555555555555554</v>
      </c>
      <c r="BO24" s="62">
        <f t="shared" si="61"/>
        <v>8.3333333333333321</v>
      </c>
      <c r="BP24" s="62">
        <f t="shared" si="62"/>
        <v>0</v>
      </c>
      <c r="BQ24" s="62">
        <f t="shared" si="63"/>
        <v>3.225806451612903</v>
      </c>
    </row>
    <row r="25" spans="1:69">
      <c r="A25" s="3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6">
        <v>2</v>
      </c>
      <c r="W25" s="6">
        <v>2</v>
      </c>
      <c r="X25" s="6">
        <v>1</v>
      </c>
      <c r="Y25" s="6">
        <v>1</v>
      </c>
      <c r="Z25" s="6">
        <v>2</v>
      </c>
      <c r="AA25" s="6">
        <v>2</v>
      </c>
      <c r="AB25" s="6">
        <v>2</v>
      </c>
      <c r="AC25" s="6">
        <v>2</v>
      </c>
      <c r="AD25" s="6">
        <v>3</v>
      </c>
      <c r="AE25" s="6">
        <v>0</v>
      </c>
      <c r="AF25" s="6">
        <v>0</v>
      </c>
      <c r="AG25" s="6">
        <v>0</v>
      </c>
      <c r="AH25" s="6">
        <v>0</v>
      </c>
      <c r="AI25" s="6">
        <v>2</v>
      </c>
      <c r="AJ25" s="6">
        <v>2</v>
      </c>
      <c r="AK25" s="6">
        <v>2</v>
      </c>
      <c r="AL25" s="6">
        <v>2</v>
      </c>
      <c r="AM25" s="6">
        <v>1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1</v>
      </c>
      <c r="AT25" s="6">
        <v>0</v>
      </c>
      <c r="AU25" s="6">
        <v>1</v>
      </c>
      <c r="AV25" s="6">
        <v>0</v>
      </c>
      <c r="AW25" s="6">
        <v>0</v>
      </c>
      <c r="AX25" s="6">
        <v>1</v>
      </c>
      <c r="AY25" s="6">
        <v>2</v>
      </c>
      <c r="AZ25" s="6">
        <v>2</v>
      </c>
      <c r="BA25" s="3">
        <f t="shared" ref="BA25" si="80">SUM(AI25:AL25)</f>
        <v>8</v>
      </c>
      <c r="BB25" s="3">
        <f t="shared" si="49"/>
        <v>0</v>
      </c>
      <c r="BC25" s="3">
        <f t="shared" si="50"/>
        <v>1</v>
      </c>
      <c r="BD25" s="3">
        <f t="shared" si="51"/>
        <v>5</v>
      </c>
      <c r="BE25" s="3">
        <f t="shared" si="52"/>
        <v>11</v>
      </c>
      <c r="BF25" s="3">
        <f t="shared" si="53"/>
        <v>2</v>
      </c>
      <c r="BG25" s="3">
        <f t="shared" si="54"/>
        <v>6</v>
      </c>
      <c r="BH25" s="3">
        <f t="shared" si="55"/>
        <v>33</v>
      </c>
      <c r="BJ25" s="62">
        <f t="shared" si="56"/>
        <v>50</v>
      </c>
      <c r="BK25" s="62">
        <f t="shared" si="57"/>
        <v>0</v>
      </c>
      <c r="BL25" s="62">
        <f t="shared" si="58"/>
        <v>5</v>
      </c>
      <c r="BM25" s="62">
        <f t="shared" si="59"/>
        <v>41.666666666666671</v>
      </c>
      <c r="BN25" s="62">
        <f t="shared" si="60"/>
        <v>30.555555555555557</v>
      </c>
      <c r="BO25" s="62">
        <f t="shared" si="61"/>
        <v>16.666666666666664</v>
      </c>
      <c r="BP25" s="62">
        <f t="shared" si="62"/>
        <v>37.5</v>
      </c>
      <c r="BQ25" s="62">
        <f t="shared" si="63"/>
        <v>26.612903225806448</v>
      </c>
    </row>
    <row r="26" spans="1:69">
      <c r="A26" s="3"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6">
        <v>0</v>
      </c>
      <c r="W26" s="6">
        <v>1</v>
      </c>
      <c r="X26" s="6">
        <v>0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0</v>
      </c>
      <c r="AE26" s="6">
        <v>0</v>
      </c>
      <c r="AF26" s="6">
        <v>0</v>
      </c>
      <c r="AG26" s="6">
        <v>1</v>
      </c>
      <c r="AH26" s="6">
        <v>1</v>
      </c>
      <c r="AI26" s="6">
        <v>2</v>
      </c>
      <c r="AJ26" s="6">
        <v>2</v>
      </c>
      <c r="AK26" s="6">
        <v>2</v>
      </c>
      <c r="AL26" s="6">
        <v>2</v>
      </c>
      <c r="AM26" s="6">
        <v>1</v>
      </c>
      <c r="AN26" s="6">
        <v>1</v>
      </c>
      <c r="AO26" s="6">
        <v>1</v>
      </c>
      <c r="AP26" s="6">
        <v>1</v>
      </c>
      <c r="AQ26" s="6">
        <v>0</v>
      </c>
      <c r="AR26" s="6">
        <v>1</v>
      </c>
      <c r="AS26" s="6">
        <v>2</v>
      </c>
      <c r="AT26" s="6">
        <v>0</v>
      </c>
      <c r="AU26" s="6">
        <v>1</v>
      </c>
      <c r="AV26" s="6">
        <v>1</v>
      </c>
      <c r="AW26" s="6">
        <v>1</v>
      </c>
      <c r="AX26" s="6">
        <v>1</v>
      </c>
      <c r="AY26" s="6">
        <v>0</v>
      </c>
      <c r="AZ26" s="6">
        <v>1</v>
      </c>
      <c r="BA26" s="3">
        <f t="shared" ref="BA26" si="81">SUM(AI26:AL26)</f>
        <v>8</v>
      </c>
      <c r="BB26" s="3">
        <f t="shared" ref="BB26:BB69" si="82">SUM(AQ26+AT26+AV26)</f>
        <v>1</v>
      </c>
      <c r="BC26" s="3">
        <f t="shared" ref="BC26:BC69" si="83">SUM(AM26+AN26+AO26+AP26+AR26)</f>
        <v>5</v>
      </c>
      <c r="BD26" s="3">
        <f t="shared" ref="BD26:BD69" si="84">SUM(AX26+AY26+AZ26)</f>
        <v>2</v>
      </c>
      <c r="BE26" s="3">
        <f t="shared" ref="BE26:BE69" si="85">SUM(Z26:AH26)</f>
        <v>6</v>
      </c>
      <c r="BF26" s="3">
        <f t="shared" ref="BF26:BF69" si="86">SUM(AS26+AU26+AW26)</f>
        <v>4</v>
      </c>
      <c r="BG26" s="3">
        <f t="shared" ref="BG26:BG69" si="87">SUM(V26:Y26)</f>
        <v>2</v>
      </c>
      <c r="BH26" s="3">
        <f t="shared" ref="BH26:BH69" si="88">SUM(BA26:BG26)</f>
        <v>28</v>
      </c>
      <c r="BJ26" s="62">
        <f t="shared" ref="BJ26:BJ69" si="89">SUM(BA26/16)*100</f>
        <v>50</v>
      </c>
      <c r="BK26" s="62">
        <f t="shared" ref="BK26:BK69" si="90">SUM(BB26/12)*100</f>
        <v>8.3333333333333321</v>
      </c>
      <c r="BL26" s="62">
        <f t="shared" ref="BL26:BL69" si="91">SUM(BC26/20)*100</f>
        <v>25</v>
      </c>
      <c r="BM26" s="62">
        <f t="shared" ref="BM26:BM69" si="92">SUM(BD26/12)*100</f>
        <v>16.666666666666664</v>
      </c>
      <c r="BN26" s="62">
        <f t="shared" ref="BN26:BN69" si="93">SUM(BE26/36)*100</f>
        <v>16.666666666666664</v>
      </c>
      <c r="BO26" s="62">
        <f t="shared" ref="BO26:BO69" si="94">SUM(BF26/12)*100</f>
        <v>33.333333333333329</v>
      </c>
      <c r="BP26" s="62">
        <f t="shared" ref="BP26:BP69" si="95">SUM(BG26/16)*100</f>
        <v>12.5</v>
      </c>
      <c r="BQ26" s="62">
        <f t="shared" ref="BQ26:BQ69" si="96">SUM(BH26/124)*100</f>
        <v>22.58064516129032</v>
      </c>
    </row>
    <row r="27" spans="1:69">
      <c r="A27" s="3">
        <v>24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6">
        <v>0</v>
      </c>
      <c r="W27" s="6">
        <v>0</v>
      </c>
      <c r="X27" s="6">
        <v>0</v>
      </c>
      <c r="Y27" s="6">
        <v>0</v>
      </c>
      <c r="Z27" s="6">
        <v>1</v>
      </c>
      <c r="AA27" s="6">
        <v>2</v>
      </c>
      <c r="AB27" s="6">
        <v>1</v>
      </c>
      <c r="AC27" s="6">
        <v>2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2</v>
      </c>
      <c r="AJ27" s="6">
        <v>2</v>
      </c>
      <c r="AK27" s="6">
        <v>2</v>
      </c>
      <c r="AL27" s="6">
        <v>2</v>
      </c>
      <c r="AM27" s="6">
        <v>1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2</v>
      </c>
      <c r="AT27" s="6">
        <v>0</v>
      </c>
      <c r="AU27" s="6">
        <v>1</v>
      </c>
      <c r="AV27" s="6">
        <v>0</v>
      </c>
      <c r="AW27" s="6">
        <v>1</v>
      </c>
      <c r="AX27" s="6">
        <v>0</v>
      </c>
      <c r="AY27" s="6">
        <v>0</v>
      </c>
      <c r="AZ27" s="6">
        <v>0</v>
      </c>
      <c r="BA27" s="3">
        <f t="shared" ref="BA27" si="97">SUM(AI27:AL27)</f>
        <v>8</v>
      </c>
      <c r="BB27" s="3">
        <f t="shared" si="82"/>
        <v>0</v>
      </c>
      <c r="BC27" s="3">
        <f t="shared" si="83"/>
        <v>1</v>
      </c>
      <c r="BD27" s="3">
        <f t="shared" si="84"/>
        <v>0</v>
      </c>
      <c r="BE27" s="3">
        <f t="shared" si="85"/>
        <v>6</v>
      </c>
      <c r="BF27" s="3">
        <f t="shared" si="86"/>
        <v>4</v>
      </c>
      <c r="BG27" s="3">
        <f t="shared" si="87"/>
        <v>0</v>
      </c>
      <c r="BH27" s="3">
        <f t="shared" si="88"/>
        <v>19</v>
      </c>
      <c r="BJ27" s="62">
        <f t="shared" si="89"/>
        <v>50</v>
      </c>
      <c r="BK27" s="62">
        <f t="shared" si="90"/>
        <v>0</v>
      </c>
      <c r="BL27" s="62">
        <f t="shared" si="91"/>
        <v>5</v>
      </c>
      <c r="BM27" s="62">
        <f t="shared" si="92"/>
        <v>0</v>
      </c>
      <c r="BN27" s="62">
        <f t="shared" si="93"/>
        <v>16.666666666666664</v>
      </c>
      <c r="BO27" s="62">
        <f t="shared" si="94"/>
        <v>33.333333333333329</v>
      </c>
      <c r="BP27" s="62">
        <f t="shared" si="95"/>
        <v>0</v>
      </c>
      <c r="BQ27" s="62">
        <f t="shared" si="96"/>
        <v>15.32258064516129</v>
      </c>
    </row>
    <row r="28" spans="1:69">
      <c r="A28" s="3">
        <v>25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6">
        <v>1</v>
      </c>
      <c r="W28" s="6">
        <v>1</v>
      </c>
      <c r="X28" s="6">
        <v>1</v>
      </c>
      <c r="Y28" s="6">
        <v>0</v>
      </c>
      <c r="Z28" s="6">
        <v>2</v>
      </c>
      <c r="AA28" s="6">
        <v>2</v>
      </c>
      <c r="AB28" s="6">
        <v>1</v>
      </c>
      <c r="AC28" s="6">
        <v>2</v>
      </c>
      <c r="AD28" s="6">
        <v>1</v>
      </c>
      <c r="AE28" s="6">
        <v>1</v>
      </c>
      <c r="AF28" s="6">
        <v>0</v>
      </c>
      <c r="AG28" s="6">
        <v>0</v>
      </c>
      <c r="AH28" s="6">
        <v>0</v>
      </c>
      <c r="AI28" s="6">
        <v>2</v>
      </c>
      <c r="AJ28" s="6">
        <v>1</v>
      </c>
      <c r="AK28" s="6">
        <v>1</v>
      </c>
      <c r="AL28" s="6">
        <v>1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1</v>
      </c>
      <c r="AT28" s="6">
        <v>0</v>
      </c>
      <c r="AU28" s="6">
        <v>1</v>
      </c>
      <c r="AV28" s="6">
        <v>0</v>
      </c>
      <c r="AW28" s="6">
        <v>1</v>
      </c>
      <c r="AX28" s="6">
        <v>0</v>
      </c>
      <c r="AY28" s="6">
        <v>1</v>
      </c>
      <c r="AZ28" s="6">
        <v>1</v>
      </c>
      <c r="BA28" s="3">
        <f t="shared" ref="BA28" si="98">SUM(AI28:AL28)</f>
        <v>5</v>
      </c>
      <c r="BB28" s="3">
        <f t="shared" si="82"/>
        <v>0</v>
      </c>
      <c r="BC28" s="3">
        <f t="shared" si="83"/>
        <v>0</v>
      </c>
      <c r="BD28" s="3">
        <f t="shared" si="84"/>
        <v>2</v>
      </c>
      <c r="BE28" s="3">
        <f t="shared" si="85"/>
        <v>9</v>
      </c>
      <c r="BF28" s="3">
        <f t="shared" si="86"/>
        <v>3</v>
      </c>
      <c r="BG28" s="3">
        <f t="shared" si="87"/>
        <v>3</v>
      </c>
      <c r="BH28" s="3">
        <f t="shared" si="88"/>
        <v>22</v>
      </c>
      <c r="BJ28" s="62">
        <f t="shared" si="89"/>
        <v>31.25</v>
      </c>
      <c r="BK28" s="62">
        <f t="shared" si="90"/>
        <v>0</v>
      </c>
      <c r="BL28" s="62">
        <f t="shared" si="91"/>
        <v>0</v>
      </c>
      <c r="BM28" s="62">
        <f t="shared" si="92"/>
        <v>16.666666666666664</v>
      </c>
      <c r="BN28" s="62">
        <f t="shared" si="93"/>
        <v>25</v>
      </c>
      <c r="BO28" s="62">
        <f t="shared" si="94"/>
        <v>25</v>
      </c>
      <c r="BP28" s="62">
        <f t="shared" si="95"/>
        <v>18.75</v>
      </c>
      <c r="BQ28" s="62">
        <f t="shared" si="96"/>
        <v>17.741935483870968</v>
      </c>
    </row>
    <row r="29" spans="1:69">
      <c r="A29" s="3">
        <v>26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1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1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3">
        <f t="shared" ref="BA29" si="99">SUM(AI29:AL29)</f>
        <v>0</v>
      </c>
      <c r="BB29" s="3">
        <f t="shared" si="82"/>
        <v>0</v>
      </c>
      <c r="BC29" s="3">
        <f t="shared" si="83"/>
        <v>0</v>
      </c>
      <c r="BD29" s="3">
        <f t="shared" si="84"/>
        <v>0</v>
      </c>
      <c r="BE29" s="3">
        <f t="shared" si="85"/>
        <v>1</v>
      </c>
      <c r="BF29" s="3">
        <f t="shared" si="86"/>
        <v>1</v>
      </c>
      <c r="BG29" s="3">
        <f t="shared" si="87"/>
        <v>0</v>
      </c>
      <c r="BH29" s="3">
        <f t="shared" si="88"/>
        <v>2</v>
      </c>
      <c r="BJ29" s="62">
        <f t="shared" si="89"/>
        <v>0</v>
      </c>
      <c r="BK29" s="62">
        <f t="shared" si="90"/>
        <v>0</v>
      </c>
      <c r="BL29" s="62">
        <f t="shared" si="91"/>
        <v>0</v>
      </c>
      <c r="BM29" s="62">
        <f t="shared" si="92"/>
        <v>0</v>
      </c>
      <c r="BN29" s="62">
        <f t="shared" si="93"/>
        <v>2.7777777777777777</v>
      </c>
      <c r="BO29" s="62">
        <f t="shared" si="94"/>
        <v>8.3333333333333321</v>
      </c>
      <c r="BP29" s="62">
        <f t="shared" si="95"/>
        <v>0</v>
      </c>
      <c r="BQ29" s="62">
        <f t="shared" si="96"/>
        <v>1.6129032258064515</v>
      </c>
    </row>
    <row r="30" spans="1:69">
      <c r="A30" s="3">
        <v>27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6">
        <v>1</v>
      </c>
      <c r="W30" s="6">
        <v>1</v>
      </c>
      <c r="X30" s="6">
        <v>1</v>
      </c>
      <c r="Y30" s="6">
        <v>1</v>
      </c>
      <c r="Z30" s="6">
        <v>2</v>
      </c>
      <c r="AA30" s="6">
        <v>1</v>
      </c>
      <c r="AB30" s="6">
        <v>2</v>
      </c>
      <c r="AC30" s="6">
        <v>2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2</v>
      </c>
      <c r="AK30" s="6">
        <v>2</v>
      </c>
      <c r="AL30" s="6">
        <v>1</v>
      </c>
      <c r="AM30" s="6">
        <v>1</v>
      </c>
      <c r="AN30" s="6">
        <v>1</v>
      </c>
      <c r="AO30" s="6">
        <v>1</v>
      </c>
      <c r="AP30" s="6">
        <v>2</v>
      </c>
      <c r="AQ30" s="6">
        <v>1</v>
      </c>
      <c r="AR30" s="6">
        <v>1</v>
      </c>
      <c r="AS30" s="6">
        <v>3</v>
      </c>
      <c r="AT30" s="6">
        <v>1</v>
      </c>
      <c r="AU30" s="6">
        <v>3</v>
      </c>
      <c r="AV30" s="6">
        <v>1</v>
      </c>
      <c r="AW30" s="6">
        <v>3</v>
      </c>
      <c r="AX30" s="6">
        <v>1</v>
      </c>
      <c r="AY30" s="6">
        <v>3</v>
      </c>
      <c r="AZ30" s="6">
        <v>3</v>
      </c>
      <c r="BA30" s="3">
        <f t="shared" ref="BA30" si="100">SUM(AI30:AL30)</f>
        <v>6</v>
      </c>
      <c r="BB30" s="3">
        <f t="shared" si="82"/>
        <v>3</v>
      </c>
      <c r="BC30" s="3">
        <f t="shared" si="83"/>
        <v>6</v>
      </c>
      <c r="BD30" s="3">
        <f t="shared" si="84"/>
        <v>7</v>
      </c>
      <c r="BE30" s="3">
        <f t="shared" si="85"/>
        <v>12</v>
      </c>
      <c r="BF30" s="3">
        <f t="shared" si="86"/>
        <v>9</v>
      </c>
      <c r="BG30" s="3">
        <f t="shared" si="87"/>
        <v>4</v>
      </c>
      <c r="BH30" s="3">
        <f t="shared" si="88"/>
        <v>47</v>
      </c>
      <c r="BJ30" s="62">
        <f t="shared" si="89"/>
        <v>37.5</v>
      </c>
      <c r="BK30" s="62">
        <f t="shared" si="90"/>
        <v>25</v>
      </c>
      <c r="BL30" s="62">
        <f t="shared" si="91"/>
        <v>30</v>
      </c>
      <c r="BM30" s="62">
        <f t="shared" si="92"/>
        <v>58.333333333333336</v>
      </c>
      <c r="BN30" s="62">
        <f t="shared" si="93"/>
        <v>33.333333333333329</v>
      </c>
      <c r="BO30" s="62">
        <f t="shared" si="94"/>
        <v>75</v>
      </c>
      <c r="BP30" s="62">
        <f t="shared" si="95"/>
        <v>25</v>
      </c>
      <c r="BQ30" s="62">
        <f t="shared" si="96"/>
        <v>37.903225806451616</v>
      </c>
    </row>
    <row r="31" spans="1:69">
      <c r="A31" s="3">
        <v>28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6">
        <v>0</v>
      </c>
      <c r="W31" s="6">
        <v>2</v>
      </c>
      <c r="X31" s="6">
        <v>2</v>
      </c>
      <c r="Y31" s="6">
        <v>1</v>
      </c>
      <c r="Z31" s="6">
        <v>1</v>
      </c>
      <c r="AA31" s="6">
        <v>1</v>
      </c>
      <c r="AB31" s="6">
        <v>2</v>
      </c>
      <c r="AC31" s="6">
        <v>1</v>
      </c>
      <c r="AD31" s="6">
        <v>2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1</v>
      </c>
      <c r="AQ31" s="6">
        <v>1</v>
      </c>
      <c r="AR31" s="6">
        <v>1</v>
      </c>
      <c r="AS31" s="6">
        <v>1</v>
      </c>
      <c r="AT31" s="6">
        <v>0</v>
      </c>
      <c r="AU31" s="6">
        <v>1</v>
      </c>
      <c r="AV31" s="6">
        <v>1</v>
      </c>
      <c r="AW31" s="6">
        <v>1</v>
      </c>
      <c r="AX31" s="6">
        <v>0</v>
      </c>
      <c r="AY31" s="6">
        <v>0</v>
      </c>
      <c r="AZ31" s="6">
        <v>0</v>
      </c>
      <c r="BA31" s="3">
        <f t="shared" ref="BA31:BA32" si="101">SUM(AI31:AL31)</f>
        <v>0</v>
      </c>
      <c r="BB31" s="3">
        <f t="shared" si="82"/>
        <v>2</v>
      </c>
      <c r="BC31" s="3">
        <f t="shared" si="83"/>
        <v>2</v>
      </c>
      <c r="BD31" s="3">
        <f t="shared" si="84"/>
        <v>0</v>
      </c>
      <c r="BE31" s="3">
        <f t="shared" si="85"/>
        <v>7</v>
      </c>
      <c r="BF31" s="3">
        <f t="shared" si="86"/>
        <v>3</v>
      </c>
      <c r="BG31" s="3">
        <f t="shared" si="87"/>
        <v>5</v>
      </c>
      <c r="BH31" s="3">
        <f t="shared" si="88"/>
        <v>19</v>
      </c>
      <c r="BJ31" s="62">
        <f t="shared" si="89"/>
        <v>0</v>
      </c>
      <c r="BK31" s="62">
        <f t="shared" si="90"/>
        <v>16.666666666666664</v>
      </c>
      <c r="BL31" s="62">
        <f t="shared" si="91"/>
        <v>10</v>
      </c>
      <c r="BM31" s="62">
        <f t="shared" si="92"/>
        <v>0</v>
      </c>
      <c r="BN31" s="62">
        <f t="shared" si="93"/>
        <v>19.444444444444446</v>
      </c>
      <c r="BO31" s="62">
        <f t="shared" si="94"/>
        <v>25</v>
      </c>
      <c r="BP31" s="62">
        <f t="shared" si="95"/>
        <v>31.25</v>
      </c>
      <c r="BQ31" s="62">
        <f t="shared" si="96"/>
        <v>15.32258064516129</v>
      </c>
    </row>
    <row r="32" spans="1:69">
      <c r="A32" s="3">
        <v>29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6">
        <v>1</v>
      </c>
      <c r="W32" s="6">
        <v>0</v>
      </c>
      <c r="X32" s="6">
        <v>1</v>
      </c>
      <c r="Y32" s="6">
        <v>1</v>
      </c>
      <c r="Z32" s="6">
        <v>2</v>
      </c>
      <c r="AA32" s="6">
        <v>3</v>
      </c>
      <c r="AB32" s="6">
        <v>0</v>
      </c>
      <c r="AC32" s="6">
        <v>1</v>
      </c>
      <c r="AD32" s="6">
        <v>1</v>
      </c>
      <c r="AE32" s="6">
        <v>1</v>
      </c>
      <c r="AF32" s="6">
        <v>0</v>
      </c>
      <c r="AG32" s="6">
        <v>0</v>
      </c>
      <c r="AH32" s="6">
        <v>0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0</v>
      </c>
      <c r="AP32" s="6">
        <v>2</v>
      </c>
      <c r="AQ32" s="6">
        <v>0</v>
      </c>
      <c r="AR32" s="6">
        <v>1</v>
      </c>
      <c r="AS32" s="6">
        <v>1</v>
      </c>
      <c r="AT32" s="6">
        <v>1</v>
      </c>
      <c r="AU32" s="6">
        <v>1</v>
      </c>
      <c r="AV32" s="6">
        <v>0</v>
      </c>
      <c r="AW32" s="6">
        <v>2</v>
      </c>
      <c r="AX32" s="6">
        <v>0</v>
      </c>
      <c r="AY32" s="6">
        <v>2</v>
      </c>
      <c r="AZ32" s="6">
        <v>1</v>
      </c>
      <c r="BA32" s="3">
        <f t="shared" si="101"/>
        <v>4</v>
      </c>
      <c r="BB32" s="3">
        <f t="shared" si="82"/>
        <v>1</v>
      </c>
      <c r="BC32" s="3">
        <f t="shared" si="83"/>
        <v>5</v>
      </c>
      <c r="BD32" s="3">
        <f t="shared" si="84"/>
        <v>3</v>
      </c>
      <c r="BE32" s="3">
        <f t="shared" si="85"/>
        <v>8</v>
      </c>
      <c r="BF32" s="3">
        <f t="shared" si="86"/>
        <v>4</v>
      </c>
      <c r="BG32" s="3">
        <f t="shared" si="87"/>
        <v>3</v>
      </c>
      <c r="BH32" s="3">
        <f t="shared" si="88"/>
        <v>28</v>
      </c>
      <c r="BJ32" s="62">
        <f t="shared" si="89"/>
        <v>25</v>
      </c>
      <c r="BK32" s="62">
        <f t="shared" si="90"/>
        <v>8.3333333333333321</v>
      </c>
      <c r="BL32" s="62">
        <f t="shared" si="91"/>
        <v>25</v>
      </c>
      <c r="BM32" s="62">
        <f t="shared" si="92"/>
        <v>25</v>
      </c>
      <c r="BN32" s="62">
        <f t="shared" si="93"/>
        <v>22.222222222222221</v>
      </c>
      <c r="BO32" s="62">
        <f t="shared" si="94"/>
        <v>33.333333333333329</v>
      </c>
      <c r="BP32" s="62">
        <f t="shared" si="95"/>
        <v>18.75</v>
      </c>
      <c r="BQ32" s="62">
        <f t="shared" si="96"/>
        <v>22.58064516129032</v>
      </c>
    </row>
    <row r="33" spans="1:69">
      <c r="A33" s="3">
        <v>30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1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1</v>
      </c>
      <c r="AJ33" s="6">
        <v>1</v>
      </c>
      <c r="AK33" s="6">
        <v>1</v>
      </c>
      <c r="AL33" s="6">
        <v>1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1</v>
      </c>
      <c r="AZ33" s="6">
        <v>1</v>
      </c>
      <c r="BA33" s="3">
        <f t="shared" ref="BA33" si="102">SUM(AI33:AL33)</f>
        <v>4</v>
      </c>
      <c r="BB33" s="3">
        <f t="shared" si="82"/>
        <v>0</v>
      </c>
      <c r="BC33" s="3">
        <f t="shared" si="83"/>
        <v>0</v>
      </c>
      <c r="BD33" s="3">
        <f t="shared" si="84"/>
        <v>2</v>
      </c>
      <c r="BE33" s="3">
        <f t="shared" si="85"/>
        <v>1</v>
      </c>
      <c r="BF33" s="3">
        <f t="shared" si="86"/>
        <v>0</v>
      </c>
      <c r="BG33" s="3">
        <f t="shared" si="87"/>
        <v>0</v>
      </c>
      <c r="BH33" s="3">
        <f t="shared" si="88"/>
        <v>7</v>
      </c>
      <c r="BJ33" s="62">
        <f t="shared" si="89"/>
        <v>25</v>
      </c>
      <c r="BK33" s="62">
        <f t="shared" si="90"/>
        <v>0</v>
      </c>
      <c r="BL33" s="62">
        <f t="shared" si="91"/>
        <v>0</v>
      </c>
      <c r="BM33" s="62">
        <f t="shared" si="92"/>
        <v>16.666666666666664</v>
      </c>
      <c r="BN33" s="62">
        <f t="shared" si="93"/>
        <v>2.7777777777777777</v>
      </c>
      <c r="BO33" s="62">
        <f t="shared" si="94"/>
        <v>0</v>
      </c>
      <c r="BP33" s="62">
        <f t="shared" si="95"/>
        <v>0</v>
      </c>
      <c r="BQ33" s="62">
        <f t="shared" si="96"/>
        <v>5.6451612903225801</v>
      </c>
    </row>
    <row r="34" spans="1:69">
      <c r="A34" s="3">
        <v>31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6">
        <v>1</v>
      </c>
      <c r="W34" s="6">
        <v>2</v>
      </c>
      <c r="X34" s="6">
        <v>1</v>
      </c>
      <c r="Y34" s="6">
        <v>2</v>
      </c>
      <c r="Z34" s="6">
        <v>2</v>
      </c>
      <c r="AA34" s="6">
        <v>2</v>
      </c>
      <c r="AB34" s="6">
        <v>0</v>
      </c>
      <c r="AC34" s="6">
        <v>3</v>
      </c>
      <c r="AD34" s="6">
        <v>2</v>
      </c>
      <c r="AE34" s="6">
        <v>0</v>
      </c>
      <c r="AF34" s="6">
        <v>0</v>
      </c>
      <c r="AG34" s="6">
        <v>0</v>
      </c>
      <c r="AH34" s="6">
        <v>0</v>
      </c>
      <c r="AI34" s="6">
        <v>1</v>
      </c>
      <c r="AJ34" s="6">
        <v>1</v>
      </c>
      <c r="AK34" s="6">
        <v>1</v>
      </c>
      <c r="AL34" s="6">
        <v>1</v>
      </c>
      <c r="AM34" s="6">
        <v>0</v>
      </c>
      <c r="AN34" s="6">
        <v>0</v>
      </c>
      <c r="AO34" s="6">
        <v>0</v>
      </c>
      <c r="AP34" s="6">
        <v>1</v>
      </c>
      <c r="AQ34" s="6">
        <v>0</v>
      </c>
      <c r="AR34" s="6">
        <v>1</v>
      </c>
      <c r="AS34" s="6">
        <v>0</v>
      </c>
      <c r="AT34" s="6">
        <v>0</v>
      </c>
      <c r="AU34" s="6">
        <v>1</v>
      </c>
      <c r="AV34" s="6">
        <v>0</v>
      </c>
      <c r="AW34" s="6">
        <v>0</v>
      </c>
      <c r="AX34" s="6">
        <v>2</v>
      </c>
      <c r="AY34" s="6">
        <v>3</v>
      </c>
      <c r="AZ34" s="6">
        <v>3</v>
      </c>
      <c r="BA34" s="3">
        <f t="shared" ref="BA34" si="103">SUM(AI34:AL34)</f>
        <v>4</v>
      </c>
      <c r="BB34" s="3">
        <f t="shared" si="82"/>
        <v>0</v>
      </c>
      <c r="BC34" s="3">
        <f t="shared" si="83"/>
        <v>2</v>
      </c>
      <c r="BD34" s="3">
        <f t="shared" si="84"/>
        <v>8</v>
      </c>
      <c r="BE34" s="3">
        <f t="shared" si="85"/>
        <v>9</v>
      </c>
      <c r="BF34" s="3">
        <f t="shared" si="86"/>
        <v>1</v>
      </c>
      <c r="BG34" s="3">
        <f t="shared" si="87"/>
        <v>6</v>
      </c>
      <c r="BH34" s="3">
        <f t="shared" si="88"/>
        <v>30</v>
      </c>
      <c r="BJ34" s="62">
        <f t="shared" si="89"/>
        <v>25</v>
      </c>
      <c r="BK34" s="62">
        <f t="shared" si="90"/>
        <v>0</v>
      </c>
      <c r="BL34" s="62">
        <f t="shared" si="91"/>
        <v>10</v>
      </c>
      <c r="BM34" s="62">
        <f t="shared" si="92"/>
        <v>66.666666666666657</v>
      </c>
      <c r="BN34" s="62">
        <f t="shared" si="93"/>
        <v>25</v>
      </c>
      <c r="BO34" s="62">
        <f t="shared" si="94"/>
        <v>8.3333333333333321</v>
      </c>
      <c r="BP34" s="62">
        <f t="shared" si="95"/>
        <v>37.5</v>
      </c>
      <c r="BQ34" s="62">
        <f t="shared" si="96"/>
        <v>24.193548387096776</v>
      </c>
    </row>
    <row r="35" spans="1:69">
      <c r="A35" s="3">
        <v>32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2</v>
      </c>
      <c r="AC35" s="6">
        <v>1</v>
      </c>
      <c r="AD35" s="6">
        <v>3</v>
      </c>
      <c r="AE35" s="6">
        <v>1</v>
      </c>
      <c r="AF35" s="6">
        <v>0</v>
      </c>
      <c r="AG35" s="6">
        <v>0</v>
      </c>
      <c r="AH35" s="6">
        <v>0</v>
      </c>
      <c r="AI35" s="6">
        <v>1</v>
      </c>
      <c r="AJ35" s="6">
        <v>1</v>
      </c>
      <c r="AK35" s="6">
        <v>1</v>
      </c>
      <c r="AL35" s="6">
        <v>1</v>
      </c>
      <c r="AM35" s="6">
        <v>0</v>
      </c>
      <c r="AN35" s="6">
        <v>0</v>
      </c>
      <c r="AO35" s="6">
        <v>1</v>
      </c>
      <c r="AP35" s="6">
        <v>2</v>
      </c>
      <c r="AQ35" s="6">
        <v>0</v>
      </c>
      <c r="AR35" s="6">
        <v>1</v>
      </c>
      <c r="AS35" s="6">
        <v>1</v>
      </c>
      <c r="AT35" s="6">
        <v>0</v>
      </c>
      <c r="AU35" s="6">
        <v>1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3">
        <f t="shared" ref="BA35" si="104">SUM(AI35:AL35)</f>
        <v>4</v>
      </c>
      <c r="BB35" s="3">
        <f t="shared" si="82"/>
        <v>0</v>
      </c>
      <c r="BC35" s="3">
        <f t="shared" si="83"/>
        <v>4</v>
      </c>
      <c r="BD35" s="3">
        <f t="shared" si="84"/>
        <v>0</v>
      </c>
      <c r="BE35" s="3">
        <f t="shared" si="85"/>
        <v>9</v>
      </c>
      <c r="BF35" s="3">
        <f t="shared" si="86"/>
        <v>2</v>
      </c>
      <c r="BG35" s="3">
        <f t="shared" si="87"/>
        <v>4</v>
      </c>
      <c r="BH35" s="3">
        <f t="shared" si="88"/>
        <v>23</v>
      </c>
      <c r="BJ35" s="62">
        <f t="shared" si="89"/>
        <v>25</v>
      </c>
      <c r="BK35" s="62">
        <f t="shared" si="90"/>
        <v>0</v>
      </c>
      <c r="BL35" s="62">
        <f t="shared" si="91"/>
        <v>20</v>
      </c>
      <c r="BM35" s="62">
        <f t="shared" si="92"/>
        <v>0</v>
      </c>
      <c r="BN35" s="62">
        <f t="shared" si="93"/>
        <v>25</v>
      </c>
      <c r="BO35" s="62">
        <f t="shared" si="94"/>
        <v>16.666666666666664</v>
      </c>
      <c r="BP35" s="62">
        <f t="shared" si="95"/>
        <v>25</v>
      </c>
      <c r="BQ35" s="62">
        <f t="shared" si="96"/>
        <v>18.548387096774192</v>
      </c>
    </row>
    <row r="36" spans="1:69">
      <c r="A36" s="3">
        <v>33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6">
        <v>3</v>
      </c>
      <c r="W36" s="6">
        <v>0</v>
      </c>
      <c r="X36" s="6">
        <v>0</v>
      </c>
      <c r="Y36" s="6">
        <v>0</v>
      </c>
      <c r="Z36" s="6">
        <v>1</v>
      </c>
      <c r="AA36" s="6">
        <v>2</v>
      </c>
      <c r="AB36" s="6">
        <v>2</v>
      </c>
      <c r="AC36" s="6">
        <v>2</v>
      </c>
      <c r="AD36" s="6">
        <v>2</v>
      </c>
      <c r="AE36" s="6">
        <v>0</v>
      </c>
      <c r="AF36" s="6">
        <v>0</v>
      </c>
      <c r="AG36" s="6">
        <v>0</v>
      </c>
      <c r="AH36" s="6">
        <v>0</v>
      </c>
      <c r="AI36" s="6">
        <v>3</v>
      </c>
      <c r="AJ36" s="6">
        <v>2</v>
      </c>
      <c r="AK36" s="6">
        <v>2</v>
      </c>
      <c r="AL36" s="6">
        <v>3</v>
      </c>
      <c r="AM36" s="6">
        <v>1</v>
      </c>
      <c r="AN36" s="6">
        <v>1</v>
      </c>
      <c r="AO36" s="6">
        <v>2</v>
      </c>
      <c r="AP36" s="6">
        <v>1</v>
      </c>
      <c r="AQ36" s="6">
        <v>1</v>
      </c>
      <c r="AR36" s="6">
        <v>2</v>
      </c>
      <c r="AS36" s="6">
        <v>2</v>
      </c>
      <c r="AT36" s="6">
        <v>0</v>
      </c>
      <c r="AU36" s="6">
        <v>2</v>
      </c>
      <c r="AV36" s="6">
        <v>1</v>
      </c>
      <c r="AW36" s="6">
        <v>1</v>
      </c>
      <c r="AX36" s="6">
        <v>4</v>
      </c>
      <c r="AY36" s="6">
        <v>1</v>
      </c>
      <c r="AZ36" s="6">
        <v>1</v>
      </c>
      <c r="BA36" s="3">
        <f t="shared" ref="BA36" si="105">SUM(AI36:AL36)</f>
        <v>10</v>
      </c>
      <c r="BB36" s="3">
        <f t="shared" si="82"/>
        <v>2</v>
      </c>
      <c r="BC36" s="3">
        <f t="shared" si="83"/>
        <v>7</v>
      </c>
      <c r="BD36" s="3">
        <f t="shared" si="84"/>
        <v>6</v>
      </c>
      <c r="BE36" s="3">
        <f t="shared" si="85"/>
        <v>9</v>
      </c>
      <c r="BF36" s="3">
        <f t="shared" si="86"/>
        <v>5</v>
      </c>
      <c r="BG36" s="3">
        <f t="shared" si="87"/>
        <v>3</v>
      </c>
      <c r="BH36" s="3">
        <f t="shared" si="88"/>
        <v>42</v>
      </c>
      <c r="BJ36" s="62">
        <f t="shared" si="89"/>
        <v>62.5</v>
      </c>
      <c r="BK36" s="62">
        <f t="shared" si="90"/>
        <v>16.666666666666664</v>
      </c>
      <c r="BL36" s="62">
        <f t="shared" si="91"/>
        <v>35</v>
      </c>
      <c r="BM36" s="62">
        <f t="shared" si="92"/>
        <v>50</v>
      </c>
      <c r="BN36" s="62">
        <f t="shared" si="93"/>
        <v>25</v>
      </c>
      <c r="BO36" s="62">
        <f t="shared" si="94"/>
        <v>41.666666666666671</v>
      </c>
      <c r="BP36" s="62">
        <f t="shared" si="95"/>
        <v>18.75</v>
      </c>
      <c r="BQ36" s="62">
        <f t="shared" si="96"/>
        <v>33.87096774193548</v>
      </c>
    </row>
    <row r="37" spans="1:69">
      <c r="A37" s="3">
        <v>34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6">
        <v>2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2</v>
      </c>
      <c r="AE37" s="6">
        <v>1</v>
      </c>
      <c r="AF37" s="6">
        <v>0</v>
      </c>
      <c r="AG37" s="6">
        <v>0</v>
      </c>
      <c r="AH37" s="6">
        <v>0</v>
      </c>
      <c r="AI37" s="6">
        <v>2</v>
      </c>
      <c r="AJ37" s="6">
        <v>2</v>
      </c>
      <c r="AK37" s="6">
        <v>2</v>
      </c>
      <c r="AL37" s="6">
        <v>2</v>
      </c>
      <c r="AM37" s="6">
        <v>0</v>
      </c>
      <c r="AN37" s="6">
        <v>1</v>
      </c>
      <c r="AO37" s="6">
        <v>2</v>
      </c>
      <c r="AP37" s="6">
        <v>2</v>
      </c>
      <c r="AQ37" s="6">
        <v>0</v>
      </c>
      <c r="AR37" s="6">
        <v>2</v>
      </c>
      <c r="AS37" s="6">
        <v>1</v>
      </c>
      <c r="AT37" s="6">
        <v>0</v>
      </c>
      <c r="AU37" s="6">
        <v>2</v>
      </c>
      <c r="AV37" s="6">
        <v>1</v>
      </c>
      <c r="AW37" s="6">
        <v>1</v>
      </c>
      <c r="AX37" s="6">
        <v>1</v>
      </c>
      <c r="AY37" s="6">
        <v>3</v>
      </c>
      <c r="AZ37" s="6">
        <v>2</v>
      </c>
      <c r="BA37" s="3">
        <f t="shared" ref="BA37" si="106">SUM(AI37:AL37)</f>
        <v>8</v>
      </c>
      <c r="BB37" s="3">
        <f t="shared" si="82"/>
        <v>1</v>
      </c>
      <c r="BC37" s="3">
        <f t="shared" si="83"/>
        <v>7</v>
      </c>
      <c r="BD37" s="3">
        <f t="shared" si="84"/>
        <v>6</v>
      </c>
      <c r="BE37" s="3">
        <f t="shared" si="85"/>
        <v>7</v>
      </c>
      <c r="BF37" s="3">
        <f t="shared" si="86"/>
        <v>4</v>
      </c>
      <c r="BG37" s="3">
        <f t="shared" si="87"/>
        <v>5</v>
      </c>
      <c r="BH37" s="3">
        <f t="shared" si="88"/>
        <v>38</v>
      </c>
      <c r="BJ37" s="62">
        <f t="shared" si="89"/>
        <v>50</v>
      </c>
      <c r="BK37" s="62">
        <f t="shared" si="90"/>
        <v>8.3333333333333321</v>
      </c>
      <c r="BL37" s="62">
        <f t="shared" si="91"/>
        <v>35</v>
      </c>
      <c r="BM37" s="62">
        <f t="shared" si="92"/>
        <v>50</v>
      </c>
      <c r="BN37" s="62">
        <f t="shared" si="93"/>
        <v>19.444444444444446</v>
      </c>
      <c r="BO37" s="62">
        <f t="shared" si="94"/>
        <v>33.333333333333329</v>
      </c>
      <c r="BP37" s="62">
        <f t="shared" si="95"/>
        <v>31.25</v>
      </c>
      <c r="BQ37" s="62">
        <f t="shared" si="96"/>
        <v>30.64516129032258</v>
      </c>
    </row>
    <row r="38" spans="1:69">
      <c r="A38" s="3">
        <v>35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6">
        <v>1</v>
      </c>
      <c r="W38" s="6">
        <v>1</v>
      </c>
      <c r="X38" s="6">
        <v>0</v>
      </c>
      <c r="Y38" s="6">
        <v>0</v>
      </c>
      <c r="Z38" s="6">
        <v>0</v>
      </c>
      <c r="AA38" s="6">
        <v>1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2</v>
      </c>
      <c r="AJ38" s="6">
        <v>2</v>
      </c>
      <c r="AK38" s="6">
        <v>2</v>
      </c>
      <c r="AL38" s="6">
        <v>2</v>
      </c>
      <c r="AM38" s="6">
        <v>1</v>
      </c>
      <c r="AN38" s="6">
        <v>1</v>
      </c>
      <c r="AO38" s="6">
        <v>1</v>
      </c>
      <c r="AP38" s="6">
        <v>2</v>
      </c>
      <c r="AQ38" s="6">
        <v>0</v>
      </c>
      <c r="AR38" s="6">
        <v>2</v>
      </c>
      <c r="AS38" s="6">
        <v>1</v>
      </c>
      <c r="AT38" s="6">
        <v>0</v>
      </c>
      <c r="AU38" s="6">
        <v>2</v>
      </c>
      <c r="AV38" s="6">
        <v>2</v>
      </c>
      <c r="AW38" s="6">
        <v>2</v>
      </c>
      <c r="AX38" s="6">
        <v>2</v>
      </c>
      <c r="AY38" s="6">
        <v>3</v>
      </c>
      <c r="AZ38" s="6">
        <v>2</v>
      </c>
      <c r="BA38" s="3">
        <f t="shared" ref="BA38" si="107">SUM(AI38:AL38)</f>
        <v>8</v>
      </c>
      <c r="BB38" s="3">
        <f t="shared" si="82"/>
        <v>2</v>
      </c>
      <c r="BC38" s="3">
        <f t="shared" si="83"/>
        <v>7</v>
      </c>
      <c r="BD38" s="3">
        <f t="shared" si="84"/>
        <v>7</v>
      </c>
      <c r="BE38" s="3">
        <f t="shared" si="85"/>
        <v>1</v>
      </c>
      <c r="BF38" s="3">
        <f t="shared" si="86"/>
        <v>5</v>
      </c>
      <c r="BG38" s="3">
        <f t="shared" si="87"/>
        <v>2</v>
      </c>
      <c r="BH38" s="3">
        <f t="shared" si="88"/>
        <v>32</v>
      </c>
      <c r="BJ38" s="62">
        <f t="shared" si="89"/>
        <v>50</v>
      </c>
      <c r="BK38" s="62">
        <f t="shared" si="90"/>
        <v>16.666666666666664</v>
      </c>
      <c r="BL38" s="62">
        <f t="shared" si="91"/>
        <v>35</v>
      </c>
      <c r="BM38" s="62">
        <f t="shared" si="92"/>
        <v>58.333333333333336</v>
      </c>
      <c r="BN38" s="62">
        <f t="shared" si="93"/>
        <v>2.7777777777777777</v>
      </c>
      <c r="BO38" s="62">
        <f t="shared" si="94"/>
        <v>41.666666666666671</v>
      </c>
      <c r="BP38" s="62">
        <f t="shared" si="95"/>
        <v>12.5</v>
      </c>
      <c r="BQ38" s="62">
        <f t="shared" si="96"/>
        <v>25.806451612903224</v>
      </c>
    </row>
    <row r="39" spans="1:69">
      <c r="A39" s="3">
        <v>36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6">
        <v>1</v>
      </c>
      <c r="W39" s="6">
        <v>2</v>
      </c>
      <c r="X39" s="6">
        <v>1</v>
      </c>
      <c r="Y39" s="6">
        <v>2</v>
      </c>
      <c r="Z39" s="6">
        <v>1</v>
      </c>
      <c r="AA39" s="6">
        <v>2</v>
      </c>
      <c r="AB39" s="6">
        <v>1</v>
      </c>
      <c r="AC39" s="6">
        <v>1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2</v>
      </c>
      <c r="AJ39" s="6">
        <v>2</v>
      </c>
      <c r="AK39" s="6">
        <v>2</v>
      </c>
      <c r="AL39" s="6">
        <v>2</v>
      </c>
      <c r="AM39" s="6">
        <v>1</v>
      </c>
      <c r="AN39" s="6">
        <v>1</v>
      </c>
      <c r="AO39" s="6">
        <v>2</v>
      </c>
      <c r="AP39" s="6">
        <v>2</v>
      </c>
      <c r="AQ39" s="6">
        <v>0</v>
      </c>
      <c r="AR39" s="6">
        <v>2</v>
      </c>
      <c r="AS39" s="6">
        <v>2</v>
      </c>
      <c r="AT39" s="6">
        <v>0</v>
      </c>
      <c r="AU39" s="6">
        <v>2</v>
      </c>
      <c r="AV39" s="6">
        <v>1</v>
      </c>
      <c r="AW39" s="6">
        <v>2</v>
      </c>
      <c r="AX39" s="6">
        <v>1</v>
      </c>
      <c r="AY39" s="6">
        <v>2</v>
      </c>
      <c r="AZ39" s="6">
        <v>1</v>
      </c>
      <c r="BA39" s="3">
        <f t="shared" ref="BA39" si="108">SUM(AI39:AL39)</f>
        <v>8</v>
      </c>
      <c r="BB39" s="3">
        <f t="shared" si="82"/>
        <v>1</v>
      </c>
      <c r="BC39" s="3">
        <f t="shared" si="83"/>
        <v>8</v>
      </c>
      <c r="BD39" s="3">
        <f t="shared" si="84"/>
        <v>4</v>
      </c>
      <c r="BE39" s="3">
        <f t="shared" si="85"/>
        <v>5</v>
      </c>
      <c r="BF39" s="3">
        <f t="shared" si="86"/>
        <v>6</v>
      </c>
      <c r="BG39" s="3">
        <f t="shared" si="87"/>
        <v>6</v>
      </c>
      <c r="BH39" s="3">
        <f t="shared" si="88"/>
        <v>38</v>
      </c>
      <c r="BJ39" s="62">
        <f t="shared" si="89"/>
        <v>50</v>
      </c>
      <c r="BK39" s="62">
        <f t="shared" si="90"/>
        <v>8.3333333333333321</v>
      </c>
      <c r="BL39" s="62">
        <f t="shared" si="91"/>
        <v>40</v>
      </c>
      <c r="BM39" s="62">
        <f t="shared" si="92"/>
        <v>33.333333333333329</v>
      </c>
      <c r="BN39" s="62">
        <f t="shared" si="93"/>
        <v>13.888888888888889</v>
      </c>
      <c r="BO39" s="62">
        <f t="shared" si="94"/>
        <v>50</v>
      </c>
      <c r="BP39" s="62">
        <f t="shared" si="95"/>
        <v>37.5</v>
      </c>
      <c r="BQ39" s="62">
        <f t="shared" si="96"/>
        <v>30.64516129032258</v>
      </c>
    </row>
    <row r="40" spans="1:69">
      <c r="A40" s="3">
        <v>37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6">
        <v>0</v>
      </c>
      <c r="W40" s="6">
        <v>0</v>
      </c>
      <c r="X40" s="6">
        <v>2</v>
      </c>
      <c r="Y40" s="6">
        <v>0</v>
      </c>
      <c r="Z40" s="6">
        <v>1</v>
      </c>
      <c r="AA40" s="6">
        <v>2</v>
      </c>
      <c r="AB40" s="6">
        <v>1</v>
      </c>
      <c r="AC40" s="6">
        <v>1</v>
      </c>
      <c r="AD40" s="6">
        <v>2</v>
      </c>
      <c r="AE40" s="6">
        <v>0</v>
      </c>
      <c r="AF40" s="6">
        <v>0</v>
      </c>
      <c r="AG40" s="6">
        <v>0</v>
      </c>
      <c r="AH40" s="6">
        <v>0</v>
      </c>
      <c r="AI40" s="6">
        <v>2</v>
      </c>
      <c r="AJ40" s="6">
        <v>2</v>
      </c>
      <c r="AK40" s="6">
        <v>1</v>
      </c>
      <c r="AL40" s="6">
        <v>1</v>
      </c>
      <c r="AM40" s="6">
        <v>0</v>
      </c>
      <c r="AN40" s="6">
        <v>0</v>
      </c>
      <c r="AO40" s="6">
        <v>2</v>
      </c>
      <c r="AP40" s="6">
        <v>0</v>
      </c>
      <c r="AQ40" s="6">
        <v>0</v>
      </c>
      <c r="AR40" s="6">
        <v>0</v>
      </c>
      <c r="AS40" s="6">
        <v>2</v>
      </c>
      <c r="AT40" s="6">
        <v>0</v>
      </c>
      <c r="AU40" s="6">
        <v>2</v>
      </c>
      <c r="AV40" s="6">
        <v>1</v>
      </c>
      <c r="AW40" s="6">
        <v>1</v>
      </c>
      <c r="AX40" s="6">
        <v>0</v>
      </c>
      <c r="AY40" s="6">
        <v>1</v>
      </c>
      <c r="AZ40" s="6">
        <v>1</v>
      </c>
      <c r="BA40" s="3">
        <f t="shared" ref="BA40:BA41" si="109">SUM(AI40:AL40)</f>
        <v>6</v>
      </c>
      <c r="BB40" s="3">
        <f t="shared" si="82"/>
        <v>1</v>
      </c>
      <c r="BC40" s="3">
        <f t="shared" si="83"/>
        <v>2</v>
      </c>
      <c r="BD40" s="3">
        <f t="shared" si="84"/>
        <v>2</v>
      </c>
      <c r="BE40" s="3">
        <f t="shared" si="85"/>
        <v>7</v>
      </c>
      <c r="BF40" s="3">
        <f t="shared" si="86"/>
        <v>5</v>
      </c>
      <c r="BG40" s="3">
        <f t="shared" si="87"/>
        <v>2</v>
      </c>
      <c r="BH40" s="3">
        <f t="shared" si="88"/>
        <v>25</v>
      </c>
      <c r="BJ40" s="62">
        <f t="shared" si="89"/>
        <v>37.5</v>
      </c>
      <c r="BK40" s="62">
        <f t="shared" si="90"/>
        <v>8.3333333333333321</v>
      </c>
      <c r="BL40" s="62">
        <f t="shared" si="91"/>
        <v>10</v>
      </c>
      <c r="BM40" s="62">
        <f t="shared" si="92"/>
        <v>16.666666666666664</v>
      </c>
      <c r="BN40" s="62">
        <f t="shared" si="93"/>
        <v>19.444444444444446</v>
      </c>
      <c r="BO40" s="62">
        <f t="shared" si="94"/>
        <v>41.666666666666671</v>
      </c>
      <c r="BP40" s="62">
        <f t="shared" si="95"/>
        <v>12.5</v>
      </c>
      <c r="BQ40" s="62">
        <f t="shared" si="96"/>
        <v>20.161290322580644</v>
      </c>
    </row>
    <row r="41" spans="1:69">
      <c r="A41" s="3">
        <v>38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6">
        <v>1</v>
      </c>
      <c r="W41" s="6">
        <v>0</v>
      </c>
      <c r="X41" s="6">
        <v>0</v>
      </c>
      <c r="Y41" s="6">
        <v>0</v>
      </c>
      <c r="Z41" s="6">
        <v>2</v>
      </c>
      <c r="AA41" s="6">
        <v>2</v>
      </c>
      <c r="AB41" s="6">
        <v>1</v>
      </c>
      <c r="AC41" s="6">
        <v>2</v>
      </c>
      <c r="AD41" s="6">
        <v>2</v>
      </c>
      <c r="AE41" s="6">
        <v>0</v>
      </c>
      <c r="AF41" s="6">
        <v>0</v>
      </c>
      <c r="AG41" s="6">
        <v>0</v>
      </c>
      <c r="AH41" s="6">
        <v>0</v>
      </c>
      <c r="AI41" s="6">
        <v>2</v>
      </c>
      <c r="AJ41" s="6">
        <v>2</v>
      </c>
      <c r="AK41" s="6">
        <v>1</v>
      </c>
      <c r="AL41" s="6">
        <v>1</v>
      </c>
      <c r="AM41" s="6">
        <v>1</v>
      </c>
      <c r="AN41" s="6">
        <v>0</v>
      </c>
      <c r="AO41" s="6">
        <v>2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1</v>
      </c>
      <c r="AY41" s="6">
        <v>2</v>
      </c>
      <c r="AZ41" s="6">
        <v>1</v>
      </c>
      <c r="BA41" s="3">
        <f t="shared" si="109"/>
        <v>6</v>
      </c>
      <c r="BB41" s="3">
        <f t="shared" si="82"/>
        <v>0</v>
      </c>
      <c r="BC41" s="3">
        <f t="shared" si="83"/>
        <v>3</v>
      </c>
      <c r="BD41" s="3">
        <f t="shared" si="84"/>
        <v>4</v>
      </c>
      <c r="BE41" s="3">
        <f t="shared" si="85"/>
        <v>9</v>
      </c>
      <c r="BF41" s="3">
        <f t="shared" si="86"/>
        <v>0</v>
      </c>
      <c r="BG41" s="3">
        <f t="shared" si="87"/>
        <v>1</v>
      </c>
      <c r="BH41" s="3">
        <f t="shared" si="88"/>
        <v>23</v>
      </c>
      <c r="BJ41" s="62">
        <f t="shared" si="89"/>
        <v>37.5</v>
      </c>
      <c r="BK41" s="62">
        <f t="shared" si="90"/>
        <v>0</v>
      </c>
      <c r="BL41" s="62">
        <f t="shared" si="91"/>
        <v>15</v>
      </c>
      <c r="BM41" s="62">
        <f t="shared" si="92"/>
        <v>33.333333333333329</v>
      </c>
      <c r="BN41" s="62">
        <f t="shared" si="93"/>
        <v>25</v>
      </c>
      <c r="BO41" s="62">
        <f t="shared" si="94"/>
        <v>0</v>
      </c>
      <c r="BP41" s="62">
        <f t="shared" si="95"/>
        <v>6.25</v>
      </c>
      <c r="BQ41" s="62">
        <f t="shared" si="96"/>
        <v>18.548387096774192</v>
      </c>
    </row>
    <row r="42" spans="1:69">
      <c r="A42" s="3">
        <v>39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6">
        <v>0</v>
      </c>
      <c r="W42" s="6">
        <v>0</v>
      </c>
      <c r="X42" s="6">
        <v>1</v>
      </c>
      <c r="Y42" s="6">
        <v>0</v>
      </c>
      <c r="Z42" s="6">
        <v>1</v>
      </c>
      <c r="AA42" s="6">
        <v>3</v>
      </c>
      <c r="AB42" s="6">
        <v>1</v>
      </c>
      <c r="AC42" s="6">
        <v>1</v>
      </c>
      <c r="AD42" s="6">
        <v>1</v>
      </c>
      <c r="AE42" s="6">
        <v>1</v>
      </c>
      <c r="AF42" s="6">
        <v>0</v>
      </c>
      <c r="AG42" s="6">
        <v>0</v>
      </c>
      <c r="AH42" s="6">
        <v>0</v>
      </c>
      <c r="AI42" s="6">
        <v>2</v>
      </c>
      <c r="AJ42" s="6">
        <v>1</v>
      </c>
      <c r="AK42" s="6">
        <v>1</v>
      </c>
      <c r="AL42" s="6">
        <v>1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1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1</v>
      </c>
      <c r="AZ42" s="6">
        <v>2</v>
      </c>
      <c r="BA42" s="3">
        <f t="shared" ref="BA42" si="110">SUM(AI42:AL42)</f>
        <v>5</v>
      </c>
      <c r="BB42" s="3">
        <f t="shared" si="82"/>
        <v>0</v>
      </c>
      <c r="BC42" s="3">
        <f t="shared" si="83"/>
        <v>0</v>
      </c>
      <c r="BD42" s="3">
        <f t="shared" si="84"/>
        <v>3</v>
      </c>
      <c r="BE42" s="3">
        <f t="shared" si="85"/>
        <v>8</v>
      </c>
      <c r="BF42" s="3">
        <f t="shared" si="86"/>
        <v>1</v>
      </c>
      <c r="BG42" s="3">
        <f t="shared" si="87"/>
        <v>1</v>
      </c>
      <c r="BH42" s="3">
        <f t="shared" si="88"/>
        <v>18</v>
      </c>
      <c r="BJ42" s="62">
        <f t="shared" si="89"/>
        <v>31.25</v>
      </c>
      <c r="BK42" s="62">
        <f t="shared" si="90"/>
        <v>0</v>
      </c>
      <c r="BL42" s="62">
        <f t="shared" si="91"/>
        <v>0</v>
      </c>
      <c r="BM42" s="62">
        <f t="shared" si="92"/>
        <v>25</v>
      </c>
      <c r="BN42" s="62">
        <f t="shared" si="93"/>
        <v>22.222222222222221</v>
      </c>
      <c r="BO42" s="62">
        <f t="shared" si="94"/>
        <v>8.3333333333333321</v>
      </c>
      <c r="BP42" s="62">
        <f t="shared" si="95"/>
        <v>6.25</v>
      </c>
      <c r="BQ42" s="62">
        <f t="shared" si="96"/>
        <v>14.516129032258066</v>
      </c>
    </row>
    <row r="43" spans="1:69">
      <c r="A43" s="3">
        <v>40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6">
        <v>1</v>
      </c>
      <c r="W43" s="6">
        <v>0</v>
      </c>
      <c r="X43" s="6">
        <v>2</v>
      </c>
      <c r="Y43" s="6">
        <v>1</v>
      </c>
      <c r="Z43" s="6">
        <v>1</v>
      </c>
      <c r="AA43" s="6">
        <v>1</v>
      </c>
      <c r="AB43" s="6">
        <v>2</v>
      </c>
      <c r="AC43" s="6">
        <v>1</v>
      </c>
      <c r="AD43" s="6">
        <v>1</v>
      </c>
      <c r="AE43" s="6">
        <v>0</v>
      </c>
      <c r="AF43" s="6">
        <v>0</v>
      </c>
      <c r="AG43" s="6">
        <v>0</v>
      </c>
      <c r="AH43" s="6">
        <v>0</v>
      </c>
      <c r="AI43" s="6">
        <v>1</v>
      </c>
      <c r="AJ43" s="6">
        <v>0</v>
      </c>
      <c r="AK43" s="6">
        <v>0</v>
      </c>
      <c r="AL43" s="6">
        <v>0</v>
      </c>
      <c r="AM43" s="6">
        <v>1</v>
      </c>
      <c r="AN43" s="6">
        <v>9</v>
      </c>
      <c r="AO43" s="6">
        <v>1</v>
      </c>
      <c r="AP43" s="6">
        <v>1</v>
      </c>
      <c r="AQ43" s="6">
        <v>0</v>
      </c>
      <c r="AR43" s="6">
        <v>1</v>
      </c>
      <c r="AS43" s="6">
        <v>2</v>
      </c>
      <c r="AT43" s="6">
        <v>0</v>
      </c>
      <c r="AU43" s="6">
        <v>1</v>
      </c>
      <c r="AV43" s="6">
        <v>1</v>
      </c>
      <c r="AW43" s="6">
        <v>2</v>
      </c>
      <c r="AX43" s="6">
        <v>1</v>
      </c>
      <c r="AY43" s="6">
        <v>0</v>
      </c>
      <c r="AZ43" s="6">
        <v>0</v>
      </c>
      <c r="BA43" s="3">
        <f t="shared" ref="BA43" si="111">SUM(AI43:AL43)</f>
        <v>1</v>
      </c>
      <c r="BB43" s="3">
        <f t="shared" si="82"/>
        <v>1</v>
      </c>
      <c r="BC43" s="3">
        <f t="shared" si="83"/>
        <v>13</v>
      </c>
      <c r="BD43" s="3">
        <f t="shared" si="84"/>
        <v>1</v>
      </c>
      <c r="BE43" s="3">
        <f t="shared" si="85"/>
        <v>6</v>
      </c>
      <c r="BF43" s="3">
        <f t="shared" si="86"/>
        <v>5</v>
      </c>
      <c r="BG43" s="3">
        <f t="shared" si="87"/>
        <v>4</v>
      </c>
      <c r="BH43" s="3">
        <f t="shared" si="88"/>
        <v>31</v>
      </c>
      <c r="BJ43" s="62">
        <f t="shared" si="89"/>
        <v>6.25</v>
      </c>
      <c r="BK43" s="62">
        <f t="shared" si="90"/>
        <v>8.3333333333333321</v>
      </c>
      <c r="BL43" s="62">
        <f t="shared" si="91"/>
        <v>65</v>
      </c>
      <c r="BM43" s="62">
        <f t="shared" si="92"/>
        <v>8.3333333333333321</v>
      </c>
      <c r="BN43" s="62">
        <f t="shared" si="93"/>
        <v>16.666666666666664</v>
      </c>
      <c r="BO43" s="62">
        <f t="shared" si="94"/>
        <v>41.666666666666671</v>
      </c>
      <c r="BP43" s="62">
        <f t="shared" si="95"/>
        <v>25</v>
      </c>
      <c r="BQ43" s="62">
        <f t="shared" si="96"/>
        <v>25</v>
      </c>
    </row>
    <row r="44" spans="1:69">
      <c r="A44" s="3">
        <v>41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6">
        <v>2</v>
      </c>
      <c r="W44" s="6">
        <v>0</v>
      </c>
      <c r="X44" s="6">
        <v>3</v>
      </c>
      <c r="Y44" s="6">
        <v>0</v>
      </c>
      <c r="Z44" s="6">
        <v>0</v>
      </c>
      <c r="AA44" s="6">
        <v>1</v>
      </c>
      <c r="AB44" s="6">
        <v>1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2</v>
      </c>
      <c r="AJ44" s="6">
        <v>1</v>
      </c>
      <c r="AK44" s="6">
        <v>0</v>
      </c>
      <c r="AL44" s="6">
        <v>0</v>
      </c>
      <c r="AM44" s="6">
        <v>0</v>
      </c>
      <c r="AN44" s="6">
        <v>0</v>
      </c>
      <c r="AO44" s="6">
        <v>1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1</v>
      </c>
      <c r="AY44" s="6">
        <v>1</v>
      </c>
      <c r="AZ44" s="6">
        <v>0</v>
      </c>
      <c r="BA44" s="3">
        <f t="shared" ref="BA44" si="112">SUM(AI44:AL44)</f>
        <v>3</v>
      </c>
      <c r="BB44" s="3">
        <f t="shared" si="82"/>
        <v>0</v>
      </c>
      <c r="BC44" s="3">
        <f t="shared" si="83"/>
        <v>1</v>
      </c>
      <c r="BD44" s="3">
        <f t="shared" si="84"/>
        <v>2</v>
      </c>
      <c r="BE44" s="3">
        <f t="shared" si="85"/>
        <v>2</v>
      </c>
      <c r="BF44" s="3">
        <f t="shared" si="86"/>
        <v>0</v>
      </c>
      <c r="BG44" s="3">
        <f t="shared" si="87"/>
        <v>5</v>
      </c>
      <c r="BH44" s="3">
        <f t="shared" si="88"/>
        <v>13</v>
      </c>
      <c r="BJ44" s="62">
        <f t="shared" si="89"/>
        <v>18.75</v>
      </c>
      <c r="BK44" s="62">
        <f t="shared" si="90"/>
        <v>0</v>
      </c>
      <c r="BL44" s="62">
        <f t="shared" si="91"/>
        <v>5</v>
      </c>
      <c r="BM44" s="62">
        <f t="shared" si="92"/>
        <v>16.666666666666664</v>
      </c>
      <c r="BN44" s="62">
        <f t="shared" si="93"/>
        <v>5.5555555555555554</v>
      </c>
      <c r="BO44" s="62">
        <f t="shared" si="94"/>
        <v>0</v>
      </c>
      <c r="BP44" s="62">
        <f t="shared" si="95"/>
        <v>31.25</v>
      </c>
      <c r="BQ44" s="62">
        <f t="shared" si="96"/>
        <v>10.483870967741936</v>
      </c>
    </row>
    <row r="45" spans="1:69">
      <c r="A45" s="3">
        <v>42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2</v>
      </c>
      <c r="AB45" s="6">
        <v>0</v>
      </c>
      <c r="AC45" s="6">
        <v>1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4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3">
        <f t="shared" ref="BA45" si="113">SUM(AI45:AL45)</f>
        <v>0</v>
      </c>
      <c r="BB45" s="3">
        <f t="shared" si="82"/>
        <v>0</v>
      </c>
      <c r="BC45" s="3">
        <f t="shared" si="83"/>
        <v>0</v>
      </c>
      <c r="BD45" s="3">
        <f t="shared" si="84"/>
        <v>0</v>
      </c>
      <c r="BE45" s="3">
        <f t="shared" si="85"/>
        <v>3</v>
      </c>
      <c r="BF45" s="3">
        <f t="shared" si="86"/>
        <v>4</v>
      </c>
      <c r="BG45" s="3">
        <f t="shared" si="87"/>
        <v>0</v>
      </c>
      <c r="BH45" s="3">
        <f t="shared" si="88"/>
        <v>7</v>
      </c>
      <c r="BJ45" s="62">
        <f t="shared" si="89"/>
        <v>0</v>
      </c>
      <c r="BK45" s="62">
        <f t="shared" si="90"/>
        <v>0</v>
      </c>
      <c r="BL45" s="62">
        <f t="shared" si="91"/>
        <v>0</v>
      </c>
      <c r="BM45" s="62">
        <f t="shared" si="92"/>
        <v>0</v>
      </c>
      <c r="BN45" s="62">
        <f t="shared" si="93"/>
        <v>8.3333333333333321</v>
      </c>
      <c r="BO45" s="62">
        <f t="shared" si="94"/>
        <v>33.333333333333329</v>
      </c>
      <c r="BP45" s="62">
        <f t="shared" si="95"/>
        <v>0</v>
      </c>
      <c r="BQ45" s="62">
        <f t="shared" si="96"/>
        <v>5.6451612903225801</v>
      </c>
    </row>
    <row r="46" spans="1:69">
      <c r="A46" s="3">
        <v>43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6">
        <v>0</v>
      </c>
      <c r="W46" s="6">
        <v>1</v>
      </c>
      <c r="X46" s="6">
        <v>1</v>
      </c>
      <c r="Y46" s="6">
        <v>0</v>
      </c>
      <c r="Z46" s="6">
        <v>1</v>
      </c>
      <c r="AA46" s="6">
        <v>1</v>
      </c>
      <c r="AB46" s="6">
        <v>0</v>
      </c>
      <c r="AC46" s="6">
        <v>1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0</v>
      </c>
      <c r="AP46" s="6">
        <v>1</v>
      </c>
      <c r="AQ46" s="6">
        <v>0</v>
      </c>
      <c r="AR46" s="6">
        <v>1</v>
      </c>
      <c r="AS46" s="6">
        <v>2</v>
      </c>
      <c r="AT46" s="6">
        <v>0</v>
      </c>
      <c r="AU46" s="6">
        <v>2</v>
      </c>
      <c r="AV46" s="6">
        <v>0</v>
      </c>
      <c r="AW46" s="6">
        <v>1</v>
      </c>
      <c r="AX46" s="6">
        <v>0</v>
      </c>
      <c r="AY46" s="6">
        <v>1</v>
      </c>
      <c r="AZ46" s="6">
        <v>0</v>
      </c>
      <c r="BA46" s="3">
        <f t="shared" ref="BA46" si="114">SUM(AI46:AL46)</f>
        <v>4</v>
      </c>
      <c r="BB46" s="3">
        <f t="shared" si="82"/>
        <v>0</v>
      </c>
      <c r="BC46" s="3">
        <f t="shared" si="83"/>
        <v>4</v>
      </c>
      <c r="BD46" s="3">
        <f t="shared" si="84"/>
        <v>1</v>
      </c>
      <c r="BE46" s="3">
        <f t="shared" si="85"/>
        <v>3</v>
      </c>
      <c r="BF46" s="3">
        <f t="shared" si="86"/>
        <v>5</v>
      </c>
      <c r="BG46" s="3">
        <f t="shared" si="87"/>
        <v>2</v>
      </c>
      <c r="BH46" s="3">
        <f t="shared" si="88"/>
        <v>19</v>
      </c>
      <c r="BJ46" s="62">
        <f t="shared" si="89"/>
        <v>25</v>
      </c>
      <c r="BK46" s="62">
        <f t="shared" si="90"/>
        <v>0</v>
      </c>
      <c r="BL46" s="62">
        <f t="shared" si="91"/>
        <v>20</v>
      </c>
      <c r="BM46" s="62">
        <f t="shared" si="92"/>
        <v>8.3333333333333321</v>
      </c>
      <c r="BN46" s="62">
        <f t="shared" si="93"/>
        <v>8.3333333333333321</v>
      </c>
      <c r="BO46" s="62">
        <f t="shared" si="94"/>
        <v>41.666666666666671</v>
      </c>
      <c r="BP46" s="62">
        <f t="shared" si="95"/>
        <v>12.5</v>
      </c>
      <c r="BQ46" s="62">
        <f t="shared" si="96"/>
        <v>15.32258064516129</v>
      </c>
    </row>
    <row r="47" spans="1:69">
      <c r="A47" s="3">
        <v>44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6">
        <v>0</v>
      </c>
      <c r="W47" s="6">
        <v>4</v>
      </c>
      <c r="X47" s="6">
        <v>0</v>
      </c>
      <c r="Y47" s="6">
        <v>0</v>
      </c>
      <c r="Z47" s="6">
        <v>0</v>
      </c>
      <c r="AA47" s="6">
        <v>1</v>
      </c>
      <c r="AB47" s="6">
        <v>0</v>
      </c>
      <c r="AC47" s="6">
        <v>1</v>
      </c>
      <c r="AD47" s="6">
        <v>1</v>
      </c>
      <c r="AE47" s="6">
        <v>0</v>
      </c>
      <c r="AF47" s="6">
        <v>0</v>
      </c>
      <c r="AG47" s="6">
        <v>0</v>
      </c>
      <c r="AH47" s="6">
        <v>0</v>
      </c>
      <c r="AI47" s="6">
        <v>2</v>
      </c>
      <c r="AJ47" s="6">
        <v>2</v>
      </c>
      <c r="AK47" s="6">
        <v>1</v>
      </c>
      <c r="AL47" s="6">
        <v>1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1</v>
      </c>
      <c r="AT47" s="6">
        <v>0</v>
      </c>
      <c r="AU47" s="6">
        <v>1</v>
      </c>
      <c r="AV47" s="6">
        <v>0</v>
      </c>
      <c r="AW47" s="6">
        <v>1</v>
      </c>
      <c r="AX47" s="6">
        <v>2</v>
      </c>
      <c r="AY47" s="6">
        <v>2</v>
      </c>
      <c r="AZ47" s="6">
        <v>1</v>
      </c>
      <c r="BA47" s="3">
        <f t="shared" ref="BA47" si="115">SUM(AI47:AL47)</f>
        <v>6</v>
      </c>
      <c r="BB47" s="3">
        <f t="shared" si="82"/>
        <v>0</v>
      </c>
      <c r="BC47" s="3">
        <f t="shared" si="83"/>
        <v>0</v>
      </c>
      <c r="BD47" s="3">
        <f t="shared" si="84"/>
        <v>5</v>
      </c>
      <c r="BE47" s="3">
        <f t="shared" si="85"/>
        <v>3</v>
      </c>
      <c r="BF47" s="3">
        <f t="shared" si="86"/>
        <v>3</v>
      </c>
      <c r="BG47" s="3">
        <f t="shared" si="87"/>
        <v>4</v>
      </c>
      <c r="BH47" s="3">
        <f t="shared" si="88"/>
        <v>21</v>
      </c>
      <c r="BJ47" s="62">
        <f t="shared" si="89"/>
        <v>37.5</v>
      </c>
      <c r="BK47" s="62">
        <f t="shared" si="90"/>
        <v>0</v>
      </c>
      <c r="BL47" s="62">
        <f t="shared" si="91"/>
        <v>0</v>
      </c>
      <c r="BM47" s="62">
        <f t="shared" si="92"/>
        <v>41.666666666666671</v>
      </c>
      <c r="BN47" s="62">
        <f t="shared" si="93"/>
        <v>8.3333333333333321</v>
      </c>
      <c r="BO47" s="62">
        <f t="shared" si="94"/>
        <v>25</v>
      </c>
      <c r="BP47" s="62">
        <f t="shared" si="95"/>
        <v>25</v>
      </c>
      <c r="BQ47" s="62">
        <f t="shared" si="96"/>
        <v>16.93548387096774</v>
      </c>
    </row>
    <row r="48" spans="1:69">
      <c r="A48" s="3">
        <v>45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1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4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3">
        <f t="shared" ref="BA48" si="116">SUM(AI48:AL48)</f>
        <v>0</v>
      </c>
      <c r="BB48" s="3">
        <f t="shared" si="82"/>
        <v>0</v>
      </c>
      <c r="BC48" s="3">
        <f t="shared" si="83"/>
        <v>0</v>
      </c>
      <c r="BD48" s="3">
        <f t="shared" si="84"/>
        <v>0</v>
      </c>
      <c r="BE48" s="3">
        <f t="shared" si="85"/>
        <v>1</v>
      </c>
      <c r="BF48" s="3">
        <f t="shared" si="86"/>
        <v>4</v>
      </c>
      <c r="BG48" s="3">
        <f t="shared" si="87"/>
        <v>0</v>
      </c>
      <c r="BH48" s="3">
        <f t="shared" si="88"/>
        <v>5</v>
      </c>
      <c r="BJ48" s="62">
        <f t="shared" si="89"/>
        <v>0</v>
      </c>
      <c r="BK48" s="62">
        <f t="shared" si="90"/>
        <v>0</v>
      </c>
      <c r="BL48" s="62">
        <f t="shared" si="91"/>
        <v>0</v>
      </c>
      <c r="BM48" s="62">
        <f t="shared" si="92"/>
        <v>0</v>
      </c>
      <c r="BN48" s="62">
        <f t="shared" si="93"/>
        <v>2.7777777777777777</v>
      </c>
      <c r="BO48" s="62">
        <f t="shared" si="94"/>
        <v>33.333333333333329</v>
      </c>
      <c r="BP48" s="62">
        <f t="shared" si="95"/>
        <v>0</v>
      </c>
      <c r="BQ48" s="62">
        <f t="shared" si="96"/>
        <v>4.032258064516129</v>
      </c>
    </row>
    <row r="49" spans="1:69">
      <c r="A49" s="3">
        <v>46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1</v>
      </c>
      <c r="AB49" s="6">
        <v>1</v>
      </c>
      <c r="AC49" s="6">
        <v>1</v>
      </c>
      <c r="AD49" s="6">
        <v>1</v>
      </c>
      <c r="AE49" s="6">
        <v>0</v>
      </c>
      <c r="AF49" s="6">
        <v>0</v>
      </c>
      <c r="AG49" s="6">
        <v>0</v>
      </c>
      <c r="AH49" s="6">
        <v>0</v>
      </c>
      <c r="AI49" s="6">
        <v>2</v>
      </c>
      <c r="AJ49" s="6">
        <v>2</v>
      </c>
      <c r="AK49" s="6">
        <v>1</v>
      </c>
      <c r="AL49" s="6">
        <v>1</v>
      </c>
      <c r="AM49" s="6">
        <v>1</v>
      </c>
      <c r="AN49" s="6">
        <v>1</v>
      </c>
      <c r="AO49" s="6">
        <v>0</v>
      </c>
      <c r="AP49" s="6">
        <v>1</v>
      </c>
      <c r="AQ49" s="6">
        <v>0</v>
      </c>
      <c r="AR49" s="6">
        <v>1</v>
      </c>
      <c r="AS49" s="6">
        <v>1</v>
      </c>
      <c r="AT49" s="6">
        <v>0</v>
      </c>
      <c r="AU49" s="6">
        <v>1</v>
      </c>
      <c r="AV49" s="6">
        <v>0</v>
      </c>
      <c r="AW49" s="6">
        <v>1</v>
      </c>
      <c r="AX49" s="6">
        <v>0</v>
      </c>
      <c r="AY49" s="6">
        <v>0</v>
      </c>
      <c r="AZ49" s="6">
        <v>0</v>
      </c>
      <c r="BA49" s="3">
        <f t="shared" ref="BA49" si="117">SUM(AI49:AL49)</f>
        <v>6</v>
      </c>
      <c r="BB49" s="3">
        <f t="shared" si="82"/>
        <v>0</v>
      </c>
      <c r="BC49" s="3">
        <f t="shared" si="83"/>
        <v>4</v>
      </c>
      <c r="BD49" s="3">
        <f t="shared" si="84"/>
        <v>0</v>
      </c>
      <c r="BE49" s="3">
        <f t="shared" si="85"/>
        <v>4</v>
      </c>
      <c r="BF49" s="3">
        <f t="shared" si="86"/>
        <v>3</v>
      </c>
      <c r="BG49" s="3">
        <f t="shared" si="87"/>
        <v>0</v>
      </c>
      <c r="BH49" s="3">
        <f t="shared" si="88"/>
        <v>17</v>
      </c>
      <c r="BJ49" s="62">
        <f t="shared" si="89"/>
        <v>37.5</v>
      </c>
      <c r="BK49" s="62">
        <f t="shared" si="90"/>
        <v>0</v>
      </c>
      <c r="BL49" s="62">
        <f t="shared" si="91"/>
        <v>20</v>
      </c>
      <c r="BM49" s="62">
        <f t="shared" si="92"/>
        <v>0</v>
      </c>
      <c r="BN49" s="62">
        <f t="shared" si="93"/>
        <v>11.111111111111111</v>
      </c>
      <c r="BO49" s="62">
        <f t="shared" si="94"/>
        <v>25</v>
      </c>
      <c r="BP49" s="62">
        <f t="shared" si="95"/>
        <v>0</v>
      </c>
      <c r="BQ49" s="62">
        <f t="shared" si="96"/>
        <v>13.709677419354838</v>
      </c>
    </row>
    <row r="50" spans="1:69">
      <c r="A50" s="3">
        <v>47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6">
        <v>0</v>
      </c>
      <c r="W50" s="6">
        <v>0</v>
      </c>
      <c r="X50" s="6">
        <v>0</v>
      </c>
      <c r="Y50" s="6">
        <v>0</v>
      </c>
      <c r="Z50" s="6">
        <v>1</v>
      </c>
      <c r="AA50" s="6">
        <v>2</v>
      </c>
      <c r="AB50" s="6">
        <v>0</v>
      </c>
      <c r="AC50" s="6">
        <v>1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3">
        <f t="shared" ref="BA50" si="118">SUM(AI50:AL50)</f>
        <v>0</v>
      </c>
      <c r="BB50" s="3">
        <f t="shared" si="82"/>
        <v>0</v>
      </c>
      <c r="BC50" s="3">
        <f t="shared" si="83"/>
        <v>0</v>
      </c>
      <c r="BD50" s="3">
        <f t="shared" si="84"/>
        <v>0</v>
      </c>
      <c r="BE50" s="3">
        <f t="shared" si="85"/>
        <v>4</v>
      </c>
      <c r="BF50" s="3">
        <f t="shared" si="86"/>
        <v>0</v>
      </c>
      <c r="BG50" s="3">
        <f t="shared" si="87"/>
        <v>0</v>
      </c>
      <c r="BH50" s="3">
        <f t="shared" si="88"/>
        <v>4</v>
      </c>
      <c r="BJ50" s="62">
        <f t="shared" si="89"/>
        <v>0</v>
      </c>
      <c r="BK50" s="62">
        <f t="shared" si="90"/>
        <v>0</v>
      </c>
      <c r="BL50" s="62">
        <f t="shared" si="91"/>
        <v>0</v>
      </c>
      <c r="BM50" s="62">
        <f t="shared" si="92"/>
        <v>0</v>
      </c>
      <c r="BN50" s="62">
        <f t="shared" si="93"/>
        <v>11.111111111111111</v>
      </c>
      <c r="BO50" s="62">
        <f t="shared" si="94"/>
        <v>0</v>
      </c>
      <c r="BP50" s="62">
        <f t="shared" si="95"/>
        <v>0</v>
      </c>
      <c r="BQ50" s="62">
        <f t="shared" si="96"/>
        <v>3.225806451612903</v>
      </c>
    </row>
    <row r="51" spans="1:69">
      <c r="A51" s="3">
        <v>48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1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1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3">
        <f t="shared" ref="BA51" si="119">SUM(AI51:AL51)</f>
        <v>1</v>
      </c>
      <c r="BB51" s="3">
        <f t="shared" si="82"/>
        <v>0</v>
      </c>
      <c r="BC51" s="3">
        <f t="shared" si="83"/>
        <v>0</v>
      </c>
      <c r="BD51" s="3">
        <f t="shared" si="84"/>
        <v>0</v>
      </c>
      <c r="BE51" s="3">
        <f t="shared" si="85"/>
        <v>1</v>
      </c>
      <c r="BF51" s="3">
        <f t="shared" si="86"/>
        <v>0</v>
      </c>
      <c r="BG51" s="3">
        <f t="shared" si="87"/>
        <v>0</v>
      </c>
      <c r="BH51" s="3">
        <f t="shared" si="88"/>
        <v>2</v>
      </c>
      <c r="BJ51" s="62">
        <f t="shared" si="89"/>
        <v>6.25</v>
      </c>
      <c r="BK51" s="62">
        <f t="shared" si="90"/>
        <v>0</v>
      </c>
      <c r="BL51" s="62">
        <f t="shared" si="91"/>
        <v>0</v>
      </c>
      <c r="BM51" s="62">
        <f t="shared" si="92"/>
        <v>0</v>
      </c>
      <c r="BN51" s="62">
        <f t="shared" si="93"/>
        <v>2.7777777777777777</v>
      </c>
      <c r="BO51" s="62">
        <f t="shared" si="94"/>
        <v>0</v>
      </c>
      <c r="BP51" s="62">
        <f t="shared" si="95"/>
        <v>0</v>
      </c>
      <c r="BQ51" s="62">
        <f t="shared" si="96"/>
        <v>1.6129032258064515</v>
      </c>
    </row>
    <row r="52" spans="1:69">
      <c r="A52" s="3">
        <v>49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3">
        <f t="shared" ref="BA52" si="120">SUM(AI52:AL52)</f>
        <v>0</v>
      </c>
      <c r="BB52" s="3">
        <f t="shared" si="82"/>
        <v>0</v>
      </c>
      <c r="BC52" s="3">
        <f t="shared" si="83"/>
        <v>0</v>
      </c>
      <c r="BD52" s="3">
        <f t="shared" si="84"/>
        <v>0</v>
      </c>
      <c r="BE52" s="3">
        <f t="shared" si="85"/>
        <v>0</v>
      </c>
      <c r="BF52" s="3">
        <f t="shared" si="86"/>
        <v>0</v>
      </c>
      <c r="BG52" s="3">
        <f t="shared" si="87"/>
        <v>0</v>
      </c>
      <c r="BH52" s="3">
        <f t="shared" si="88"/>
        <v>0</v>
      </c>
      <c r="BJ52" s="62">
        <f t="shared" si="89"/>
        <v>0</v>
      </c>
      <c r="BK52" s="62">
        <f t="shared" si="90"/>
        <v>0</v>
      </c>
      <c r="BL52" s="62">
        <f t="shared" si="91"/>
        <v>0</v>
      </c>
      <c r="BM52" s="62">
        <f t="shared" si="92"/>
        <v>0</v>
      </c>
      <c r="BN52" s="62">
        <f t="shared" si="93"/>
        <v>0</v>
      </c>
      <c r="BO52" s="62">
        <f t="shared" si="94"/>
        <v>0</v>
      </c>
      <c r="BP52" s="62">
        <f t="shared" si="95"/>
        <v>0</v>
      </c>
      <c r="BQ52" s="62">
        <f t="shared" si="96"/>
        <v>0</v>
      </c>
    </row>
    <row r="53" spans="1:69">
      <c r="A53" s="3">
        <v>50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6">
        <v>1</v>
      </c>
      <c r="W53" s="6">
        <v>1</v>
      </c>
      <c r="X53" s="6">
        <v>1</v>
      </c>
      <c r="Y53" s="6">
        <v>1</v>
      </c>
      <c r="Z53" s="6">
        <v>2</v>
      </c>
      <c r="AA53" s="6">
        <v>2</v>
      </c>
      <c r="AB53" s="6">
        <v>1</v>
      </c>
      <c r="AC53" s="6">
        <v>1</v>
      </c>
      <c r="AD53" s="6">
        <v>1</v>
      </c>
      <c r="AE53" s="6">
        <v>0</v>
      </c>
      <c r="AF53" s="6">
        <v>0</v>
      </c>
      <c r="AG53" s="6">
        <v>1</v>
      </c>
      <c r="AH53" s="6">
        <v>1</v>
      </c>
      <c r="AI53" s="6">
        <v>2</v>
      </c>
      <c r="AJ53" s="6">
        <v>1</v>
      </c>
      <c r="AK53" s="6">
        <v>0</v>
      </c>
      <c r="AL53" s="6">
        <v>1</v>
      </c>
      <c r="AM53" s="6">
        <v>1</v>
      </c>
      <c r="AN53" s="6">
        <v>1</v>
      </c>
      <c r="AO53" s="6">
        <v>1</v>
      </c>
      <c r="AP53" s="6">
        <v>2</v>
      </c>
      <c r="AQ53" s="6">
        <v>0</v>
      </c>
      <c r="AR53" s="6">
        <v>2</v>
      </c>
      <c r="AS53" s="6">
        <v>2</v>
      </c>
      <c r="AT53" s="6">
        <v>0</v>
      </c>
      <c r="AU53" s="6">
        <v>1</v>
      </c>
      <c r="AV53" s="6">
        <v>0</v>
      </c>
      <c r="AW53" s="6">
        <v>2</v>
      </c>
      <c r="AX53" s="6">
        <v>1</v>
      </c>
      <c r="AY53" s="6">
        <v>1</v>
      </c>
      <c r="AZ53" s="6">
        <v>1</v>
      </c>
      <c r="BA53" s="3">
        <f t="shared" ref="BA53" si="121">SUM(AI53:AL53)</f>
        <v>4</v>
      </c>
      <c r="BB53" s="3">
        <f t="shared" si="82"/>
        <v>0</v>
      </c>
      <c r="BC53" s="3">
        <f t="shared" si="83"/>
        <v>7</v>
      </c>
      <c r="BD53" s="3">
        <f t="shared" si="84"/>
        <v>3</v>
      </c>
      <c r="BE53" s="3">
        <f t="shared" si="85"/>
        <v>9</v>
      </c>
      <c r="BF53" s="3">
        <f t="shared" si="86"/>
        <v>5</v>
      </c>
      <c r="BG53" s="3">
        <f t="shared" si="87"/>
        <v>4</v>
      </c>
      <c r="BH53" s="3">
        <f t="shared" si="88"/>
        <v>32</v>
      </c>
      <c r="BJ53" s="62">
        <f t="shared" si="89"/>
        <v>25</v>
      </c>
      <c r="BK53" s="62">
        <f t="shared" si="90"/>
        <v>0</v>
      </c>
      <c r="BL53" s="62">
        <f t="shared" si="91"/>
        <v>35</v>
      </c>
      <c r="BM53" s="62">
        <f t="shared" si="92"/>
        <v>25</v>
      </c>
      <c r="BN53" s="62">
        <f t="shared" si="93"/>
        <v>25</v>
      </c>
      <c r="BO53" s="62">
        <f t="shared" si="94"/>
        <v>41.666666666666671</v>
      </c>
      <c r="BP53" s="62">
        <f t="shared" si="95"/>
        <v>25</v>
      </c>
      <c r="BQ53" s="62">
        <f t="shared" si="96"/>
        <v>25.806451612903224</v>
      </c>
    </row>
    <row r="54" spans="1:69">
      <c r="A54" s="3">
        <v>51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6">
        <v>1</v>
      </c>
      <c r="W54" s="6">
        <v>1</v>
      </c>
      <c r="X54" s="6">
        <v>1</v>
      </c>
      <c r="Y54" s="6">
        <v>0</v>
      </c>
      <c r="Z54" s="6">
        <v>1</v>
      </c>
      <c r="AA54" s="6">
        <v>1</v>
      </c>
      <c r="AB54" s="6">
        <v>1</v>
      </c>
      <c r="AC54" s="6">
        <v>2</v>
      </c>
      <c r="AD54" s="6">
        <v>2</v>
      </c>
      <c r="AE54" s="6">
        <v>0</v>
      </c>
      <c r="AF54" s="6">
        <v>0</v>
      </c>
      <c r="AG54" s="6">
        <v>0</v>
      </c>
      <c r="AH54" s="6">
        <v>0</v>
      </c>
      <c r="AI54" s="6">
        <v>2</v>
      </c>
      <c r="AJ54" s="6">
        <v>2</v>
      </c>
      <c r="AK54" s="6">
        <v>2</v>
      </c>
      <c r="AL54" s="6">
        <v>2</v>
      </c>
      <c r="AM54" s="6">
        <v>0</v>
      </c>
      <c r="AN54" s="6">
        <v>0</v>
      </c>
      <c r="AO54" s="6">
        <v>0</v>
      </c>
      <c r="AP54" s="6">
        <v>1</v>
      </c>
      <c r="AQ54" s="6">
        <v>0</v>
      </c>
      <c r="AR54" s="6">
        <v>0</v>
      </c>
      <c r="AS54" s="6">
        <v>2</v>
      </c>
      <c r="AT54" s="6">
        <v>0</v>
      </c>
      <c r="AU54" s="6">
        <v>2</v>
      </c>
      <c r="AV54" s="6">
        <v>1</v>
      </c>
      <c r="AW54" s="6">
        <v>1</v>
      </c>
      <c r="AX54" s="6">
        <v>1</v>
      </c>
      <c r="AY54" s="6">
        <v>2</v>
      </c>
      <c r="AZ54" s="6">
        <v>1</v>
      </c>
      <c r="BA54" s="3">
        <f t="shared" ref="BA54" si="122">SUM(AI54:AL54)</f>
        <v>8</v>
      </c>
      <c r="BB54" s="3">
        <f t="shared" si="82"/>
        <v>1</v>
      </c>
      <c r="BC54" s="3">
        <f t="shared" si="83"/>
        <v>1</v>
      </c>
      <c r="BD54" s="3">
        <f t="shared" si="84"/>
        <v>4</v>
      </c>
      <c r="BE54" s="3">
        <f t="shared" si="85"/>
        <v>7</v>
      </c>
      <c r="BF54" s="3">
        <f t="shared" si="86"/>
        <v>5</v>
      </c>
      <c r="BG54" s="3">
        <f t="shared" si="87"/>
        <v>3</v>
      </c>
      <c r="BH54" s="3">
        <f t="shared" si="88"/>
        <v>29</v>
      </c>
      <c r="BJ54" s="62">
        <f t="shared" si="89"/>
        <v>50</v>
      </c>
      <c r="BK54" s="62">
        <f t="shared" si="90"/>
        <v>8.3333333333333321</v>
      </c>
      <c r="BL54" s="62">
        <f t="shared" si="91"/>
        <v>5</v>
      </c>
      <c r="BM54" s="62">
        <f t="shared" si="92"/>
        <v>33.333333333333329</v>
      </c>
      <c r="BN54" s="62">
        <f t="shared" si="93"/>
        <v>19.444444444444446</v>
      </c>
      <c r="BO54" s="62">
        <f t="shared" si="94"/>
        <v>41.666666666666671</v>
      </c>
      <c r="BP54" s="62">
        <f t="shared" si="95"/>
        <v>18.75</v>
      </c>
      <c r="BQ54" s="62">
        <f t="shared" si="96"/>
        <v>23.387096774193548</v>
      </c>
    </row>
    <row r="55" spans="1:69">
      <c r="A55" s="3">
        <v>52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1</v>
      </c>
      <c r="AB55" s="6">
        <v>1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1</v>
      </c>
      <c r="AJ55" s="6">
        <v>1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  <c r="AP55" s="6">
        <v>1</v>
      </c>
      <c r="AQ55" s="6">
        <v>1</v>
      </c>
      <c r="AR55" s="6">
        <v>1</v>
      </c>
      <c r="AS55" s="6">
        <v>2</v>
      </c>
      <c r="AT55" s="6">
        <v>1</v>
      </c>
      <c r="AU55" s="6">
        <v>2</v>
      </c>
      <c r="AV55" s="6">
        <v>1</v>
      </c>
      <c r="AW55" s="6">
        <v>2</v>
      </c>
      <c r="AX55" s="6">
        <v>1</v>
      </c>
      <c r="AY55" s="6">
        <v>1</v>
      </c>
      <c r="AZ55" s="6">
        <v>1</v>
      </c>
      <c r="BA55" s="3">
        <f t="shared" ref="BA55" si="123">SUM(AI55:AL55)</f>
        <v>4</v>
      </c>
      <c r="BB55" s="3">
        <f t="shared" si="82"/>
        <v>3</v>
      </c>
      <c r="BC55" s="3">
        <f t="shared" si="83"/>
        <v>5</v>
      </c>
      <c r="BD55" s="3">
        <f t="shared" si="84"/>
        <v>3</v>
      </c>
      <c r="BE55" s="3">
        <f t="shared" si="85"/>
        <v>2</v>
      </c>
      <c r="BF55" s="3">
        <f t="shared" si="86"/>
        <v>6</v>
      </c>
      <c r="BG55" s="3">
        <f t="shared" si="87"/>
        <v>0</v>
      </c>
      <c r="BH55" s="3">
        <f t="shared" si="88"/>
        <v>23</v>
      </c>
      <c r="BJ55" s="62">
        <f t="shared" si="89"/>
        <v>25</v>
      </c>
      <c r="BK55" s="62">
        <f t="shared" si="90"/>
        <v>25</v>
      </c>
      <c r="BL55" s="62">
        <f t="shared" si="91"/>
        <v>25</v>
      </c>
      <c r="BM55" s="62">
        <f t="shared" si="92"/>
        <v>25</v>
      </c>
      <c r="BN55" s="62">
        <f t="shared" si="93"/>
        <v>5.5555555555555554</v>
      </c>
      <c r="BO55" s="62">
        <f t="shared" si="94"/>
        <v>50</v>
      </c>
      <c r="BP55" s="62">
        <f t="shared" si="95"/>
        <v>0</v>
      </c>
      <c r="BQ55" s="62">
        <f t="shared" si="96"/>
        <v>18.548387096774192</v>
      </c>
    </row>
    <row r="56" spans="1:69">
      <c r="A56" s="3">
        <v>53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6">
        <v>0</v>
      </c>
      <c r="W56" s="6">
        <v>0</v>
      </c>
      <c r="X56" s="6">
        <v>0</v>
      </c>
      <c r="Y56" s="6">
        <v>0</v>
      </c>
      <c r="Z56" s="6">
        <v>1</v>
      </c>
      <c r="AA56" s="6">
        <v>1</v>
      </c>
      <c r="AB56" s="6">
        <v>0</v>
      </c>
      <c r="AC56" s="6">
        <v>1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2</v>
      </c>
      <c r="AJ56" s="6">
        <v>1</v>
      </c>
      <c r="AK56" s="6">
        <v>0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0</v>
      </c>
      <c r="AR56" s="6">
        <v>1</v>
      </c>
      <c r="AS56" s="6">
        <v>2</v>
      </c>
      <c r="AT56" s="6">
        <v>0</v>
      </c>
      <c r="AU56" s="6">
        <v>1</v>
      </c>
      <c r="AV56" s="6">
        <v>0</v>
      </c>
      <c r="AW56" s="6">
        <v>1</v>
      </c>
      <c r="AX56" s="6">
        <v>0</v>
      </c>
      <c r="AY56" s="6">
        <v>0</v>
      </c>
      <c r="AZ56" s="6">
        <v>0</v>
      </c>
      <c r="BA56" s="3">
        <f t="shared" ref="BA56" si="124">SUM(AI56:AL56)</f>
        <v>4</v>
      </c>
      <c r="BB56" s="3">
        <f t="shared" si="82"/>
        <v>0</v>
      </c>
      <c r="BC56" s="3">
        <f t="shared" si="83"/>
        <v>5</v>
      </c>
      <c r="BD56" s="3">
        <f t="shared" si="84"/>
        <v>0</v>
      </c>
      <c r="BE56" s="3">
        <f t="shared" si="85"/>
        <v>3</v>
      </c>
      <c r="BF56" s="3">
        <f t="shared" si="86"/>
        <v>4</v>
      </c>
      <c r="BG56" s="3">
        <f t="shared" si="87"/>
        <v>0</v>
      </c>
      <c r="BH56" s="3">
        <f t="shared" si="88"/>
        <v>16</v>
      </c>
      <c r="BJ56" s="62">
        <f t="shared" si="89"/>
        <v>25</v>
      </c>
      <c r="BK56" s="62">
        <f t="shared" si="90"/>
        <v>0</v>
      </c>
      <c r="BL56" s="62">
        <f t="shared" si="91"/>
        <v>25</v>
      </c>
      <c r="BM56" s="62">
        <f t="shared" si="92"/>
        <v>0</v>
      </c>
      <c r="BN56" s="62">
        <f t="shared" si="93"/>
        <v>8.3333333333333321</v>
      </c>
      <c r="BO56" s="62">
        <f t="shared" si="94"/>
        <v>33.333333333333329</v>
      </c>
      <c r="BP56" s="62">
        <f t="shared" si="95"/>
        <v>0</v>
      </c>
      <c r="BQ56" s="62">
        <f t="shared" si="96"/>
        <v>12.903225806451612</v>
      </c>
    </row>
    <row r="57" spans="1:69">
      <c r="A57" s="3">
        <v>54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2</v>
      </c>
      <c r="AB57" s="6">
        <v>0</v>
      </c>
      <c r="AC57" s="6">
        <v>2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2</v>
      </c>
      <c r="AJ57" s="6">
        <v>0</v>
      </c>
      <c r="AK57" s="6">
        <v>2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2</v>
      </c>
      <c r="AV57" s="6">
        <v>4</v>
      </c>
      <c r="AW57" s="6">
        <v>0</v>
      </c>
      <c r="AX57" s="6">
        <v>0</v>
      </c>
      <c r="AY57" s="6">
        <v>2</v>
      </c>
      <c r="AZ57" s="6">
        <v>0</v>
      </c>
      <c r="BA57" s="3">
        <f t="shared" ref="BA57" si="125">SUM(AI57:AL57)</f>
        <v>4</v>
      </c>
      <c r="BB57" s="3">
        <f t="shared" si="82"/>
        <v>4</v>
      </c>
      <c r="BC57" s="3">
        <f t="shared" si="83"/>
        <v>0</v>
      </c>
      <c r="BD57" s="3">
        <f t="shared" si="84"/>
        <v>2</v>
      </c>
      <c r="BE57" s="3">
        <f t="shared" si="85"/>
        <v>4</v>
      </c>
      <c r="BF57" s="3">
        <f t="shared" si="86"/>
        <v>2</v>
      </c>
      <c r="BG57" s="3">
        <f t="shared" si="87"/>
        <v>0</v>
      </c>
      <c r="BH57" s="3">
        <f t="shared" si="88"/>
        <v>16</v>
      </c>
      <c r="BJ57" s="62">
        <f t="shared" si="89"/>
        <v>25</v>
      </c>
      <c r="BK57" s="62">
        <f t="shared" si="90"/>
        <v>33.333333333333329</v>
      </c>
      <c r="BL57" s="62">
        <f t="shared" si="91"/>
        <v>0</v>
      </c>
      <c r="BM57" s="62">
        <f t="shared" si="92"/>
        <v>16.666666666666664</v>
      </c>
      <c r="BN57" s="62">
        <f t="shared" si="93"/>
        <v>11.111111111111111</v>
      </c>
      <c r="BO57" s="62">
        <f t="shared" si="94"/>
        <v>16.666666666666664</v>
      </c>
      <c r="BP57" s="62">
        <f t="shared" si="95"/>
        <v>0</v>
      </c>
      <c r="BQ57" s="62">
        <f t="shared" si="96"/>
        <v>12.903225806451612</v>
      </c>
    </row>
    <row r="58" spans="1:69">
      <c r="A58" s="3">
        <v>55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6">
        <v>3</v>
      </c>
      <c r="W58" s="6">
        <v>0</v>
      </c>
      <c r="X58" s="6">
        <v>0</v>
      </c>
      <c r="Y58" s="6"/>
      <c r="Z58" s="6">
        <v>3</v>
      </c>
      <c r="AA58" s="6">
        <v>2</v>
      </c>
      <c r="AB58" s="6">
        <v>3</v>
      </c>
      <c r="AC58" s="6">
        <v>2</v>
      </c>
      <c r="AD58" s="6">
        <v>4</v>
      </c>
      <c r="AE58" s="6">
        <v>4</v>
      </c>
      <c r="AF58" s="6">
        <v>4</v>
      </c>
      <c r="AG58" s="6">
        <v>3</v>
      </c>
      <c r="AH58" s="6">
        <v>4</v>
      </c>
      <c r="AI58" s="6">
        <v>4</v>
      </c>
      <c r="AJ58" s="6">
        <v>2</v>
      </c>
      <c r="AK58" s="6">
        <v>4</v>
      </c>
      <c r="AL58" s="6">
        <v>2</v>
      </c>
      <c r="AM58" s="6">
        <v>2</v>
      </c>
      <c r="AN58" s="6">
        <v>2</v>
      </c>
      <c r="AO58" s="6">
        <v>3</v>
      </c>
      <c r="AP58" s="6">
        <v>2</v>
      </c>
      <c r="AQ58" s="6">
        <v>2</v>
      </c>
      <c r="AR58" s="6">
        <v>4</v>
      </c>
      <c r="AS58" s="6">
        <v>1</v>
      </c>
      <c r="AT58" s="6">
        <v>3</v>
      </c>
      <c r="AU58" s="6">
        <v>0</v>
      </c>
      <c r="AV58" s="6">
        <v>3</v>
      </c>
      <c r="AW58" s="6">
        <v>0</v>
      </c>
      <c r="AX58" s="6">
        <v>3</v>
      </c>
      <c r="AY58" s="6">
        <v>1</v>
      </c>
      <c r="AZ58" s="6">
        <v>1</v>
      </c>
      <c r="BA58" s="3">
        <f t="shared" ref="BA58" si="126">SUM(AI58:AL58)</f>
        <v>12</v>
      </c>
      <c r="BB58" s="3">
        <f t="shared" si="82"/>
        <v>8</v>
      </c>
      <c r="BC58" s="3">
        <f t="shared" si="83"/>
        <v>13</v>
      </c>
      <c r="BD58" s="3">
        <f t="shared" si="84"/>
        <v>5</v>
      </c>
      <c r="BE58" s="3">
        <f t="shared" si="85"/>
        <v>29</v>
      </c>
      <c r="BF58" s="3">
        <f t="shared" si="86"/>
        <v>1</v>
      </c>
      <c r="BG58" s="3">
        <f t="shared" si="87"/>
        <v>3</v>
      </c>
      <c r="BH58" s="3">
        <f t="shared" si="88"/>
        <v>71</v>
      </c>
      <c r="BJ58" s="62">
        <f t="shared" si="89"/>
        <v>75</v>
      </c>
      <c r="BK58" s="62">
        <f t="shared" si="90"/>
        <v>66.666666666666657</v>
      </c>
      <c r="BL58" s="62">
        <f t="shared" si="91"/>
        <v>65</v>
      </c>
      <c r="BM58" s="62">
        <f t="shared" si="92"/>
        <v>41.666666666666671</v>
      </c>
      <c r="BN58" s="62">
        <f t="shared" si="93"/>
        <v>80.555555555555557</v>
      </c>
      <c r="BO58" s="62">
        <f t="shared" si="94"/>
        <v>8.3333333333333321</v>
      </c>
      <c r="BP58" s="62">
        <f t="shared" si="95"/>
        <v>18.75</v>
      </c>
      <c r="BQ58" s="62">
        <f t="shared" si="96"/>
        <v>57.258064516129039</v>
      </c>
    </row>
    <row r="59" spans="1:69">
      <c r="A59" s="3">
        <v>56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6">
        <v>0</v>
      </c>
      <c r="W59" s="6">
        <v>0</v>
      </c>
      <c r="X59" s="6">
        <v>0</v>
      </c>
      <c r="Y59" s="6">
        <v>0</v>
      </c>
      <c r="Z59" s="6">
        <v>4</v>
      </c>
      <c r="AA59" s="6">
        <v>4</v>
      </c>
      <c r="AB59" s="6">
        <v>0</v>
      </c>
      <c r="AC59" s="6">
        <v>2</v>
      </c>
      <c r="AD59" s="6">
        <v>0</v>
      </c>
      <c r="AE59" s="6">
        <v>0</v>
      </c>
      <c r="AF59" s="6">
        <v>0</v>
      </c>
      <c r="AG59" s="6">
        <v>2</v>
      </c>
      <c r="AH59" s="6">
        <v>2</v>
      </c>
      <c r="AI59" s="6">
        <v>2</v>
      </c>
      <c r="AJ59" s="6">
        <v>2</v>
      </c>
      <c r="AK59" s="6">
        <v>2</v>
      </c>
      <c r="AL59" s="6">
        <v>2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3">
        <f t="shared" ref="BA59" si="127">SUM(AI59:AL59)</f>
        <v>8</v>
      </c>
      <c r="BB59" s="3">
        <f t="shared" si="82"/>
        <v>0</v>
      </c>
      <c r="BC59" s="3">
        <f t="shared" si="83"/>
        <v>0</v>
      </c>
      <c r="BD59" s="3">
        <f t="shared" si="84"/>
        <v>0</v>
      </c>
      <c r="BE59" s="3">
        <f t="shared" si="85"/>
        <v>14</v>
      </c>
      <c r="BF59" s="3">
        <f t="shared" si="86"/>
        <v>0</v>
      </c>
      <c r="BG59" s="3">
        <f t="shared" si="87"/>
        <v>0</v>
      </c>
      <c r="BH59" s="3">
        <f t="shared" si="88"/>
        <v>22</v>
      </c>
      <c r="BJ59" s="62">
        <f t="shared" si="89"/>
        <v>50</v>
      </c>
      <c r="BK59" s="62">
        <f t="shared" si="90"/>
        <v>0</v>
      </c>
      <c r="BL59" s="62">
        <f t="shared" si="91"/>
        <v>0</v>
      </c>
      <c r="BM59" s="62">
        <f t="shared" si="92"/>
        <v>0</v>
      </c>
      <c r="BN59" s="62">
        <f t="shared" si="93"/>
        <v>38.888888888888893</v>
      </c>
      <c r="BO59" s="62">
        <f t="shared" si="94"/>
        <v>0</v>
      </c>
      <c r="BP59" s="62">
        <f t="shared" si="95"/>
        <v>0</v>
      </c>
      <c r="BQ59" s="62">
        <f t="shared" si="96"/>
        <v>17.741935483870968</v>
      </c>
    </row>
    <row r="60" spans="1:69">
      <c r="A60" s="3">
        <v>57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6">
        <v>0</v>
      </c>
      <c r="W60" s="6">
        <v>0</v>
      </c>
      <c r="X60" s="6">
        <v>1</v>
      </c>
      <c r="Y60" s="6">
        <v>0</v>
      </c>
      <c r="Z60" s="6">
        <v>0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0</v>
      </c>
      <c r="AG60" s="6">
        <v>2</v>
      </c>
      <c r="AH60" s="6">
        <v>0</v>
      </c>
      <c r="AI60" s="6">
        <v>2</v>
      </c>
      <c r="AJ60" s="6">
        <v>2</v>
      </c>
      <c r="AK60" s="6">
        <v>2</v>
      </c>
      <c r="AL60" s="6">
        <v>2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2</v>
      </c>
      <c r="AS60" s="6">
        <v>2</v>
      </c>
      <c r="AT60" s="6">
        <v>1</v>
      </c>
      <c r="AU60" s="6">
        <v>1</v>
      </c>
      <c r="AV60" s="6">
        <v>1</v>
      </c>
      <c r="AW60" s="6">
        <v>1</v>
      </c>
      <c r="AX60" s="6">
        <v>0</v>
      </c>
      <c r="AY60" s="6">
        <v>2</v>
      </c>
      <c r="AZ60" s="6">
        <v>1</v>
      </c>
      <c r="BA60" s="3">
        <f t="shared" ref="BA60" si="128">SUM(AI60:AL60)</f>
        <v>8</v>
      </c>
      <c r="BB60" s="3">
        <f t="shared" si="82"/>
        <v>3</v>
      </c>
      <c r="BC60" s="3">
        <f t="shared" si="83"/>
        <v>6</v>
      </c>
      <c r="BD60" s="3">
        <f t="shared" si="84"/>
        <v>3</v>
      </c>
      <c r="BE60" s="3">
        <f t="shared" si="85"/>
        <v>7</v>
      </c>
      <c r="BF60" s="3">
        <f t="shared" si="86"/>
        <v>4</v>
      </c>
      <c r="BG60" s="3">
        <f t="shared" si="87"/>
        <v>1</v>
      </c>
      <c r="BH60" s="3">
        <f t="shared" si="88"/>
        <v>32</v>
      </c>
      <c r="BJ60" s="62">
        <f t="shared" si="89"/>
        <v>50</v>
      </c>
      <c r="BK60" s="62">
        <f t="shared" si="90"/>
        <v>25</v>
      </c>
      <c r="BL60" s="62">
        <f t="shared" si="91"/>
        <v>30</v>
      </c>
      <c r="BM60" s="62">
        <f t="shared" si="92"/>
        <v>25</v>
      </c>
      <c r="BN60" s="62">
        <f t="shared" si="93"/>
        <v>19.444444444444446</v>
      </c>
      <c r="BO60" s="62">
        <f t="shared" si="94"/>
        <v>33.333333333333329</v>
      </c>
      <c r="BP60" s="62">
        <f t="shared" si="95"/>
        <v>6.25</v>
      </c>
      <c r="BQ60" s="62">
        <f t="shared" si="96"/>
        <v>25.806451612903224</v>
      </c>
    </row>
    <row r="61" spans="1:69">
      <c r="A61" s="3">
        <v>58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6">
        <v>0</v>
      </c>
      <c r="W61" s="6">
        <v>0</v>
      </c>
      <c r="X61" s="6">
        <v>0</v>
      </c>
      <c r="Y61" s="6">
        <v>4</v>
      </c>
      <c r="Z61" s="6">
        <v>1</v>
      </c>
      <c r="AA61" s="6">
        <v>2</v>
      </c>
      <c r="AB61" s="6">
        <v>1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2</v>
      </c>
      <c r="AQ61" s="6">
        <v>0</v>
      </c>
      <c r="AR61" s="6">
        <v>2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1</v>
      </c>
      <c r="AZ61" s="6">
        <v>1</v>
      </c>
      <c r="BA61" s="3">
        <f t="shared" ref="BA61" si="129">SUM(AI61:AL61)</f>
        <v>0</v>
      </c>
      <c r="BB61" s="3">
        <f t="shared" si="82"/>
        <v>0</v>
      </c>
      <c r="BC61" s="3">
        <f t="shared" si="83"/>
        <v>4</v>
      </c>
      <c r="BD61" s="3">
        <f t="shared" si="84"/>
        <v>2</v>
      </c>
      <c r="BE61" s="3">
        <f t="shared" si="85"/>
        <v>4</v>
      </c>
      <c r="BF61" s="3">
        <f t="shared" si="86"/>
        <v>0</v>
      </c>
      <c r="BG61" s="3">
        <f t="shared" si="87"/>
        <v>4</v>
      </c>
      <c r="BH61" s="3">
        <f t="shared" si="88"/>
        <v>14</v>
      </c>
      <c r="BJ61" s="62">
        <f t="shared" si="89"/>
        <v>0</v>
      </c>
      <c r="BK61" s="62">
        <f t="shared" si="90"/>
        <v>0</v>
      </c>
      <c r="BL61" s="62">
        <f t="shared" si="91"/>
        <v>20</v>
      </c>
      <c r="BM61" s="62">
        <f t="shared" si="92"/>
        <v>16.666666666666664</v>
      </c>
      <c r="BN61" s="62">
        <f t="shared" si="93"/>
        <v>11.111111111111111</v>
      </c>
      <c r="BO61" s="62">
        <f t="shared" si="94"/>
        <v>0</v>
      </c>
      <c r="BP61" s="62">
        <f t="shared" si="95"/>
        <v>25</v>
      </c>
      <c r="BQ61" s="62">
        <f t="shared" si="96"/>
        <v>11.29032258064516</v>
      </c>
    </row>
    <row r="62" spans="1:69">
      <c r="A62" s="3">
        <v>59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6">
        <v>0</v>
      </c>
      <c r="W62" s="6">
        <v>0</v>
      </c>
      <c r="X62" s="6">
        <v>1</v>
      </c>
      <c r="Y62" s="6">
        <v>0</v>
      </c>
      <c r="Z62" s="6">
        <v>0</v>
      </c>
      <c r="AA62" s="6">
        <v>1</v>
      </c>
      <c r="AB62" s="6">
        <v>0</v>
      </c>
      <c r="AC62" s="6">
        <v>2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1</v>
      </c>
      <c r="AZ62" s="6">
        <v>1</v>
      </c>
      <c r="BA62" s="3">
        <f t="shared" ref="BA62" si="130">SUM(AI62:AL62)</f>
        <v>0</v>
      </c>
      <c r="BB62" s="3">
        <f t="shared" si="82"/>
        <v>0</v>
      </c>
      <c r="BC62" s="3">
        <f t="shared" si="83"/>
        <v>0</v>
      </c>
      <c r="BD62" s="3">
        <f t="shared" si="84"/>
        <v>2</v>
      </c>
      <c r="BE62" s="3">
        <f t="shared" si="85"/>
        <v>3</v>
      </c>
      <c r="BF62" s="3">
        <f t="shared" si="86"/>
        <v>0</v>
      </c>
      <c r="BG62" s="3">
        <f t="shared" si="87"/>
        <v>1</v>
      </c>
      <c r="BH62" s="3">
        <f t="shared" si="88"/>
        <v>6</v>
      </c>
      <c r="BJ62" s="62">
        <f t="shared" si="89"/>
        <v>0</v>
      </c>
      <c r="BK62" s="62">
        <f t="shared" si="90"/>
        <v>0</v>
      </c>
      <c r="BL62" s="62">
        <f t="shared" si="91"/>
        <v>0</v>
      </c>
      <c r="BM62" s="62">
        <f t="shared" si="92"/>
        <v>16.666666666666664</v>
      </c>
      <c r="BN62" s="62">
        <f t="shared" si="93"/>
        <v>8.3333333333333321</v>
      </c>
      <c r="BO62" s="62">
        <f t="shared" si="94"/>
        <v>0</v>
      </c>
      <c r="BP62" s="62">
        <f t="shared" si="95"/>
        <v>6.25</v>
      </c>
      <c r="BQ62" s="62">
        <f t="shared" si="96"/>
        <v>4.838709677419355</v>
      </c>
    </row>
    <row r="63" spans="1:69">
      <c r="A63" s="3">
        <v>60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6">
        <v>3</v>
      </c>
      <c r="W63" s="6">
        <v>0</v>
      </c>
      <c r="X63" s="6">
        <v>0</v>
      </c>
      <c r="Y63" s="6">
        <v>0</v>
      </c>
      <c r="Z63" s="6">
        <v>2</v>
      </c>
      <c r="AA63" s="6">
        <v>2</v>
      </c>
      <c r="AB63" s="6">
        <v>1</v>
      </c>
      <c r="AC63" s="6">
        <v>1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2</v>
      </c>
      <c r="AJ63" s="6">
        <v>2</v>
      </c>
      <c r="AK63" s="6">
        <v>1</v>
      </c>
      <c r="AL63" s="6">
        <v>2</v>
      </c>
      <c r="AM63" s="6">
        <v>2</v>
      </c>
      <c r="AN63" s="6">
        <v>1</v>
      </c>
      <c r="AO63" s="6">
        <v>1</v>
      </c>
      <c r="AP63" s="6">
        <v>2</v>
      </c>
      <c r="AQ63" s="6">
        <v>3</v>
      </c>
      <c r="AR63" s="6">
        <v>3</v>
      </c>
      <c r="AS63" s="6">
        <v>2</v>
      </c>
      <c r="AT63" s="6">
        <v>2</v>
      </c>
      <c r="AU63" s="6">
        <v>0</v>
      </c>
      <c r="AV63" s="6">
        <v>2</v>
      </c>
      <c r="AW63" s="6">
        <v>0</v>
      </c>
      <c r="AX63" s="6">
        <v>1</v>
      </c>
      <c r="AY63" s="6">
        <v>2</v>
      </c>
      <c r="AZ63" s="6">
        <v>1</v>
      </c>
      <c r="BA63" s="3">
        <f t="shared" ref="BA63:BA64" si="131">SUM(AI63:AL63)</f>
        <v>7</v>
      </c>
      <c r="BB63" s="3">
        <f t="shared" si="82"/>
        <v>7</v>
      </c>
      <c r="BC63" s="3">
        <f t="shared" si="83"/>
        <v>9</v>
      </c>
      <c r="BD63" s="3">
        <f t="shared" si="84"/>
        <v>4</v>
      </c>
      <c r="BE63" s="3">
        <f t="shared" si="85"/>
        <v>7</v>
      </c>
      <c r="BF63" s="3">
        <f t="shared" si="86"/>
        <v>2</v>
      </c>
      <c r="BG63" s="3">
        <f t="shared" si="87"/>
        <v>3</v>
      </c>
      <c r="BH63" s="3">
        <f t="shared" si="88"/>
        <v>39</v>
      </c>
      <c r="BJ63" s="62">
        <f t="shared" si="89"/>
        <v>43.75</v>
      </c>
      <c r="BK63" s="62">
        <f t="shared" si="90"/>
        <v>58.333333333333336</v>
      </c>
      <c r="BL63" s="62">
        <f t="shared" si="91"/>
        <v>45</v>
      </c>
      <c r="BM63" s="62">
        <f t="shared" si="92"/>
        <v>33.333333333333329</v>
      </c>
      <c r="BN63" s="62">
        <f t="shared" si="93"/>
        <v>19.444444444444446</v>
      </c>
      <c r="BO63" s="62">
        <f t="shared" si="94"/>
        <v>16.666666666666664</v>
      </c>
      <c r="BP63" s="62">
        <f t="shared" si="95"/>
        <v>18.75</v>
      </c>
      <c r="BQ63" s="62">
        <f t="shared" si="96"/>
        <v>31.451612903225808</v>
      </c>
    </row>
    <row r="64" spans="1:69">
      <c r="A64" s="3">
        <v>61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6">
        <v>1</v>
      </c>
      <c r="W64" s="6">
        <v>0</v>
      </c>
      <c r="X64" s="6">
        <v>0</v>
      </c>
      <c r="Y64" s="6">
        <v>0</v>
      </c>
      <c r="Z64" s="6">
        <v>0</v>
      </c>
      <c r="AA64" s="6">
        <v>1</v>
      </c>
      <c r="AB64" s="6">
        <v>0</v>
      </c>
      <c r="AC64" s="6">
        <v>1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1</v>
      </c>
      <c r="AJ64" s="6">
        <v>1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1</v>
      </c>
      <c r="AY64" s="6">
        <v>1</v>
      </c>
      <c r="AZ64" s="6">
        <v>0</v>
      </c>
      <c r="BA64" s="3">
        <f t="shared" si="131"/>
        <v>2</v>
      </c>
      <c r="BB64" s="3">
        <f t="shared" si="82"/>
        <v>0</v>
      </c>
      <c r="BC64" s="3">
        <f t="shared" si="83"/>
        <v>0</v>
      </c>
      <c r="BD64" s="3">
        <f t="shared" si="84"/>
        <v>2</v>
      </c>
      <c r="BE64" s="3">
        <f t="shared" si="85"/>
        <v>2</v>
      </c>
      <c r="BF64" s="3">
        <f t="shared" si="86"/>
        <v>0</v>
      </c>
      <c r="BG64" s="3">
        <f t="shared" si="87"/>
        <v>1</v>
      </c>
      <c r="BH64" s="3">
        <f t="shared" si="88"/>
        <v>7</v>
      </c>
      <c r="BJ64" s="62">
        <f t="shared" si="89"/>
        <v>12.5</v>
      </c>
      <c r="BK64" s="62">
        <f t="shared" si="90"/>
        <v>0</v>
      </c>
      <c r="BL64" s="62">
        <f t="shared" si="91"/>
        <v>0</v>
      </c>
      <c r="BM64" s="62">
        <f t="shared" si="92"/>
        <v>16.666666666666664</v>
      </c>
      <c r="BN64" s="62">
        <f t="shared" si="93"/>
        <v>5.5555555555555554</v>
      </c>
      <c r="BO64" s="62">
        <f t="shared" si="94"/>
        <v>0</v>
      </c>
      <c r="BP64" s="62">
        <f t="shared" si="95"/>
        <v>6.25</v>
      </c>
      <c r="BQ64" s="62">
        <f t="shared" si="96"/>
        <v>5.6451612903225801</v>
      </c>
    </row>
    <row r="65" spans="1:69">
      <c r="A65" s="3">
        <v>62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6">
        <v>0</v>
      </c>
      <c r="W65" s="6">
        <v>0</v>
      </c>
      <c r="X65" s="6">
        <v>2</v>
      </c>
      <c r="Y65" s="6">
        <v>1</v>
      </c>
      <c r="Z65" s="6"/>
      <c r="AA65" s="6"/>
      <c r="AB65" s="6">
        <v>1</v>
      </c>
      <c r="AC65" s="6">
        <v>1</v>
      </c>
      <c r="AD65" s="6">
        <v>0</v>
      </c>
      <c r="AE65" s="6"/>
      <c r="AF65" s="6">
        <v>1</v>
      </c>
      <c r="AG65" s="6">
        <v>0</v>
      </c>
      <c r="AH65" s="6">
        <v>2</v>
      </c>
      <c r="AI65" s="6">
        <v>2</v>
      </c>
      <c r="AJ65" s="6">
        <v>1</v>
      </c>
      <c r="AK65" s="6">
        <v>1</v>
      </c>
      <c r="AL65" s="6">
        <v>0</v>
      </c>
      <c r="AM65" s="6">
        <v>0</v>
      </c>
      <c r="AN65" s="6">
        <v>2</v>
      </c>
      <c r="AO65" s="6">
        <v>1</v>
      </c>
      <c r="AP65" s="6">
        <v>0</v>
      </c>
      <c r="AQ65" s="6">
        <v>0</v>
      </c>
      <c r="AR65" s="6"/>
      <c r="AS65" s="6">
        <v>0</v>
      </c>
      <c r="AT65" s="6"/>
      <c r="AU65" s="6">
        <v>0</v>
      </c>
      <c r="AV65" s="6"/>
      <c r="AW65" s="6"/>
      <c r="AX65" s="6"/>
      <c r="AY65" s="6"/>
      <c r="AZ65" s="6"/>
      <c r="BA65" s="3">
        <f t="shared" ref="BA65" si="132">SUM(AI65:AL65)</f>
        <v>4</v>
      </c>
      <c r="BB65" s="3">
        <f t="shared" si="82"/>
        <v>0</v>
      </c>
      <c r="BC65" s="3">
        <f t="shared" si="83"/>
        <v>3</v>
      </c>
      <c r="BD65" s="3">
        <f t="shared" si="84"/>
        <v>0</v>
      </c>
      <c r="BE65" s="3">
        <f t="shared" si="85"/>
        <v>5</v>
      </c>
      <c r="BF65" s="3">
        <f t="shared" si="86"/>
        <v>0</v>
      </c>
      <c r="BG65" s="3">
        <f t="shared" si="87"/>
        <v>3</v>
      </c>
      <c r="BH65" s="3">
        <f t="shared" si="88"/>
        <v>15</v>
      </c>
      <c r="BJ65" s="62">
        <f t="shared" si="89"/>
        <v>25</v>
      </c>
      <c r="BK65" s="62">
        <f t="shared" si="90"/>
        <v>0</v>
      </c>
      <c r="BL65" s="62">
        <f t="shared" si="91"/>
        <v>15</v>
      </c>
      <c r="BM65" s="62">
        <f t="shared" si="92"/>
        <v>0</v>
      </c>
      <c r="BN65" s="62">
        <f t="shared" si="93"/>
        <v>13.888888888888889</v>
      </c>
      <c r="BO65" s="62">
        <f t="shared" si="94"/>
        <v>0</v>
      </c>
      <c r="BP65" s="62">
        <f t="shared" si="95"/>
        <v>18.75</v>
      </c>
      <c r="BQ65" s="62">
        <f t="shared" si="96"/>
        <v>12.096774193548388</v>
      </c>
    </row>
    <row r="66" spans="1:69">
      <c r="A66" s="3">
        <v>63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6">
        <v>0</v>
      </c>
      <c r="W66" s="6">
        <v>0</v>
      </c>
      <c r="X66" s="6">
        <v>0</v>
      </c>
      <c r="Y66" s="6">
        <v>0</v>
      </c>
      <c r="Z66" s="6">
        <v>2</v>
      </c>
      <c r="AA66" s="6">
        <v>2</v>
      </c>
      <c r="AB66" s="6">
        <v>1</v>
      </c>
      <c r="AC66" s="6">
        <v>1</v>
      </c>
      <c r="AD66" s="6">
        <v>1</v>
      </c>
      <c r="AE66" s="6">
        <v>1</v>
      </c>
      <c r="AF66" s="6">
        <v>0</v>
      </c>
      <c r="AG66" s="6">
        <v>2</v>
      </c>
      <c r="AH66" s="6">
        <v>1</v>
      </c>
      <c r="AI66" s="6">
        <v>2</v>
      </c>
      <c r="AJ66" s="6">
        <v>2</v>
      </c>
      <c r="AK66" s="6">
        <v>2</v>
      </c>
      <c r="AL66" s="6">
        <v>2</v>
      </c>
      <c r="AM66" s="6">
        <v>1</v>
      </c>
      <c r="AN66" s="6">
        <v>0</v>
      </c>
      <c r="AO66" s="6">
        <v>0</v>
      </c>
      <c r="AP66" s="6">
        <v>0</v>
      </c>
      <c r="AQ66" s="6">
        <v>1</v>
      </c>
      <c r="AR66" s="6">
        <v>1</v>
      </c>
      <c r="AS66" s="6">
        <v>2</v>
      </c>
      <c r="AT66" s="6">
        <v>1</v>
      </c>
      <c r="AU66" s="6">
        <v>2</v>
      </c>
      <c r="AV66" s="6">
        <v>0</v>
      </c>
      <c r="AW66" s="6">
        <v>2</v>
      </c>
      <c r="AX66" s="6">
        <v>1</v>
      </c>
      <c r="AY66" s="6">
        <v>2</v>
      </c>
      <c r="AZ66" s="6">
        <v>2</v>
      </c>
      <c r="BA66" s="3">
        <f t="shared" ref="BA66" si="133">SUM(AI66:AL66)</f>
        <v>8</v>
      </c>
      <c r="BB66" s="3">
        <f t="shared" si="82"/>
        <v>2</v>
      </c>
      <c r="BC66" s="3">
        <f t="shared" si="83"/>
        <v>2</v>
      </c>
      <c r="BD66" s="3">
        <f t="shared" si="84"/>
        <v>5</v>
      </c>
      <c r="BE66" s="3">
        <f t="shared" si="85"/>
        <v>11</v>
      </c>
      <c r="BF66" s="3">
        <f t="shared" si="86"/>
        <v>6</v>
      </c>
      <c r="BG66" s="3">
        <f t="shared" si="87"/>
        <v>0</v>
      </c>
      <c r="BH66" s="3">
        <f t="shared" si="88"/>
        <v>34</v>
      </c>
      <c r="BJ66" s="62">
        <f t="shared" si="89"/>
        <v>50</v>
      </c>
      <c r="BK66" s="62">
        <f t="shared" si="90"/>
        <v>16.666666666666664</v>
      </c>
      <c r="BL66" s="62">
        <f t="shared" si="91"/>
        <v>10</v>
      </c>
      <c r="BM66" s="62">
        <f t="shared" si="92"/>
        <v>41.666666666666671</v>
      </c>
      <c r="BN66" s="62">
        <f t="shared" si="93"/>
        <v>30.555555555555557</v>
      </c>
      <c r="BO66" s="62">
        <f t="shared" si="94"/>
        <v>50</v>
      </c>
      <c r="BP66" s="62">
        <f t="shared" si="95"/>
        <v>0</v>
      </c>
      <c r="BQ66" s="62">
        <f t="shared" si="96"/>
        <v>27.419354838709676</v>
      </c>
    </row>
    <row r="67" spans="1:69">
      <c r="A67" s="3">
        <v>64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6">
        <v>0</v>
      </c>
      <c r="W67" s="6">
        <v>0</v>
      </c>
      <c r="X67" s="6">
        <v>0</v>
      </c>
      <c r="Y67" s="6">
        <v>0</v>
      </c>
      <c r="Z67" s="6">
        <v>2</v>
      </c>
      <c r="AA67" s="6">
        <v>2</v>
      </c>
      <c r="AB67" s="6">
        <v>2</v>
      </c>
      <c r="AC67" s="6">
        <v>1</v>
      </c>
      <c r="AD67" s="6">
        <v>1</v>
      </c>
      <c r="AE67" s="6">
        <v>0</v>
      </c>
      <c r="AF67" s="6">
        <v>0</v>
      </c>
      <c r="AG67" s="6">
        <v>0</v>
      </c>
      <c r="AH67" s="6">
        <v>0</v>
      </c>
      <c r="AI67" s="6">
        <v>2</v>
      </c>
      <c r="AJ67" s="6">
        <v>2</v>
      </c>
      <c r="AK67" s="6">
        <v>2</v>
      </c>
      <c r="AL67" s="6">
        <v>2</v>
      </c>
      <c r="AM67" s="6">
        <v>1</v>
      </c>
      <c r="AN67" s="6">
        <v>0</v>
      </c>
      <c r="AO67" s="6">
        <v>0</v>
      </c>
      <c r="AP67" s="6">
        <v>1</v>
      </c>
      <c r="AQ67" s="6">
        <v>1</v>
      </c>
      <c r="AR67" s="6">
        <v>0</v>
      </c>
      <c r="AS67" s="6">
        <v>2</v>
      </c>
      <c r="AT67" s="6">
        <v>0</v>
      </c>
      <c r="AU67" s="6">
        <v>2</v>
      </c>
      <c r="AV67" s="6">
        <v>1</v>
      </c>
      <c r="AW67" s="6">
        <v>2</v>
      </c>
      <c r="AX67" s="6">
        <v>0</v>
      </c>
      <c r="AY67" s="6">
        <v>2</v>
      </c>
      <c r="AZ67" s="6">
        <v>1</v>
      </c>
      <c r="BA67" s="3">
        <f t="shared" ref="BA67" si="134">SUM(AI67:AL67)</f>
        <v>8</v>
      </c>
      <c r="BB67" s="3">
        <f t="shared" si="82"/>
        <v>2</v>
      </c>
      <c r="BC67" s="3">
        <f t="shared" si="83"/>
        <v>2</v>
      </c>
      <c r="BD67" s="3">
        <f t="shared" si="84"/>
        <v>3</v>
      </c>
      <c r="BE67" s="3">
        <f t="shared" si="85"/>
        <v>8</v>
      </c>
      <c r="BF67" s="3">
        <f t="shared" si="86"/>
        <v>6</v>
      </c>
      <c r="BG67" s="3">
        <f t="shared" si="87"/>
        <v>0</v>
      </c>
      <c r="BH67" s="3">
        <f t="shared" si="88"/>
        <v>29</v>
      </c>
      <c r="BJ67" s="62">
        <f t="shared" si="89"/>
        <v>50</v>
      </c>
      <c r="BK67" s="62">
        <f t="shared" si="90"/>
        <v>16.666666666666664</v>
      </c>
      <c r="BL67" s="62">
        <f t="shared" si="91"/>
        <v>10</v>
      </c>
      <c r="BM67" s="62">
        <f t="shared" si="92"/>
        <v>25</v>
      </c>
      <c r="BN67" s="62">
        <f t="shared" si="93"/>
        <v>22.222222222222221</v>
      </c>
      <c r="BO67" s="62">
        <f t="shared" si="94"/>
        <v>50</v>
      </c>
      <c r="BP67" s="62">
        <f t="shared" si="95"/>
        <v>0</v>
      </c>
      <c r="BQ67" s="62">
        <f t="shared" si="96"/>
        <v>23.387096774193548</v>
      </c>
    </row>
    <row r="68" spans="1:69">
      <c r="A68" s="3">
        <v>65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6">
        <v>0</v>
      </c>
      <c r="W68" s="6">
        <v>0</v>
      </c>
      <c r="X68" s="6">
        <v>0</v>
      </c>
      <c r="Y68" s="6">
        <v>0</v>
      </c>
      <c r="Z68" s="6">
        <v>2</v>
      </c>
      <c r="AA68" s="6">
        <v>2</v>
      </c>
      <c r="AB68" s="6">
        <v>0</v>
      </c>
      <c r="AC68" s="6">
        <v>2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2</v>
      </c>
      <c r="AJ68" s="6">
        <v>2</v>
      </c>
      <c r="AK68" s="6">
        <v>2</v>
      </c>
      <c r="AL68" s="6">
        <v>2</v>
      </c>
      <c r="AM68" s="6">
        <v>1</v>
      </c>
      <c r="AN68" s="6">
        <v>0</v>
      </c>
      <c r="AO68" s="6">
        <v>1</v>
      </c>
      <c r="AP68" s="6">
        <v>0</v>
      </c>
      <c r="AQ68" s="6">
        <v>1</v>
      </c>
      <c r="AR68" s="6">
        <v>0</v>
      </c>
      <c r="AS68" s="6">
        <v>1</v>
      </c>
      <c r="AT68" s="6">
        <v>1</v>
      </c>
      <c r="AU68" s="6">
        <v>1</v>
      </c>
      <c r="AV68" s="6">
        <v>3</v>
      </c>
      <c r="AW68" s="6">
        <v>0</v>
      </c>
      <c r="AX68" s="6">
        <v>0</v>
      </c>
      <c r="AY68" s="6">
        <v>0</v>
      </c>
      <c r="AZ68" s="6">
        <v>0</v>
      </c>
      <c r="BA68" s="3">
        <f t="shared" ref="BA68" si="135">SUM(AI68:AL68)</f>
        <v>8</v>
      </c>
      <c r="BB68" s="3">
        <f t="shared" si="82"/>
        <v>5</v>
      </c>
      <c r="BC68" s="3">
        <f t="shared" si="83"/>
        <v>2</v>
      </c>
      <c r="BD68" s="3">
        <f t="shared" si="84"/>
        <v>0</v>
      </c>
      <c r="BE68" s="3">
        <f t="shared" si="85"/>
        <v>6</v>
      </c>
      <c r="BF68" s="3">
        <f t="shared" si="86"/>
        <v>2</v>
      </c>
      <c r="BG68" s="3">
        <f t="shared" si="87"/>
        <v>0</v>
      </c>
      <c r="BH68" s="3">
        <f t="shared" si="88"/>
        <v>23</v>
      </c>
      <c r="BJ68" s="62">
        <f t="shared" si="89"/>
        <v>50</v>
      </c>
      <c r="BK68" s="62">
        <f t="shared" si="90"/>
        <v>41.666666666666671</v>
      </c>
      <c r="BL68" s="62">
        <f t="shared" si="91"/>
        <v>10</v>
      </c>
      <c r="BM68" s="62">
        <f t="shared" si="92"/>
        <v>0</v>
      </c>
      <c r="BN68" s="62">
        <f t="shared" si="93"/>
        <v>16.666666666666664</v>
      </c>
      <c r="BO68" s="62">
        <f t="shared" si="94"/>
        <v>16.666666666666664</v>
      </c>
      <c r="BP68" s="62">
        <f t="shared" si="95"/>
        <v>0</v>
      </c>
      <c r="BQ68" s="62">
        <f t="shared" si="96"/>
        <v>18.548387096774192</v>
      </c>
    </row>
    <row r="69" spans="1:69">
      <c r="A69" s="3">
        <v>66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6">
        <v>0</v>
      </c>
      <c r="W69" s="6">
        <v>0</v>
      </c>
      <c r="X69" s="6">
        <v>1</v>
      </c>
      <c r="Y69" s="6">
        <v>1</v>
      </c>
      <c r="Z69" s="6">
        <v>1</v>
      </c>
      <c r="AA69" s="6">
        <v>2</v>
      </c>
      <c r="AB69" s="6">
        <v>1</v>
      </c>
      <c r="AC69" s="6">
        <v>1</v>
      </c>
      <c r="AD69" s="6">
        <v>1</v>
      </c>
      <c r="AE69" s="6">
        <v>0</v>
      </c>
      <c r="AF69" s="6">
        <v>0</v>
      </c>
      <c r="AG69" s="6">
        <v>0</v>
      </c>
      <c r="AH69" s="6">
        <v>0</v>
      </c>
      <c r="AI69" s="6">
        <v>2</v>
      </c>
      <c r="AJ69" s="6">
        <v>1</v>
      </c>
      <c r="AK69" s="6">
        <v>1</v>
      </c>
      <c r="AL69" s="6">
        <v>1</v>
      </c>
      <c r="AM69" s="6">
        <v>1</v>
      </c>
      <c r="AN69" s="6">
        <v>0</v>
      </c>
      <c r="AO69" s="6">
        <v>0</v>
      </c>
      <c r="AP69" s="6">
        <v>2</v>
      </c>
      <c r="AQ69" s="6">
        <v>0</v>
      </c>
      <c r="AR69" s="6">
        <v>1</v>
      </c>
      <c r="AS69" s="6">
        <v>3</v>
      </c>
      <c r="AT69" s="6">
        <v>0</v>
      </c>
      <c r="AU69" s="6">
        <v>3</v>
      </c>
      <c r="AV69" s="6">
        <v>0</v>
      </c>
      <c r="AW69" s="6">
        <v>2</v>
      </c>
      <c r="AX69" s="6">
        <v>0</v>
      </c>
      <c r="AY69" s="6">
        <v>1</v>
      </c>
      <c r="AZ69" s="6">
        <v>0</v>
      </c>
      <c r="BA69" s="3">
        <f t="shared" ref="BA69" si="136">SUM(AI69:AL69)</f>
        <v>5</v>
      </c>
      <c r="BB69" s="3">
        <f t="shared" si="82"/>
        <v>0</v>
      </c>
      <c r="BC69" s="3">
        <f t="shared" si="83"/>
        <v>4</v>
      </c>
      <c r="BD69" s="3">
        <f t="shared" si="84"/>
        <v>1</v>
      </c>
      <c r="BE69" s="3">
        <f t="shared" si="85"/>
        <v>6</v>
      </c>
      <c r="BF69" s="3">
        <f t="shared" si="86"/>
        <v>8</v>
      </c>
      <c r="BG69" s="3">
        <f t="shared" si="87"/>
        <v>2</v>
      </c>
      <c r="BH69" s="3">
        <f t="shared" si="88"/>
        <v>26</v>
      </c>
      <c r="BJ69" s="62">
        <f t="shared" si="89"/>
        <v>31.25</v>
      </c>
      <c r="BK69" s="62">
        <f t="shared" si="90"/>
        <v>0</v>
      </c>
      <c r="BL69" s="62">
        <f t="shared" si="91"/>
        <v>20</v>
      </c>
      <c r="BM69" s="62">
        <f t="shared" si="92"/>
        <v>8.3333333333333321</v>
      </c>
      <c r="BN69" s="62">
        <f t="shared" si="93"/>
        <v>16.666666666666664</v>
      </c>
      <c r="BO69" s="62">
        <f t="shared" si="94"/>
        <v>66.666666666666657</v>
      </c>
      <c r="BP69" s="62">
        <f t="shared" si="95"/>
        <v>12.5</v>
      </c>
      <c r="BQ69" s="62">
        <f t="shared" si="96"/>
        <v>20.967741935483872</v>
      </c>
    </row>
    <row r="70" spans="1:69">
      <c r="A70" s="3">
        <v>67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6">
        <v>0</v>
      </c>
      <c r="W70" s="6">
        <v>0</v>
      </c>
      <c r="X70" s="6">
        <v>0</v>
      </c>
      <c r="Y70" s="6">
        <v>0</v>
      </c>
      <c r="Z70" s="6">
        <v>1</v>
      </c>
      <c r="AA70" s="6">
        <v>3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1</v>
      </c>
      <c r="AJ70" s="6">
        <v>1</v>
      </c>
      <c r="AK70" s="6">
        <v>1</v>
      </c>
      <c r="AL70" s="6">
        <v>1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1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3">
        <f t="shared" ref="BA70" si="137">SUM(AI70:AL70)</f>
        <v>4</v>
      </c>
      <c r="BB70" s="3">
        <f t="shared" ref="BB70:BB89" si="138">SUM(AQ70+AT70+AV70)</f>
        <v>0</v>
      </c>
      <c r="BC70" s="3">
        <f t="shared" ref="BC70:BC89" si="139">SUM(AM70+AN70+AO70+AP70+AR70)</f>
        <v>0</v>
      </c>
      <c r="BD70" s="3">
        <f t="shared" ref="BD70:BD89" si="140">SUM(AX70+AY70+AZ70)</f>
        <v>0</v>
      </c>
      <c r="BE70" s="3">
        <f t="shared" ref="BE70:BE89" si="141">SUM(Z70:AH70)</f>
        <v>4</v>
      </c>
      <c r="BF70" s="3">
        <f t="shared" ref="BF70:BF89" si="142">SUM(AS70+AU70+AW70)</f>
        <v>1</v>
      </c>
      <c r="BG70" s="3">
        <f t="shared" ref="BG70:BG89" si="143">SUM(V70:Y70)</f>
        <v>0</v>
      </c>
      <c r="BH70" s="3">
        <f t="shared" ref="BH70:BH89" si="144">SUM(BA70:BG70)</f>
        <v>9</v>
      </c>
      <c r="BJ70" s="62">
        <f t="shared" ref="BJ70:BJ89" si="145">SUM(BA70/16)*100</f>
        <v>25</v>
      </c>
      <c r="BK70" s="62">
        <f t="shared" ref="BK70:BK89" si="146">SUM(BB70/12)*100</f>
        <v>0</v>
      </c>
      <c r="BL70" s="62">
        <f t="shared" ref="BL70:BL89" si="147">SUM(BC70/20)*100</f>
        <v>0</v>
      </c>
      <c r="BM70" s="62">
        <f t="shared" ref="BM70:BM89" si="148">SUM(BD70/12)*100</f>
        <v>0</v>
      </c>
      <c r="BN70" s="62">
        <f t="shared" ref="BN70:BN89" si="149">SUM(BE70/36)*100</f>
        <v>11.111111111111111</v>
      </c>
      <c r="BO70" s="62">
        <f t="shared" ref="BO70:BO89" si="150">SUM(BF70/12)*100</f>
        <v>8.3333333333333321</v>
      </c>
      <c r="BP70" s="62">
        <f t="shared" ref="BP70:BP89" si="151">SUM(BG70/16)*100</f>
        <v>0</v>
      </c>
      <c r="BQ70" s="62">
        <f t="shared" ref="BQ70:BQ89" si="152">SUM(BH70/124)*100</f>
        <v>7.2580645161290329</v>
      </c>
    </row>
    <row r="71" spans="1:69">
      <c r="A71" s="3">
        <v>68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6">
        <v>0</v>
      </c>
      <c r="W71" s="6">
        <v>0</v>
      </c>
      <c r="X71" s="6">
        <v>0</v>
      </c>
      <c r="Y71" s="6">
        <v>0</v>
      </c>
      <c r="Z71" s="6">
        <v>1</v>
      </c>
      <c r="AA71" s="6">
        <v>2</v>
      </c>
      <c r="AB71" s="6">
        <v>0</v>
      </c>
      <c r="AC71" s="6">
        <v>1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1</v>
      </c>
      <c r="AQ71" s="6">
        <v>0</v>
      </c>
      <c r="AR71" s="6">
        <v>0</v>
      </c>
      <c r="AS71" s="6">
        <v>2</v>
      </c>
      <c r="AT71" s="6">
        <v>1</v>
      </c>
      <c r="AU71" s="6">
        <v>2</v>
      </c>
      <c r="AV71" s="6">
        <v>1</v>
      </c>
      <c r="AW71" s="6">
        <v>2</v>
      </c>
      <c r="AX71" s="6">
        <v>0</v>
      </c>
      <c r="AY71" s="6">
        <v>1</v>
      </c>
      <c r="AZ71" s="6">
        <v>1</v>
      </c>
      <c r="BA71" s="3">
        <f t="shared" ref="BA71" si="153">SUM(AI71:AL71)</f>
        <v>0</v>
      </c>
      <c r="BB71" s="3">
        <f t="shared" si="138"/>
        <v>2</v>
      </c>
      <c r="BC71" s="3">
        <f t="shared" si="139"/>
        <v>1</v>
      </c>
      <c r="BD71" s="3">
        <f t="shared" si="140"/>
        <v>2</v>
      </c>
      <c r="BE71" s="3">
        <f t="shared" si="141"/>
        <v>4</v>
      </c>
      <c r="BF71" s="3">
        <f t="shared" si="142"/>
        <v>6</v>
      </c>
      <c r="BG71" s="3">
        <f t="shared" si="143"/>
        <v>0</v>
      </c>
      <c r="BH71" s="3">
        <f t="shared" si="144"/>
        <v>15</v>
      </c>
      <c r="BJ71" s="62">
        <f t="shared" si="145"/>
        <v>0</v>
      </c>
      <c r="BK71" s="62">
        <f t="shared" si="146"/>
        <v>16.666666666666664</v>
      </c>
      <c r="BL71" s="62">
        <f t="shared" si="147"/>
        <v>5</v>
      </c>
      <c r="BM71" s="62">
        <f t="shared" si="148"/>
        <v>16.666666666666664</v>
      </c>
      <c r="BN71" s="62">
        <f t="shared" si="149"/>
        <v>11.111111111111111</v>
      </c>
      <c r="BO71" s="62">
        <f t="shared" si="150"/>
        <v>50</v>
      </c>
      <c r="BP71" s="62">
        <f t="shared" si="151"/>
        <v>0</v>
      </c>
      <c r="BQ71" s="62">
        <f t="shared" si="152"/>
        <v>12.096774193548388</v>
      </c>
    </row>
    <row r="72" spans="1:69">
      <c r="A72" s="3">
        <v>69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6">
        <v>2</v>
      </c>
      <c r="W72" s="6">
        <v>2</v>
      </c>
      <c r="X72" s="6">
        <v>2</v>
      </c>
      <c r="Y72" s="6">
        <v>2</v>
      </c>
      <c r="Z72" s="6">
        <v>2</v>
      </c>
      <c r="AA72" s="6">
        <v>2</v>
      </c>
      <c r="AB72" s="6">
        <v>1</v>
      </c>
      <c r="AC72" s="6">
        <v>3</v>
      </c>
      <c r="AD72" s="6">
        <v>3</v>
      </c>
      <c r="AE72" s="6">
        <v>1</v>
      </c>
      <c r="AF72" s="6">
        <v>0</v>
      </c>
      <c r="AG72" s="6">
        <v>0</v>
      </c>
      <c r="AH72" s="6">
        <v>1</v>
      </c>
      <c r="AI72" s="6">
        <v>2</v>
      </c>
      <c r="AJ72" s="6">
        <v>2</v>
      </c>
      <c r="AK72" s="6">
        <v>2</v>
      </c>
      <c r="AL72" s="6">
        <v>2</v>
      </c>
      <c r="AM72" s="6">
        <v>1</v>
      </c>
      <c r="AN72" s="6">
        <v>1</v>
      </c>
      <c r="AO72" s="6">
        <v>1</v>
      </c>
      <c r="AP72" s="6">
        <v>2</v>
      </c>
      <c r="AQ72" s="6">
        <v>1</v>
      </c>
      <c r="AR72" s="6">
        <v>1</v>
      </c>
      <c r="AS72" s="6">
        <v>1</v>
      </c>
      <c r="AT72" s="6">
        <v>0</v>
      </c>
      <c r="AU72" s="6">
        <v>1</v>
      </c>
      <c r="AV72" s="6">
        <v>0</v>
      </c>
      <c r="AW72" s="6">
        <v>1</v>
      </c>
      <c r="AX72" s="6">
        <v>1</v>
      </c>
      <c r="AY72" s="6">
        <v>2</v>
      </c>
      <c r="AZ72" s="6">
        <v>1</v>
      </c>
      <c r="BA72" s="3">
        <f t="shared" ref="BA72" si="154">SUM(AI72:AL72)</f>
        <v>8</v>
      </c>
      <c r="BB72" s="3">
        <f t="shared" si="138"/>
        <v>1</v>
      </c>
      <c r="BC72" s="3">
        <f t="shared" si="139"/>
        <v>6</v>
      </c>
      <c r="BD72" s="3">
        <f t="shared" si="140"/>
        <v>4</v>
      </c>
      <c r="BE72" s="3">
        <f t="shared" si="141"/>
        <v>13</v>
      </c>
      <c r="BF72" s="3">
        <f t="shared" si="142"/>
        <v>3</v>
      </c>
      <c r="BG72" s="3">
        <f t="shared" si="143"/>
        <v>8</v>
      </c>
      <c r="BH72" s="3">
        <f t="shared" si="144"/>
        <v>43</v>
      </c>
      <c r="BJ72" s="62">
        <f t="shared" si="145"/>
        <v>50</v>
      </c>
      <c r="BK72" s="62">
        <f t="shared" si="146"/>
        <v>8.3333333333333321</v>
      </c>
      <c r="BL72" s="62">
        <f t="shared" si="147"/>
        <v>30</v>
      </c>
      <c r="BM72" s="62">
        <f t="shared" si="148"/>
        <v>33.333333333333329</v>
      </c>
      <c r="BN72" s="62">
        <f t="shared" si="149"/>
        <v>36.111111111111107</v>
      </c>
      <c r="BO72" s="62">
        <f t="shared" si="150"/>
        <v>25</v>
      </c>
      <c r="BP72" s="62">
        <f t="shared" si="151"/>
        <v>50</v>
      </c>
      <c r="BQ72" s="62">
        <f t="shared" si="152"/>
        <v>34.677419354838712</v>
      </c>
    </row>
    <row r="73" spans="1:69">
      <c r="A73" s="3">
        <v>70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6">
        <v>1</v>
      </c>
      <c r="W73" s="6">
        <v>1</v>
      </c>
      <c r="X73" s="6">
        <v>2</v>
      </c>
      <c r="Y73" s="6">
        <v>1</v>
      </c>
      <c r="Z73" s="6">
        <v>1</v>
      </c>
      <c r="AA73" s="6">
        <v>21</v>
      </c>
      <c r="AB73" s="6">
        <v>1</v>
      </c>
      <c r="AC73" s="6">
        <v>2</v>
      </c>
      <c r="AD73" s="6">
        <v>0</v>
      </c>
      <c r="AE73" s="6">
        <v>0</v>
      </c>
      <c r="AF73" s="6">
        <v>1</v>
      </c>
      <c r="AG73" s="6">
        <v>1</v>
      </c>
      <c r="AH73" s="6">
        <v>2</v>
      </c>
      <c r="AI73" s="6">
        <v>2</v>
      </c>
      <c r="AJ73" s="6">
        <v>2</v>
      </c>
      <c r="AK73" s="6">
        <v>2</v>
      </c>
      <c r="AL73" s="6">
        <v>1</v>
      </c>
      <c r="AM73" s="6">
        <v>0</v>
      </c>
      <c r="AN73" s="6">
        <v>0</v>
      </c>
      <c r="AO73" s="6">
        <v>1</v>
      </c>
      <c r="AP73" s="6">
        <v>0</v>
      </c>
      <c r="AQ73" s="6">
        <v>0</v>
      </c>
      <c r="AR73" s="6">
        <v>1</v>
      </c>
      <c r="AS73" s="6">
        <v>0</v>
      </c>
      <c r="AT73" s="6">
        <v>1</v>
      </c>
      <c r="AU73" s="6">
        <v>1</v>
      </c>
      <c r="AV73" s="6">
        <v>1</v>
      </c>
      <c r="AW73" s="6">
        <v>1</v>
      </c>
      <c r="AX73" s="6">
        <v>2</v>
      </c>
      <c r="AY73" s="6">
        <v>1</v>
      </c>
      <c r="AZ73" s="6"/>
      <c r="BA73" s="3">
        <f t="shared" ref="BA73" si="155">SUM(AI73:AL73)</f>
        <v>7</v>
      </c>
      <c r="BB73" s="3">
        <f t="shared" si="138"/>
        <v>2</v>
      </c>
      <c r="BC73" s="3">
        <f t="shared" si="139"/>
        <v>2</v>
      </c>
      <c r="BD73" s="3">
        <f t="shared" si="140"/>
        <v>3</v>
      </c>
      <c r="BE73" s="3">
        <f t="shared" si="141"/>
        <v>29</v>
      </c>
      <c r="BF73" s="3">
        <f t="shared" si="142"/>
        <v>2</v>
      </c>
      <c r="BG73" s="3">
        <f t="shared" si="143"/>
        <v>5</v>
      </c>
      <c r="BH73" s="3">
        <f t="shared" si="144"/>
        <v>50</v>
      </c>
      <c r="BJ73" s="62">
        <f t="shared" si="145"/>
        <v>43.75</v>
      </c>
      <c r="BK73" s="62">
        <f t="shared" si="146"/>
        <v>16.666666666666664</v>
      </c>
      <c r="BL73" s="62">
        <f t="shared" si="147"/>
        <v>10</v>
      </c>
      <c r="BM73" s="62">
        <f t="shared" si="148"/>
        <v>25</v>
      </c>
      <c r="BN73" s="62">
        <f t="shared" si="149"/>
        <v>80.555555555555557</v>
      </c>
      <c r="BO73" s="62">
        <f t="shared" si="150"/>
        <v>16.666666666666664</v>
      </c>
      <c r="BP73" s="62">
        <f t="shared" si="151"/>
        <v>31.25</v>
      </c>
      <c r="BQ73" s="62">
        <f t="shared" si="152"/>
        <v>40.322580645161288</v>
      </c>
    </row>
    <row r="74" spans="1:69">
      <c r="A74" s="3">
        <v>71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6">
        <v>0</v>
      </c>
      <c r="W74" s="6">
        <v>0</v>
      </c>
      <c r="X74" s="6">
        <v>2</v>
      </c>
      <c r="Y74" s="6">
        <v>0</v>
      </c>
      <c r="Z74" s="6">
        <v>2</v>
      </c>
      <c r="AA74" s="6">
        <v>2</v>
      </c>
      <c r="AB74" s="6">
        <v>2</v>
      </c>
      <c r="AC74" s="6">
        <v>3</v>
      </c>
      <c r="AD74" s="6">
        <v>1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1</v>
      </c>
      <c r="AN74" s="6">
        <v>1</v>
      </c>
      <c r="AO74" s="6">
        <v>1</v>
      </c>
      <c r="AP74" s="6">
        <v>1</v>
      </c>
      <c r="AQ74" s="6">
        <v>1</v>
      </c>
      <c r="AR74" s="6">
        <v>1</v>
      </c>
      <c r="AS74" s="6">
        <v>3</v>
      </c>
      <c r="AT74" s="6">
        <v>1</v>
      </c>
      <c r="AU74" s="6">
        <v>3</v>
      </c>
      <c r="AV74" s="6">
        <v>0</v>
      </c>
      <c r="AW74" s="6">
        <v>1</v>
      </c>
      <c r="AX74" s="6">
        <v>0</v>
      </c>
      <c r="AY74" s="6">
        <v>2</v>
      </c>
      <c r="AZ74" s="6">
        <v>0</v>
      </c>
      <c r="BA74" s="3">
        <f t="shared" ref="BA74" si="156">SUM(AI74:AL74)</f>
        <v>0</v>
      </c>
      <c r="BB74" s="3">
        <f t="shared" si="138"/>
        <v>2</v>
      </c>
      <c r="BC74" s="3">
        <f t="shared" si="139"/>
        <v>5</v>
      </c>
      <c r="BD74" s="3">
        <f t="shared" si="140"/>
        <v>2</v>
      </c>
      <c r="BE74" s="3">
        <f t="shared" si="141"/>
        <v>10</v>
      </c>
      <c r="BF74" s="3">
        <f t="shared" si="142"/>
        <v>7</v>
      </c>
      <c r="BG74" s="3">
        <f t="shared" si="143"/>
        <v>2</v>
      </c>
      <c r="BH74" s="3">
        <f t="shared" si="144"/>
        <v>28</v>
      </c>
      <c r="BJ74" s="62">
        <f t="shared" si="145"/>
        <v>0</v>
      </c>
      <c r="BK74" s="62">
        <f t="shared" si="146"/>
        <v>16.666666666666664</v>
      </c>
      <c r="BL74" s="62">
        <f t="shared" si="147"/>
        <v>25</v>
      </c>
      <c r="BM74" s="62">
        <f t="shared" si="148"/>
        <v>16.666666666666664</v>
      </c>
      <c r="BN74" s="62">
        <f t="shared" si="149"/>
        <v>27.777777777777779</v>
      </c>
      <c r="BO74" s="62">
        <f t="shared" si="150"/>
        <v>58.333333333333336</v>
      </c>
      <c r="BP74" s="62">
        <f t="shared" si="151"/>
        <v>12.5</v>
      </c>
      <c r="BQ74" s="62">
        <f t="shared" si="152"/>
        <v>22.58064516129032</v>
      </c>
    </row>
    <row r="75" spans="1:69">
      <c r="A75" s="3">
        <v>72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6">
        <v>0</v>
      </c>
      <c r="W75" s="6">
        <v>1</v>
      </c>
      <c r="X75" s="6">
        <v>1</v>
      </c>
      <c r="Y75" s="6">
        <v>0</v>
      </c>
      <c r="Z75" s="6">
        <v>0</v>
      </c>
      <c r="AA75" s="6"/>
      <c r="AB75" s="6">
        <v>0</v>
      </c>
      <c r="AC75" s="6"/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/>
      <c r="AX75" s="6">
        <v>4</v>
      </c>
      <c r="AY75" s="6">
        <v>0</v>
      </c>
      <c r="AZ75" s="6">
        <v>0</v>
      </c>
      <c r="BA75" s="3">
        <f t="shared" ref="BA75" si="157">SUM(AI75:AL75)</f>
        <v>0</v>
      </c>
      <c r="BB75" s="3">
        <f t="shared" si="138"/>
        <v>0</v>
      </c>
      <c r="BC75" s="3">
        <f t="shared" si="139"/>
        <v>0</v>
      </c>
      <c r="BD75" s="3">
        <f t="shared" si="140"/>
        <v>4</v>
      </c>
      <c r="BE75" s="3">
        <f t="shared" si="141"/>
        <v>0</v>
      </c>
      <c r="BF75" s="3">
        <f t="shared" si="142"/>
        <v>0</v>
      </c>
      <c r="BG75" s="3">
        <f t="shared" si="143"/>
        <v>2</v>
      </c>
      <c r="BH75" s="3">
        <f t="shared" si="144"/>
        <v>6</v>
      </c>
      <c r="BJ75" s="62">
        <f t="shared" si="145"/>
        <v>0</v>
      </c>
      <c r="BK75" s="62">
        <f t="shared" si="146"/>
        <v>0</v>
      </c>
      <c r="BL75" s="62">
        <f t="shared" si="147"/>
        <v>0</v>
      </c>
      <c r="BM75" s="62">
        <f t="shared" si="148"/>
        <v>33.333333333333329</v>
      </c>
      <c r="BN75" s="62">
        <f t="shared" si="149"/>
        <v>0</v>
      </c>
      <c r="BO75" s="62">
        <f t="shared" si="150"/>
        <v>0</v>
      </c>
      <c r="BP75" s="62">
        <f t="shared" si="151"/>
        <v>12.5</v>
      </c>
      <c r="BQ75" s="62">
        <f t="shared" si="152"/>
        <v>4.838709677419355</v>
      </c>
    </row>
    <row r="76" spans="1:69">
      <c r="A76" s="3">
        <v>73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6">
        <v>1</v>
      </c>
      <c r="W76" s="6">
        <v>0</v>
      </c>
      <c r="X76" s="6">
        <v>2</v>
      </c>
      <c r="Y76" s="6">
        <v>0</v>
      </c>
      <c r="Z76" s="6">
        <v>0</v>
      </c>
      <c r="AA76" s="6">
        <v>1</v>
      </c>
      <c r="AB76" s="6">
        <v>0</v>
      </c>
      <c r="AC76" s="6">
        <v>1</v>
      </c>
      <c r="AD76" s="6">
        <v>2</v>
      </c>
      <c r="AE76" s="6">
        <v>0</v>
      </c>
      <c r="AF76" s="6">
        <v>0</v>
      </c>
      <c r="AG76" s="6">
        <v>0</v>
      </c>
      <c r="AH76" s="6">
        <v>0</v>
      </c>
      <c r="AI76" s="6">
        <v>1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1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3">
        <f t="shared" ref="BA76" si="158">SUM(AI76:AL76)</f>
        <v>1</v>
      </c>
      <c r="BB76" s="3">
        <f t="shared" si="138"/>
        <v>0</v>
      </c>
      <c r="BC76" s="3">
        <f t="shared" si="139"/>
        <v>0</v>
      </c>
      <c r="BD76" s="3">
        <f t="shared" si="140"/>
        <v>0</v>
      </c>
      <c r="BE76" s="3">
        <f t="shared" si="141"/>
        <v>4</v>
      </c>
      <c r="BF76" s="3">
        <f t="shared" si="142"/>
        <v>1</v>
      </c>
      <c r="BG76" s="3">
        <f t="shared" si="143"/>
        <v>3</v>
      </c>
      <c r="BH76" s="3">
        <f t="shared" si="144"/>
        <v>9</v>
      </c>
      <c r="BJ76" s="62">
        <f t="shared" si="145"/>
        <v>6.25</v>
      </c>
      <c r="BK76" s="62">
        <f t="shared" si="146"/>
        <v>0</v>
      </c>
      <c r="BL76" s="62">
        <f t="shared" si="147"/>
        <v>0</v>
      </c>
      <c r="BM76" s="62">
        <f t="shared" si="148"/>
        <v>0</v>
      </c>
      <c r="BN76" s="62">
        <f t="shared" si="149"/>
        <v>11.111111111111111</v>
      </c>
      <c r="BO76" s="62">
        <f t="shared" si="150"/>
        <v>8.3333333333333321</v>
      </c>
      <c r="BP76" s="62">
        <f t="shared" si="151"/>
        <v>18.75</v>
      </c>
      <c r="BQ76" s="62">
        <f t="shared" si="152"/>
        <v>7.2580645161290329</v>
      </c>
    </row>
    <row r="77" spans="1:69">
      <c r="A77" s="3">
        <v>74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6">
        <v>0</v>
      </c>
      <c r="W77" s="6">
        <v>0</v>
      </c>
      <c r="X77" s="6">
        <v>0</v>
      </c>
      <c r="Y77" s="6">
        <v>0</v>
      </c>
      <c r="Z77" s="6">
        <v>1</v>
      </c>
      <c r="AA77" s="6">
        <v>1</v>
      </c>
      <c r="AB77" s="6">
        <v>0</v>
      </c>
      <c r="AC77" s="6">
        <v>2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1</v>
      </c>
      <c r="AM77" s="6">
        <v>0</v>
      </c>
      <c r="AN77" s="6">
        <v>0</v>
      </c>
      <c r="AO77" s="6">
        <v>0</v>
      </c>
      <c r="AP77" s="6">
        <v>1</v>
      </c>
      <c r="AQ77" s="6">
        <v>0</v>
      </c>
      <c r="AR77" s="6">
        <v>0</v>
      </c>
      <c r="AS77" s="6">
        <v>1</v>
      </c>
      <c r="AT77" s="6">
        <v>0</v>
      </c>
      <c r="AU77" s="6">
        <v>1</v>
      </c>
      <c r="AV77" s="6">
        <v>0</v>
      </c>
      <c r="AW77" s="6">
        <v>1</v>
      </c>
      <c r="AX77" s="6">
        <v>0</v>
      </c>
      <c r="AY77" s="6">
        <v>1</v>
      </c>
      <c r="AZ77" s="6">
        <v>0</v>
      </c>
      <c r="BA77" s="3">
        <f t="shared" ref="BA77" si="159">SUM(AI77:AL77)</f>
        <v>2</v>
      </c>
      <c r="BB77" s="3">
        <f t="shared" si="138"/>
        <v>0</v>
      </c>
      <c r="BC77" s="3">
        <f t="shared" si="139"/>
        <v>1</v>
      </c>
      <c r="BD77" s="3">
        <f t="shared" si="140"/>
        <v>1</v>
      </c>
      <c r="BE77" s="3">
        <f t="shared" si="141"/>
        <v>6</v>
      </c>
      <c r="BF77" s="3">
        <f t="shared" si="142"/>
        <v>3</v>
      </c>
      <c r="BG77" s="3">
        <f t="shared" si="143"/>
        <v>0</v>
      </c>
      <c r="BH77" s="3">
        <f t="shared" si="144"/>
        <v>13</v>
      </c>
      <c r="BJ77" s="62">
        <f t="shared" si="145"/>
        <v>12.5</v>
      </c>
      <c r="BK77" s="62">
        <f t="shared" si="146"/>
        <v>0</v>
      </c>
      <c r="BL77" s="62">
        <f t="shared" si="147"/>
        <v>5</v>
      </c>
      <c r="BM77" s="62">
        <f t="shared" si="148"/>
        <v>8.3333333333333321</v>
      </c>
      <c r="BN77" s="62">
        <f t="shared" si="149"/>
        <v>16.666666666666664</v>
      </c>
      <c r="BO77" s="62">
        <f t="shared" si="150"/>
        <v>25</v>
      </c>
      <c r="BP77" s="62">
        <f t="shared" si="151"/>
        <v>0</v>
      </c>
      <c r="BQ77" s="62">
        <f t="shared" si="152"/>
        <v>10.483870967741936</v>
      </c>
    </row>
    <row r="78" spans="1:69">
      <c r="A78" s="3">
        <v>75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6">
        <v>0</v>
      </c>
      <c r="W78" s="6">
        <v>0</v>
      </c>
      <c r="X78" s="6">
        <v>0</v>
      </c>
      <c r="Y78" s="6">
        <v>0</v>
      </c>
      <c r="Z78" s="6">
        <v>1</v>
      </c>
      <c r="AA78" s="6">
        <v>4</v>
      </c>
      <c r="AB78" s="6">
        <v>0</v>
      </c>
      <c r="AC78" s="6">
        <v>2</v>
      </c>
      <c r="AD78" s="6">
        <v>1</v>
      </c>
      <c r="AE78" s="6">
        <v>0</v>
      </c>
      <c r="AF78" s="6">
        <v>0</v>
      </c>
      <c r="AG78" s="6">
        <v>0</v>
      </c>
      <c r="AH78" s="6">
        <v>0</v>
      </c>
      <c r="AI78" s="6">
        <v>2</v>
      </c>
      <c r="AJ78" s="6">
        <v>2</v>
      </c>
      <c r="AK78" s="6">
        <v>1</v>
      </c>
      <c r="AL78" s="6">
        <v>1</v>
      </c>
      <c r="AM78" s="6">
        <v>0</v>
      </c>
      <c r="AN78" s="6">
        <v>0</v>
      </c>
      <c r="AO78" s="6">
        <v>0</v>
      </c>
      <c r="AP78" s="6">
        <v>1</v>
      </c>
      <c r="AQ78" s="6">
        <v>0</v>
      </c>
      <c r="AR78" s="6">
        <v>0</v>
      </c>
      <c r="AS78" s="6">
        <v>1</v>
      </c>
      <c r="AT78" s="6">
        <v>0</v>
      </c>
      <c r="AU78" s="6">
        <v>2</v>
      </c>
      <c r="AV78" s="6">
        <v>0</v>
      </c>
      <c r="AW78" s="6">
        <v>1</v>
      </c>
      <c r="AX78" s="6">
        <v>2</v>
      </c>
      <c r="AY78" s="6">
        <v>4</v>
      </c>
      <c r="AZ78" s="6">
        <v>4</v>
      </c>
      <c r="BA78" s="3">
        <f t="shared" ref="BA78" si="160">SUM(AI78:AL78)</f>
        <v>6</v>
      </c>
      <c r="BB78" s="3">
        <f t="shared" si="138"/>
        <v>0</v>
      </c>
      <c r="BC78" s="3">
        <f t="shared" si="139"/>
        <v>1</v>
      </c>
      <c r="BD78" s="3">
        <f t="shared" si="140"/>
        <v>10</v>
      </c>
      <c r="BE78" s="3">
        <f t="shared" si="141"/>
        <v>8</v>
      </c>
      <c r="BF78" s="3">
        <f t="shared" si="142"/>
        <v>4</v>
      </c>
      <c r="BG78" s="3">
        <f t="shared" si="143"/>
        <v>0</v>
      </c>
      <c r="BH78" s="3">
        <f t="shared" si="144"/>
        <v>29</v>
      </c>
      <c r="BJ78" s="62">
        <f t="shared" si="145"/>
        <v>37.5</v>
      </c>
      <c r="BK78" s="62">
        <f t="shared" si="146"/>
        <v>0</v>
      </c>
      <c r="BL78" s="62">
        <f t="shared" si="147"/>
        <v>5</v>
      </c>
      <c r="BM78" s="62">
        <f t="shared" si="148"/>
        <v>83.333333333333343</v>
      </c>
      <c r="BN78" s="62">
        <f t="shared" si="149"/>
        <v>22.222222222222221</v>
      </c>
      <c r="BO78" s="62">
        <f t="shared" si="150"/>
        <v>33.333333333333329</v>
      </c>
      <c r="BP78" s="62">
        <f t="shared" si="151"/>
        <v>0</v>
      </c>
      <c r="BQ78" s="62">
        <f t="shared" si="152"/>
        <v>23.387096774193548</v>
      </c>
    </row>
    <row r="79" spans="1:69">
      <c r="A79" s="3">
        <v>76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6">
        <v>0</v>
      </c>
      <c r="W79" s="6">
        <v>1</v>
      </c>
      <c r="X79" s="6">
        <v>1</v>
      </c>
      <c r="Y79" s="6">
        <v>0</v>
      </c>
      <c r="Z79" s="6">
        <v>1</v>
      </c>
      <c r="AA79" s="6">
        <v>1</v>
      </c>
      <c r="AB79" s="6">
        <v>1</v>
      </c>
      <c r="AC79" s="6">
        <v>1</v>
      </c>
      <c r="AD79" s="6">
        <v>0</v>
      </c>
      <c r="AE79" s="6">
        <v>0</v>
      </c>
      <c r="AF79" s="6">
        <v>0</v>
      </c>
      <c r="AG79" s="6">
        <v>1</v>
      </c>
      <c r="AH79" s="6">
        <v>0</v>
      </c>
      <c r="AI79" s="6">
        <v>0</v>
      </c>
      <c r="AJ79" s="6">
        <v>1</v>
      </c>
      <c r="AK79" s="6">
        <v>2</v>
      </c>
      <c r="AL79" s="6">
        <v>1</v>
      </c>
      <c r="AM79" s="6">
        <v>0</v>
      </c>
      <c r="AN79" s="6">
        <v>0</v>
      </c>
      <c r="AO79" s="6">
        <v>0</v>
      </c>
      <c r="AP79" s="6">
        <v>1</v>
      </c>
      <c r="AQ79" s="6">
        <v>0</v>
      </c>
      <c r="AR79" s="6">
        <v>0</v>
      </c>
      <c r="AS79" s="6"/>
      <c r="AT79" s="6">
        <v>2</v>
      </c>
      <c r="AU79" s="6">
        <v>2</v>
      </c>
      <c r="AV79" s="6">
        <v>2</v>
      </c>
      <c r="AW79" s="6">
        <v>2</v>
      </c>
      <c r="AX79" s="6">
        <v>1</v>
      </c>
      <c r="AY79" s="6">
        <v>2</v>
      </c>
      <c r="AZ79" s="6">
        <v>2</v>
      </c>
      <c r="BA79" s="3">
        <f t="shared" ref="BA79" si="161">SUM(AI79:AL79)</f>
        <v>4</v>
      </c>
      <c r="BB79" s="3">
        <f t="shared" si="138"/>
        <v>4</v>
      </c>
      <c r="BC79" s="3">
        <f t="shared" si="139"/>
        <v>1</v>
      </c>
      <c r="BD79" s="3">
        <f t="shared" si="140"/>
        <v>5</v>
      </c>
      <c r="BE79" s="3">
        <f t="shared" si="141"/>
        <v>5</v>
      </c>
      <c r="BF79" s="3">
        <f t="shared" si="142"/>
        <v>4</v>
      </c>
      <c r="BG79" s="3">
        <f t="shared" si="143"/>
        <v>2</v>
      </c>
      <c r="BH79" s="3">
        <f t="shared" si="144"/>
        <v>25</v>
      </c>
      <c r="BJ79" s="62">
        <f t="shared" si="145"/>
        <v>25</v>
      </c>
      <c r="BK79" s="62">
        <f t="shared" si="146"/>
        <v>33.333333333333329</v>
      </c>
      <c r="BL79" s="62">
        <f t="shared" si="147"/>
        <v>5</v>
      </c>
      <c r="BM79" s="62">
        <f t="shared" si="148"/>
        <v>41.666666666666671</v>
      </c>
      <c r="BN79" s="62">
        <f t="shared" si="149"/>
        <v>13.888888888888889</v>
      </c>
      <c r="BO79" s="62">
        <f t="shared" si="150"/>
        <v>33.333333333333329</v>
      </c>
      <c r="BP79" s="62">
        <f t="shared" si="151"/>
        <v>12.5</v>
      </c>
      <c r="BQ79" s="62">
        <f t="shared" si="152"/>
        <v>20.161290322580644</v>
      </c>
    </row>
    <row r="80" spans="1:69">
      <c r="A80" s="3">
        <v>77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3">
        <f t="shared" ref="BA80" si="162">SUM(AI80:AL80)</f>
        <v>0</v>
      </c>
      <c r="BB80" s="3">
        <f t="shared" si="138"/>
        <v>0</v>
      </c>
      <c r="BC80" s="3">
        <f t="shared" si="139"/>
        <v>0</v>
      </c>
      <c r="BD80" s="3">
        <f t="shared" si="140"/>
        <v>0</v>
      </c>
      <c r="BE80" s="3">
        <f t="shared" si="141"/>
        <v>0</v>
      </c>
      <c r="BF80" s="3">
        <f t="shared" si="142"/>
        <v>0</v>
      </c>
      <c r="BG80" s="3">
        <f t="shared" si="143"/>
        <v>0</v>
      </c>
      <c r="BH80" s="3">
        <f t="shared" si="144"/>
        <v>0</v>
      </c>
      <c r="BJ80" s="62">
        <f t="shared" si="145"/>
        <v>0</v>
      </c>
      <c r="BK80" s="62">
        <f t="shared" si="146"/>
        <v>0</v>
      </c>
      <c r="BL80" s="62">
        <f t="shared" si="147"/>
        <v>0</v>
      </c>
      <c r="BM80" s="62">
        <f t="shared" si="148"/>
        <v>0</v>
      </c>
      <c r="BN80" s="62">
        <f t="shared" si="149"/>
        <v>0</v>
      </c>
      <c r="BO80" s="62">
        <f t="shared" si="150"/>
        <v>0</v>
      </c>
      <c r="BP80" s="62">
        <f t="shared" si="151"/>
        <v>0</v>
      </c>
      <c r="BQ80" s="62">
        <f t="shared" si="152"/>
        <v>0</v>
      </c>
    </row>
    <row r="81" spans="1:69">
      <c r="A81" s="3">
        <v>78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6">
        <v>0</v>
      </c>
      <c r="W81" s="6">
        <v>0</v>
      </c>
      <c r="X81" s="6">
        <v>0</v>
      </c>
      <c r="Y81" s="6">
        <v>0</v>
      </c>
      <c r="Z81" s="6">
        <v>1</v>
      </c>
      <c r="AA81" s="6">
        <v>1</v>
      </c>
      <c r="AB81" s="6">
        <v>0</v>
      </c>
      <c r="AC81" s="6">
        <v>2</v>
      </c>
      <c r="AD81" s="6">
        <v>1</v>
      </c>
      <c r="AE81" s="6">
        <v>0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0</v>
      </c>
      <c r="AL81" s="6">
        <v>0</v>
      </c>
      <c r="AM81" s="6">
        <v>1</v>
      </c>
      <c r="AN81" s="6">
        <v>1</v>
      </c>
      <c r="AO81" s="6">
        <v>1</v>
      </c>
      <c r="AP81" s="6">
        <v>1</v>
      </c>
      <c r="AQ81" s="6">
        <v>0</v>
      </c>
      <c r="AR81" s="6">
        <v>1</v>
      </c>
      <c r="AS81" s="6">
        <v>2</v>
      </c>
      <c r="AT81" s="6">
        <v>0</v>
      </c>
      <c r="AU81" s="6">
        <v>2</v>
      </c>
      <c r="AV81" s="6">
        <v>0</v>
      </c>
      <c r="AW81" s="6">
        <v>1</v>
      </c>
      <c r="AX81" s="6">
        <v>0</v>
      </c>
      <c r="AY81" s="6">
        <v>1</v>
      </c>
      <c r="AZ81" s="6">
        <v>1</v>
      </c>
      <c r="BA81" s="3">
        <f t="shared" ref="BA81" si="163">SUM(AI81:AL81)</f>
        <v>0</v>
      </c>
      <c r="BB81" s="3">
        <f t="shared" si="138"/>
        <v>0</v>
      </c>
      <c r="BC81" s="3">
        <f t="shared" si="139"/>
        <v>5</v>
      </c>
      <c r="BD81" s="3">
        <f t="shared" si="140"/>
        <v>2</v>
      </c>
      <c r="BE81" s="3">
        <f t="shared" si="141"/>
        <v>6</v>
      </c>
      <c r="BF81" s="3">
        <f t="shared" si="142"/>
        <v>5</v>
      </c>
      <c r="BG81" s="3">
        <f t="shared" si="143"/>
        <v>0</v>
      </c>
      <c r="BH81" s="3">
        <f t="shared" si="144"/>
        <v>18</v>
      </c>
      <c r="BJ81" s="62">
        <f t="shared" si="145"/>
        <v>0</v>
      </c>
      <c r="BK81" s="62">
        <f t="shared" si="146"/>
        <v>0</v>
      </c>
      <c r="BL81" s="62">
        <f t="shared" si="147"/>
        <v>25</v>
      </c>
      <c r="BM81" s="62">
        <f t="shared" si="148"/>
        <v>16.666666666666664</v>
      </c>
      <c r="BN81" s="62">
        <f t="shared" si="149"/>
        <v>16.666666666666664</v>
      </c>
      <c r="BO81" s="62">
        <f t="shared" si="150"/>
        <v>41.666666666666671</v>
      </c>
      <c r="BP81" s="62">
        <f t="shared" si="151"/>
        <v>0</v>
      </c>
      <c r="BQ81" s="62">
        <f t="shared" si="152"/>
        <v>14.516129032258066</v>
      </c>
    </row>
    <row r="82" spans="1:69">
      <c r="A82" s="3">
        <v>79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6">
        <v>0</v>
      </c>
      <c r="W82" s="6">
        <v>0</v>
      </c>
      <c r="X82" s="6">
        <v>0</v>
      </c>
      <c r="Y82" s="6">
        <v>1</v>
      </c>
      <c r="Z82" s="6">
        <v>1</v>
      </c>
      <c r="AA82" s="6">
        <v>2</v>
      </c>
      <c r="AB82" s="6">
        <v>1</v>
      </c>
      <c r="AC82" s="6">
        <v>1</v>
      </c>
      <c r="AD82" s="6"/>
      <c r="AE82" s="6">
        <v>0</v>
      </c>
      <c r="AF82" s="6">
        <v>0</v>
      </c>
      <c r="AG82" s="6">
        <v>1</v>
      </c>
      <c r="AH82" s="6">
        <v>1</v>
      </c>
      <c r="AI82" s="6">
        <v>2</v>
      </c>
      <c r="AJ82" s="6">
        <v>2</v>
      </c>
      <c r="AK82" s="6">
        <v>2</v>
      </c>
      <c r="AL82" s="6">
        <v>1</v>
      </c>
      <c r="AM82" s="6">
        <v>1</v>
      </c>
      <c r="AN82" s="6">
        <v>1</v>
      </c>
      <c r="AO82" s="6">
        <v>1</v>
      </c>
      <c r="AP82" s="6">
        <v>0</v>
      </c>
      <c r="AQ82" s="6">
        <v>0</v>
      </c>
      <c r="AR82" s="6">
        <v>0</v>
      </c>
      <c r="AS82" s="6">
        <v>3</v>
      </c>
      <c r="AT82" s="6">
        <v>1</v>
      </c>
      <c r="AU82" s="6">
        <v>2</v>
      </c>
      <c r="AV82" s="6">
        <v>1</v>
      </c>
      <c r="AW82" s="6">
        <v>3</v>
      </c>
      <c r="AX82" s="6">
        <v>1</v>
      </c>
      <c r="AY82" s="6">
        <v>3</v>
      </c>
      <c r="AZ82" s="6">
        <v>2</v>
      </c>
      <c r="BA82" s="3">
        <f t="shared" ref="BA82" si="164">SUM(AI82:AL82)</f>
        <v>7</v>
      </c>
      <c r="BB82" s="3">
        <f t="shared" si="138"/>
        <v>2</v>
      </c>
      <c r="BC82" s="3">
        <f t="shared" si="139"/>
        <v>3</v>
      </c>
      <c r="BD82" s="3">
        <f t="shared" si="140"/>
        <v>6</v>
      </c>
      <c r="BE82" s="3">
        <f t="shared" si="141"/>
        <v>7</v>
      </c>
      <c r="BF82" s="3">
        <f t="shared" si="142"/>
        <v>8</v>
      </c>
      <c r="BG82" s="3">
        <f t="shared" si="143"/>
        <v>1</v>
      </c>
      <c r="BH82" s="3">
        <f t="shared" si="144"/>
        <v>34</v>
      </c>
      <c r="BJ82" s="62">
        <f t="shared" si="145"/>
        <v>43.75</v>
      </c>
      <c r="BK82" s="62">
        <f t="shared" si="146"/>
        <v>16.666666666666664</v>
      </c>
      <c r="BL82" s="62">
        <f t="shared" si="147"/>
        <v>15</v>
      </c>
      <c r="BM82" s="62">
        <f t="shared" si="148"/>
        <v>50</v>
      </c>
      <c r="BN82" s="62">
        <f t="shared" si="149"/>
        <v>19.444444444444446</v>
      </c>
      <c r="BO82" s="62">
        <f t="shared" si="150"/>
        <v>66.666666666666657</v>
      </c>
      <c r="BP82" s="62">
        <f t="shared" si="151"/>
        <v>6.25</v>
      </c>
      <c r="BQ82" s="62">
        <f t="shared" si="152"/>
        <v>27.419354838709676</v>
      </c>
    </row>
    <row r="83" spans="1:69">
      <c r="A83" s="3">
        <v>80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6">
        <v>1</v>
      </c>
      <c r="W83" s="6">
        <v>1</v>
      </c>
      <c r="X83" s="6">
        <v>1</v>
      </c>
      <c r="Y83" s="6">
        <v>0</v>
      </c>
      <c r="Z83" s="6">
        <v>0</v>
      </c>
      <c r="AA83" s="6">
        <v>2</v>
      </c>
      <c r="AB83" s="6">
        <v>1</v>
      </c>
      <c r="AC83" s="6">
        <v>2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1</v>
      </c>
      <c r="AJ83" s="6">
        <v>1</v>
      </c>
      <c r="AK83" s="6">
        <v>1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2</v>
      </c>
      <c r="AT83" s="6">
        <v>0</v>
      </c>
      <c r="AU83" s="6">
        <v>2</v>
      </c>
      <c r="AV83" s="6">
        <v>0</v>
      </c>
      <c r="AW83" s="6">
        <v>2</v>
      </c>
      <c r="AX83" s="6">
        <v>0</v>
      </c>
      <c r="AY83" s="6">
        <v>2</v>
      </c>
      <c r="AZ83" s="6">
        <v>1</v>
      </c>
      <c r="BA83" s="3">
        <f t="shared" ref="BA83" si="165">SUM(AI83:AL83)</f>
        <v>3</v>
      </c>
      <c r="BB83" s="3">
        <f t="shared" si="138"/>
        <v>0</v>
      </c>
      <c r="BC83" s="3">
        <f t="shared" si="139"/>
        <v>0</v>
      </c>
      <c r="BD83" s="3">
        <f t="shared" si="140"/>
        <v>3</v>
      </c>
      <c r="BE83" s="3">
        <f t="shared" si="141"/>
        <v>5</v>
      </c>
      <c r="BF83" s="3">
        <f t="shared" si="142"/>
        <v>6</v>
      </c>
      <c r="BG83" s="3">
        <f t="shared" si="143"/>
        <v>3</v>
      </c>
      <c r="BH83" s="3">
        <f t="shared" si="144"/>
        <v>20</v>
      </c>
      <c r="BJ83" s="62">
        <f t="shared" si="145"/>
        <v>18.75</v>
      </c>
      <c r="BK83" s="62">
        <f t="shared" si="146"/>
        <v>0</v>
      </c>
      <c r="BL83" s="62">
        <f t="shared" si="147"/>
        <v>0</v>
      </c>
      <c r="BM83" s="62">
        <f t="shared" si="148"/>
        <v>25</v>
      </c>
      <c r="BN83" s="62">
        <f t="shared" si="149"/>
        <v>13.888888888888889</v>
      </c>
      <c r="BO83" s="62">
        <f t="shared" si="150"/>
        <v>50</v>
      </c>
      <c r="BP83" s="62">
        <f t="shared" si="151"/>
        <v>18.75</v>
      </c>
      <c r="BQ83" s="62">
        <f t="shared" si="152"/>
        <v>16.129032258064516</v>
      </c>
    </row>
    <row r="84" spans="1:69">
      <c r="A84" s="3">
        <v>81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6">
        <v>0</v>
      </c>
      <c r="W84" s="6">
        <v>1</v>
      </c>
      <c r="X84" s="6">
        <v>1</v>
      </c>
      <c r="Y84" s="6">
        <v>0</v>
      </c>
      <c r="Z84" s="6">
        <v>2</v>
      </c>
      <c r="AA84" s="6">
        <v>2</v>
      </c>
      <c r="AB84" s="6">
        <v>1</v>
      </c>
      <c r="AC84" s="6">
        <v>1</v>
      </c>
      <c r="AD84" s="6">
        <v>1</v>
      </c>
      <c r="AE84" s="6">
        <v>1</v>
      </c>
      <c r="AF84" s="6">
        <v>0</v>
      </c>
      <c r="AG84" s="6">
        <v>1</v>
      </c>
      <c r="AH84" s="6">
        <v>1</v>
      </c>
      <c r="AI84" s="6">
        <v>2</v>
      </c>
      <c r="AJ84" s="6">
        <v>2</v>
      </c>
      <c r="AK84" s="6">
        <v>1</v>
      </c>
      <c r="AL84" s="6">
        <v>2</v>
      </c>
      <c r="AM84" s="6">
        <v>1</v>
      </c>
      <c r="AN84" s="6">
        <v>1</v>
      </c>
      <c r="AO84" s="6">
        <v>2</v>
      </c>
      <c r="AP84" s="6">
        <v>1</v>
      </c>
      <c r="AQ84" s="6">
        <v>0</v>
      </c>
      <c r="AR84" s="6">
        <v>1</v>
      </c>
      <c r="AS84" s="6">
        <v>1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1</v>
      </c>
      <c r="AZ84" s="6">
        <v>0</v>
      </c>
      <c r="BA84" s="3">
        <f t="shared" ref="BA84" si="166">SUM(AI84:AL84)</f>
        <v>7</v>
      </c>
      <c r="BB84" s="3">
        <f t="shared" si="138"/>
        <v>0</v>
      </c>
      <c r="BC84" s="3">
        <f t="shared" si="139"/>
        <v>6</v>
      </c>
      <c r="BD84" s="3">
        <f t="shared" si="140"/>
        <v>1</v>
      </c>
      <c r="BE84" s="3">
        <f t="shared" si="141"/>
        <v>10</v>
      </c>
      <c r="BF84" s="3">
        <f t="shared" si="142"/>
        <v>1</v>
      </c>
      <c r="BG84" s="3">
        <f t="shared" si="143"/>
        <v>2</v>
      </c>
      <c r="BH84" s="3">
        <f t="shared" si="144"/>
        <v>27</v>
      </c>
      <c r="BJ84" s="62">
        <f t="shared" si="145"/>
        <v>43.75</v>
      </c>
      <c r="BK84" s="62">
        <f t="shared" si="146"/>
        <v>0</v>
      </c>
      <c r="BL84" s="62">
        <f t="shared" si="147"/>
        <v>30</v>
      </c>
      <c r="BM84" s="62">
        <f t="shared" si="148"/>
        <v>8.3333333333333321</v>
      </c>
      <c r="BN84" s="62">
        <f t="shared" si="149"/>
        <v>27.777777777777779</v>
      </c>
      <c r="BO84" s="62">
        <f t="shared" si="150"/>
        <v>8.3333333333333321</v>
      </c>
      <c r="BP84" s="62">
        <f t="shared" si="151"/>
        <v>12.5</v>
      </c>
      <c r="BQ84" s="62">
        <f t="shared" si="152"/>
        <v>21.774193548387096</v>
      </c>
    </row>
    <row r="85" spans="1:69">
      <c r="A85" s="3">
        <v>82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6">
        <v>0</v>
      </c>
      <c r="W85" s="6">
        <v>0</v>
      </c>
      <c r="X85" s="6">
        <v>1</v>
      </c>
      <c r="Y85" s="6">
        <v>0</v>
      </c>
      <c r="Z85" s="6">
        <v>0</v>
      </c>
      <c r="AA85" s="6">
        <v>1</v>
      </c>
      <c r="AB85" s="6">
        <v>2</v>
      </c>
      <c r="AC85" s="6">
        <v>2</v>
      </c>
      <c r="AD85" s="6">
        <v>3</v>
      </c>
      <c r="AE85" s="6">
        <v>0</v>
      </c>
      <c r="AF85" s="6">
        <v>0</v>
      </c>
      <c r="AG85" s="6">
        <v>0</v>
      </c>
      <c r="AH85" s="6">
        <v>0</v>
      </c>
      <c r="AI85" s="6">
        <v>2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2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3">
        <f t="shared" ref="BA85" si="167">SUM(AI85:AL85)</f>
        <v>2</v>
      </c>
      <c r="BB85" s="3">
        <f t="shared" si="138"/>
        <v>0</v>
      </c>
      <c r="BC85" s="3">
        <f t="shared" si="139"/>
        <v>0</v>
      </c>
      <c r="BD85" s="3">
        <f t="shared" si="140"/>
        <v>0</v>
      </c>
      <c r="BE85" s="3">
        <f t="shared" si="141"/>
        <v>8</v>
      </c>
      <c r="BF85" s="3">
        <f t="shared" si="142"/>
        <v>2</v>
      </c>
      <c r="BG85" s="3">
        <f t="shared" si="143"/>
        <v>1</v>
      </c>
      <c r="BH85" s="3">
        <f t="shared" si="144"/>
        <v>13</v>
      </c>
      <c r="BJ85" s="62">
        <f t="shared" si="145"/>
        <v>12.5</v>
      </c>
      <c r="BK85" s="62">
        <f t="shared" si="146"/>
        <v>0</v>
      </c>
      <c r="BL85" s="62">
        <f t="shared" si="147"/>
        <v>0</v>
      </c>
      <c r="BM85" s="62">
        <f t="shared" si="148"/>
        <v>0</v>
      </c>
      <c r="BN85" s="62">
        <f t="shared" si="149"/>
        <v>22.222222222222221</v>
      </c>
      <c r="BO85" s="62">
        <f t="shared" si="150"/>
        <v>16.666666666666664</v>
      </c>
      <c r="BP85" s="62">
        <f t="shared" si="151"/>
        <v>6.25</v>
      </c>
      <c r="BQ85" s="62">
        <f t="shared" si="152"/>
        <v>10.483870967741936</v>
      </c>
    </row>
    <row r="86" spans="1:69">
      <c r="A86" s="3">
        <v>83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2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1</v>
      </c>
      <c r="AL86" s="6">
        <v>0</v>
      </c>
      <c r="AM86" s="6">
        <v>0</v>
      </c>
      <c r="AN86" s="6">
        <v>0</v>
      </c>
      <c r="AO86" s="6">
        <v>0</v>
      </c>
      <c r="AP86" s="6">
        <v>1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2</v>
      </c>
      <c r="AZ86" s="6">
        <v>0</v>
      </c>
      <c r="BA86" s="3">
        <f t="shared" ref="BA86" si="168">SUM(AI86:AL86)</f>
        <v>1</v>
      </c>
      <c r="BB86" s="3">
        <f t="shared" si="138"/>
        <v>0</v>
      </c>
      <c r="BC86" s="3">
        <f t="shared" si="139"/>
        <v>1</v>
      </c>
      <c r="BD86" s="3">
        <f t="shared" si="140"/>
        <v>2</v>
      </c>
      <c r="BE86" s="3">
        <f t="shared" si="141"/>
        <v>2</v>
      </c>
      <c r="BF86" s="3">
        <f t="shared" si="142"/>
        <v>0</v>
      </c>
      <c r="BG86" s="3">
        <f t="shared" si="143"/>
        <v>0</v>
      </c>
      <c r="BH86" s="3">
        <f t="shared" si="144"/>
        <v>6</v>
      </c>
      <c r="BJ86" s="62">
        <f t="shared" si="145"/>
        <v>6.25</v>
      </c>
      <c r="BK86" s="62">
        <f t="shared" si="146"/>
        <v>0</v>
      </c>
      <c r="BL86" s="62">
        <f t="shared" si="147"/>
        <v>5</v>
      </c>
      <c r="BM86" s="62">
        <f t="shared" si="148"/>
        <v>16.666666666666664</v>
      </c>
      <c r="BN86" s="62">
        <f t="shared" si="149"/>
        <v>5.5555555555555554</v>
      </c>
      <c r="BO86" s="62">
        <f t="shared" si="150"/>
        <v>0</v>
      </c>
      <c r="BP86" s="62">
        <f t="shared" si="151"/>
        <v>0</v>
      </c>
      <c r="BQ86" s="62">
        <f t="shared" si="152"/>
        <v>4.838709677419355</v>
      </c>
    </row>
    <row r="87" spans="1:69">
      <c r="A87" s="3">
        <v>84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2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1</v>
      </c>
      <c r="AH87" s="6">
        <v>1</v>
      </c>
      <c r="AI87" s="6">
        <v>1</v>
      </c>
      <c r="AJ87" s="6">
        <v>0</v>
      </c>
      <c r="AK87" s="6">
        <v>0</v>
      </c>
      <c r="AL87" s="6">
        <v>0</v>
      </c>
      <c r="AM87" s="6">
        <v>1</v>
      </c>
      <c r="AN87" s="6">
        <v>0</v>
      </c>
      <c r="AO87" s="6">
        <v>1</v>
      </c>
      <c r="AP87" s="6">
        <v>1</v>
      </c>
      <c r="AQ87" s="6">
        <v>0</v>
      </c>
      <c r="AR87" s="6">
        <v>2</v>
      </c>
      <c r="AS87" s="6">
        <v>1</v>
      </c>
      <c r="AT87" s="6">
        <v>0</v>
      </c>
      <c r="AU87" s="6">
        <v>0</v>
      </c>
      <c r="AV87" s="6">
        <v>0</v>
      </c>
      <c r="AW87" s="6">
        <v>1</v>
      </c>
      <c r="AX87" s="6">
        <v>0</v>
      </c>
      <c r="AY87" s="6">
        <v>1</v>
      </c>
      <c r="AZ87" s="6">
        <v>0</v>
      </c>
      <c r="BA87" s="3">
        <f t="shared" ref="BA87" si="169">SUM(AI87:AL87)</f>
        <v>1</v>
      </c>
      <c r="BB87" s="3">
        <f t="shared" si="138"/>
        <v>0</v>
      </c>
      <c r="BC87" s="3">
        <f t="shared" si="139"/>
        <v>5</v>
      </c>
      <c r="BD87" s="3">
        <f t="shared" si="140"/>
        <v>1</v>
      </c>
      <c r="BE87" s="3">
        <f t="shared" si="141"/>
        <v>5</v>
      </c>
      <c r="BF87" s="3">
        <f t="shared" si="142"/>
        <v>2</v>
      </c>
      <c r="BG87" s="3">
        <f t="shared" si="143"/>
        <v>0</v>
      </c>
      <c r="BH87" s="3">
        <f t="shared" si="144"/>
        <v>14</v>
      </c>
      <c r="BJ87" s="62">
        <f t="shared" si="145"/>
        <v>6.25</v>
      </c>
      <c r="BK87" s="62">
        <f t="shared" si="146"/>
        <v>0</v>
      </c>
      <c r="BL87" s="62">
        <f t="shared" si="147"/>
        <v>25</v>
      </c>
      <c r="BM87" s="62">
        <f t="shared" si="148"/>
        <v>8.3333333333333321</v>
      </c>
      <c r="BN87" s="62">
        <f t="shared" si="149"/>
        <v>13.888888888888889</v>
      </c>
      <c r="BO87" s="62">
        <f t="shared" si="150"/>
        <v>16.666666666666664</v>
      </c>
      <c r="BP87" s="62">
        <f t="shared" si="151"/>
        <v>0</v>
      </c>
      <c r="BQ87" s="62">
        <f t="shared" si="152"/>
        <v>11.29032258064516</v>
      </c>
    </row>
    <row r="88" spans="1:69">
      <c r="A88" s="3">
        <v>85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2</v>
      </c>
      <c r="AB88" s="6">
        <v>3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1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3">
        <f t="shared" ref="BA88" si="170">SUM(AI88:AL88)</f>
        <v>0</v>
      </c>
      <c r="BB88" s="3">
        <f t="shared" si="138"/>
        <v>0</v>
      </c>
      <c r="BC88" s="3">
        <f t="shared" si="139"/>
        <v>1</v>
      </c>
      <c r="BD88" s="3">
        <f t="shared" si="140"/>
        <v>0</v>
      </c>
      <c r="BE88" s="3">
        <f t="shared" si="141"/>
        <v>5</v>
      </c>
      <c r="BF88" s="3">
        <f t="shared" si="142"/>
        <v>0</v>
      </c>
      <c r="BG88" s="3">
        <f t="shared" si="143"/>
        <v>0</v>
      </c>
      <c r="BH88" s="3">
        <f t="shared" si="144"/>
        <v>6</v>
      </c>
      <c r="BJ88" s="62">
        <f t="shared" si="145"/>
        <v>0</v>
      </c>
      <c r="BK88" s="62">
        <f t="shared" si="146"/>
        <v>0</v>
      </c>
      <c r="BL88" s="62">
        <f t="shared" si="147"/>
        <v>5</v>
      </c>
      <c r="BM88" s="62">
        <f t="shared" si="148"/>
        <v>0</v>
      </c>
      <c r="BN88" s="62">
        <f t="shared" si="149"/>
        <v>13.888888888888889</v>
      </c>
      <c r="BO88" s="62">
        <f t="shared" si="150"/>
        <v>0</v>
      </c>
      <c r="BP88" s="62">
        <f t="shared" si="151"/>
        <v>0</v>
      </c>
      <c r="BQ88" s="62">
        <f t="shared" si="152"/>
        <v>4.838709677419355</v>
      </c>
    </row>
    <row r="89" spans="1:69">
      <c r="A89" s="3">
        <v>86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6">
        <v>2</v>
      </c>
      <c r="W89" s="6">
        <v>0</v>
      </c>
      <c r="X89" s="6">
        <v>0</v>
      </c>
      <c r="Y89" s="6">
        <v>2</v>
      </c>
      <c r="Z89" s="6">
        <v>0</v>
      </c>
      <c r="AA89" s="6">
        <v>2</v>
      </c>
      <c r="AB89" s="6">
        <v>4</v>
      </c>
      <c r="AC89" s="6">
        <v>2</v>
      </c>
      <c r="AD89" s="6">
        <v>2</v>
      </c>
      <c r="AE89" s="6">
        <v>0</v>
      </c>
      <c r="AF89" s="6">
        <v>0</v>
      </c>
      <c r="AG89" s="6">
        <v>0</v>
      </c>
      <c r="AH89" s="6">
        <v>0</v>
      </c>
      <c r="AI89" s="6">
        <v>3</v>
      </c>
      <c r="AJ89" s="6">
        <v>2</v>
      </c>
      <c r="AK89" s="6">
        <v>4</v>
      </c>
      <c r="AL89" s="6">
        <v>3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4</v>
      </c>
      <c r="AT89" s="6">
        <v>0</v>
      </c>
      <c r="AU89" s="6">
        <v>4</v>
      </c>
      <c r="AV89" s="6">
        <v>1</v>
      </c>
      <c r="AW89" s="6">
        <v>4</v>
      </c>
      <c r="AX89" s="6">
        <v>0</v>
      </c>
      <c r="AY89" s="6">
        <v>3</v>
      </c>
      <c r="AZ89" s="6">
        <v>3</v>
      </c>
      <c r="BA89" s="3">
        <f t="shared" ref="BA89:BA90" si="171">SUM(AI89:AL89)</f>
        <v>12</v>
      </c>
      <c r="BB89" s="3">
        <f t="shared" si="138"/>
        <v>1</v>
      </c>
      <c r="BC89" s="3">
        <f t="shared" si="139"/>
        <v>0</v>
      </c>
      <c r="BD89" s="3">
        <f t="shared" si="140"/>
        <v>6</v>
      </c>
      <c r="BE89" s="3">
        <f t="shared" si="141"/>
        <v>10</v>
      </c>
      <c r="BF89" s="3">
        <f t="shared" si="142"/>
        <v>12</v>
      </c>
      <c r="BG89" s="3">
        <f t="shared" si="143"/>
        <v>4</v>
      </c>
      <c r="BH89" s="3">
        <f t="shared" si="144"/>
        <v>45</v>
      </c>
      <c r="BJ89" s="62">
        <f t="shared" si="145"/>
        <v>75</v>
      </c>
      <c r="BK89" s="62">
        <f t="shared" si="146"/>
        <v>8.3333333333333321</v>
      </c>
      <c r="BL89" s="62">
        <f t="shared" si="147"/>
        <v>0</v>
      </c>
      <c r="BM89" s="62">
        <f t="shared" si="148"/>
        <v>50</v>
      </c>
      <c r="BN89" s="62">
        <f t="shared" si="149"/>
        <v>27.777777777777779</v>
      </c>
      <c r="BO89" s="62">
        <f t="shared" si="150"/>
        <v>100</v>
      </c>
      <c r="BP89" s="62">
        <f t="shared" si="151"/>
        <v>25</v>
      </c>
      <c r="BQ89" s="62">
        <f t="shared" si="152"/>
        <v>36.29032258064516</v>
      </c>
    </row>
    <row r="90" spans="1:69">
      <c r="A90" s="3">
        <v>87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6">
        <v>2</v>
      </c>
      <c r="W90" s="6">
        <v>1</v>
      </c>
      <c r="X90" s="6">
        <v>3</v>
      </c>
      <c r="Y90" s="6">
        <v>2</v>
      </c>
      <c r="Z90" s="6">
        <v>3</v>
      </c>
      <c r="AA90" s="6">
        <v>2</v>
      </c>
      <c r="AB90" s="6">
        <v>2</v>
      </c>
      <c r="AC90" s="6">
        <v>4</v>
      </c>
      <c r="AD90" s="6">
        <v>2</v>
      </c>
      <c r="AE90" s="6">
        <v>2</v>
      </c>
      <c r="AF90" s="6">
        <v>1</v>
      </c>
      <c r="AG90" s="6">
        <v>2</v>
      </c>
      <c r="AH90" s="6">
        <v>2</v>
      </c>
      <c r="AI90" s="6">
        <v>3</v>
      </c>
      <c r="AJ90" s="6">
        <v>3</v>
      </c>
      <c r="AK90" s="6">
        <v>3</v>
      </c>
      <c r="AL90" s="6">
        <v>3</v>
      </c>
      <c r="AM90" s="6">
        <v>1</v>
      </c>
      <c r="AN90" s="6">
        <v>1</v>
      </c>
      <c r="AO90" s="6">
        <v>1</v>
      </c>
      <c r="AP90" s="6">
        <v>1</v>
      </c>
      <c r="AQ90" s="6">
        <v>1</v>
      </c>
      <c r="AR90" s="6">
        <v>1</v>
      </c>
      <c r="AS90" s="6">
        <v>1</v>
      </c>
      <c r="AT90" s="6">
        <v>1</v>
      </c>
      <c r="AU90" s="6">
        <v>2</v>
      </c>
      <c r="AV90" s="6">
        <v>2</v>
      </c>
      <c r="AW90" s="6">
        <v>1</v>
      </c>
      <c r="AX90" s="6">
        <v>3</v>
      </c>
      <c r="AY90" s="6">
        <v>2</v>
      </c>
      <c r="AZ90" s="6">
        <v>3</v>
      </c>
      <c r="BA90" s="3">
        <f t="shared" si="171"/>
        <v>12</v>
      </c>
      <c r="BB90" s="3">
        <f t="shared" ref="BB90:BB99" si="172">SUM(AQ90+AT90+AV90)</f>
        <v>4</v>
      </c>
      <c r="BC90" s="3">
        <f t="shared" ref="BC90:BC99" si="173">SUM(AM90+AN90+AO90+AP90+AR90)</f>
        <v>5</v>
      </c>
      <c r="BD90" s="3">
        <f t="shared" ref="BD90:BD99" si="174">SUM(AX90+AY90+AZ90)</f>
        <v>8</v>
      </c>
      <c r="BE90" s="3">
        <f t="shared" ref="BE90:BE99" si="175">SUM(Z90:AH90)</f>
        <v>20</v>
      </c>
      <c r="BF90" s="3">
        <f t="shared" ref="BF90:BF99" si="176">SUM(AS90+AU90+AW90)</f>
        <v>4</v>
      </c>
      <c r="BG90" s="3">
        <f t="shared" ref="BG90:BG99" si="177">SUM(V90:Y90)</f>
        <v>8</v>
      </c>
      <c r="BH90" s="3">
        <f t="shared" ref="BH90:BH99" si="178">SUM(BA90:BG90)</f>
        <v>61</v>
      </c>
      <c r="BJ90" s="62">
        <f t="shared" ref="BJ90:BJ99" si="179">SUM(BA90/16)*100</f>
        <v>75</v>
      </c>
      <c r="BK90" s="62">
        <f t="shared" ref="BK90:BK99" si="180">SUM(BB90/12)*100</f>
        <v>33.333333333333329</v>
      </c>
      <c r="BL90" s="62">
        <f t="shared" ref="BL90:BL99" si="181">SUM(BC90/20)*100</f>
        <v>25</v>
      </c>
      <c r="BM90" s="62">
        <f t="shared" ref="BM90:BM99" si="182">SUM(BD90/12)*100</f>
        <v>66.666666666666657</v>
      </c>
      <c r="BN90" s="62">
        <f t="shared" ref="BN90:BN99" si="183">SUM(BE90/36)*100</f>
        <v>55.555555555555557</v>
      </c>
      <c r="BO90" s="62">
        <f t="shared" ref="BO90:BO99" si="184">SUM(BF90/12)*100</f>
        <v>33.333333333333329</v>
      </c>
      <c r="BP90" s="62">
        <f t="shared" ref="BP90:BP99" si="185">SUM(BG90/16)*100</f>
        <v>50</v>
      </c>
      <c r="BQ90" s="62">
        <f t="shared" ref="BQ90:BQ99" si="186">SUM(BH90/124)*100</f>
        <v>49.193548387096776</v>
      </c>
    </row>
    <row r="91" spans="1:69">
      <c r="A91" s="3">
        <v>88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2</v>
      </c>
      <c r="AB91" s="6">
        <v>2</v>
      </c>
      <c r="AC91" s="6">
        <v>3</v>
      </c>
      <c r="AD91" s="6">
        <v>3</v>
      </c>
      <c r="AE91" s="6">
        <v>1</v>
      </c>
      <c r="AF91" s="6">
        <v>0</v>
      </c>
      <c r="AG91" s="6">
        <v>0</v>
      </c>
      <c r="AH91" s="6">
        <v>0</v>
      </c>
      <c r="AI91" s="6">
        <v>2</v>
      </c>
      <c r="AJ91" s="6">
        <v>2</v>
      </c>
      <c r="AK91" s="6">
        <v>2</v>
      </c>
      <c r="AL91" s="6">
        <v>2</v>
      </c>
      <c r="AM91" s="6">
        <v>1</v>
      </c>
      <c r="AN91" s="6">
        <v>1</v>
      </c>
      <c r="AO91" s="6">
        <v>1</v>
      </c>
      <c r="AP91" s="6">
        <v>0</v>
      </c>
      <c r="AQ91" s="6">
        <v>1</v>
      </c>
      <c r="AR91" s="6">
        <v>1</v>
      </c>
      <c r="AS91" s="6">
        <v>1</v>
      </c>
      <c r="AT91" s="6">
        <v>0</v>
      </c>
      <c r="AU91" s="6">
        <v>1</v>
      </c>
      <c r="AV91" s="6">
        <v>1</v>
      </c>
      <c r="AW91" s="6">
        <v>0</v>
      </c>
      <c r="AX91" s="6">
        <v>1</v>
      </c>
      <c r="AY91" s="6">
        <v>1</v>
      </c>
      <c r="AZ91" s="6">
        <v>1</v>
      </c>
      <c r="BA91" s="3">
        <f t="shared" ref="BA91:BA100" si="187">SUM(AI91:AL91)</f>
        <v>8</v>
      </c>
      <c r="BB91" s="3">
        <f t="shared" si="172"/>
        <v>2</v>
      </c>
      <c r="BC91" s="3">
        <f t="shared" si="173"/>
        <v>4</v>
      </c>
      <c r="BD91" s="3">
        <f t="shared" si="174"/>
        <v>3</v>
      </c>
      <c r="BE91" s="3">
        <f t="shared" si="175"/>
        <v>12</v>
      </c>
      <c r="BF91" s="3">
        <f t="shared" si="176"/>
        <v>2</v>
      </c>
      <c r="BG91" s="3">
        <f t="shared" si="177"/>
        <v>4</v>
      </c>
      <c r="BH91" s="3">
        <f t="shared" si="178"/>
        <v>35</v>
      </c>
      <c r="BJ91" s="62">
        <f t="shared" si="179"/>
        <v>50</v>
      </c>
      <c r="BK91" s="62">
        <f t="shared" si="180"/>
        <v>16.666666666666664</v>
      </c>
      <c r="BL91" s="62">
        <f t="shared" si="181"/>
        <v>20</v>
      </c>
      <c r="BM91" s="62">
        <f t="shared" si="182"/>
        <v>25</v>
      </c>
      <c r="BN91" s="62">
        <f t="shared" si="183"/>
        <v>33.333333333333329</v>
      </c>
      <c r="BO91" s="62">
        <f t="shared" si="184"/>
        <v>16.666666666666664</v>
      </c>
      <c r="BP91" s="62">
        <f t="shared" si="185"/>
        <v>25</v>
      </c>
      <c r="BQ91" s="62">
        <f t="shared" si="186"/>
        <v>28.225806451612907</v>
      </c>
    </row>
    <row r="92" spans="1:69">
      <c r="A92" s="3">
        <v>89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6">
        <v>2</v>
      </c>
      <c r="W92" s="6">
        <v>2</v>
      </c>
      <c r="X92" s="6">
        <v>2</v>
      </c>
      <c r="Y92" s="6">
        <v>2</v>
      </c>
      <c r="Z92" s="6">
        <v>2</v>
      </c>
      <c r="AA92" s="6">
        <v>2</v>
      </c>
      <c r="AB92" s="6">
        <v>2</v>
      </c>
      <c r="AC92" s="6">
        <v>2</v>
      </c>
      <c r="AD92" s="6">
        <v>2</v>
      </c>
      <c r="AE92" s="6">
        <v>2</v>
      </c>
      <c r="AF92" s="6">
        <v>2</v>
      </c>
      <c r="AG92" s="6">
        <v>2</v>
      </c>
      <c r="AH92" s="6">
        <v>2</v>
      </c>
      <c r="AI92" s="6">
        <v>2</v>
      </c>
      <c r="AJ92" s="6">
        <v>2</v>
      </c>
      <c r="AK92" s="6">
        <v>2</v>
      </c>
      <c r="AL92" s="6">
        <v>2</v>
      </c>
      <c r="AM92" s="6">
        <v>2</v>
      </c>
      <c r="AN92" s="6">
        <v>2</v>
      </c>
      <c r="AO92" s="6">
        <v>2</v>
      </c>
      <c r="AP92" s="6">
        <v>2</v>
      </c>
      <c r="AQ92" s="6">
        <v>2</v>
      </c>
      <c r="AR92" s="6">
        <v>2</v>
      </c>
      <c r="AS92" s="6">
        <v>2</v>
      </c>
      <c r="AT92" s="6">
        <v>2</v>
      </c>
      <c r="AU92" s="6">
        <v>2</v>
      </c>
      <c r="AV92" s="6">
        <v>2</v>
      </c>
      <c r="AW92" s="6">
        <v>2</v>
      </c>
      <c r="AX92" s="6">
        <v>2</v>
      </c>
      <c r="AY92" s="6">
        <v>2</v>
      </c>
      <c r="AZ92" s="6">
        <v>2</v>
      </c>
      <c r="BA92" s="3">
        <f t="shared" si="187"/>
        <v>8</v>
      </c>
      <c r="BB92" s="3">
        <f t="shared" si="172"/>
        <v>6</v>
      </c>
      <c r="BC92" s="3">
        <f t="shared" si="173"/>
        <v>10</v>
      </c>
      <c r="BD92" s="3">
        <f t="shared" si="174"/>
        <v>6</v>
      </c>
      <c r="BE92" s="3">
        <f t="shared" si="175"/>
        <v>18</v>
      </c>
      <c r="BF92" s="3">
        <f t="shared" si="176"/>
        <v>6</v>
      </c>
      <c r="BG92" s="3">
        <f t="shared" si="177"/>
        <v>8</v>
      </c>
      <c r="BH92" s="3">
        <f t="shared" si="178"/>
        <v>62</v>
      </c>
      <c r="BJ92" s="62">
        <f t="shared" si="179"/>
        <v>50</v>
      </c>
      <c r="BK92" s="62">
        <f t="shared" si="180"/>
        <v>50</v>
      </c>
      <c r="BL92" s="62">
        <f t="shared" si="181"/>
        <v>50</v>
      </c>
      <c r="BM92" s="62">
        <f t="shared" si="182"/>
        <v>50</v>
      </c>
      <c r="BN92" s="62">
        <f t="shared" si="183"/>
        <v>50</v>
      </c>
      <c r="BO92" s="62">
        <f t="shared" si="184"/>
        <v>50</v>
      </c>
      <c r="BP92" s="62">
        <f t="shared" si="185"/>
        <v>50</v>
      </c>
      <c r="BQ92" s="62">
        <f t="shared" si="186"/>
        <v>50</v>
      </c>
    </row>
    <row r="93" spans="1:69">
      <c r="A93" s="3">
        <v>90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6">
        <v>3</v>
      </c>
      <c r="W93" s="6">
        <v>1</v>
      </c>
      <c r="X93" s="6">
        <v>4</v>
      </c>
      <c r="Y93" s="6">
        <v>2</v>
      </c>
      <c r="Z93" s="6">
        <v>2</v>
      </c>
      <c r="AA93" s="6">
        <v>3</v>
      </c>
      <c r="AB93" s="6">
        <v>1</v>
      </c>
      <c r="AC93" s="6">
        <v>3</v>
      </c>
      <c r="AD93" s="6">
        <v>3</v>
      </c>
      <c r="AE93" s="6">
        <v>0</v>
      </c>
      <c r="AF93" s="6">
        <v>0</v>
      </c>
      <c r="AG93" s="6">
        <v>0</v>
      </c>
      <c r="AH93" s="6">
        <v>0</v>
      </c>
      <c r="AI93" s="6">
        <v>2</v>
      </c>
      <c r="AJ93" s="6">
        <v>2</v>
      </c>
      <c r="AK93" s="6">
        <v>1</v>
      </c>
      <c r="AL93" s="6">
        <v>2</v>
      </c>
      <c r="AM93" s="6">
        <v>2</v>
      </c>
      <c r="AN93" s="6">
        <v>2</v>
      </c>
      <c r="AO93" s="6">
        <v>2</v>
      </c>
      <c r="AP93" s="6">
        <v>2</v>
      </c>
      <c r="AQ93" s="6">
        <v>2</v>
      </c>
      <c r="AR93" s="6">
        <v>2</v>
      </c>
      <c r="AS93" s="6">
        <v>2</v>
      </c>
      <c r="AT93" s="6">
        <v>2</v>
      </c>
      <c r="AU93" s="6">
        <v>3</v>
      </c>
      <c r="AV93" s="6">
        <v>2</v>
      </c>
      <c r="AW93" s="6">
        <v>3</v>
      </c>
      <c r="AX93" s="6">
        <v>1</v>
      </c>
      <c r="AY93" s="6">
        <v>1</v>
      </c>
      <c r="AZ93" s="6">
        <v>2</v>
      </c>
      <c r="BA93" s="3">
        <f t="shared" si="187"/>
        <v>7</v>
      </c>
      <c r="BB93" s="3">
        <f t="shared" si="172"/>
        <v>6</v>
      </c>
      <c r="BC93" s="3">
        <f t="shared" si="173"/>
        <v>10</v>
      </c>
      <c r="BD93" s="3">
        <f t="shared" si="174"/>
        <v>4</v>
      </c>
      <c r="BE93" s="3">
        <f t="shared" si="175"/>
        <v>12</v>
      </c>
      <c r="BF93" s="3">
        <f t="shared" si="176"/>
        <v>8</v>
      </c>
      <c r="BG93" s="3">
        <f t="shared" si="177"/>
        <v>10</v>
      </c>
      <c r="BH93" s="3">
        <f t="shared" si="178"/>
        <v>57</v>
      </c>
      <c r="BJ93" s="62">
        <f t="shared" si="179"/>
        <v>43.75</v>
      </c>
      <c r="BK93" s="62">
        <f t="shared" si="180"/>
        <v>50</v>
      </c>
      <c r="BL93" s="62">
        <f t="shared" si="181"/>
        <v>50</v>
      </c>
      <c r="BM93" s="62">
        <f t="shared" si="182"/>
        <v>33.333333333333329</v>
      </c>
      <c r="BN93" s="62">
        <f t="shared" si="183"/>
        <v>33.333333333333329</v>
      </c>
      <c r="BO93" s="62">
        <f t="shared" si="184"/>
        <v>66.666666666666657</v>
      </c>
      <c r="BP93" s="62">
        <f t="shared" si="185"/>
        <v>62.5</v>
      </c>
      <c r="BQ93" s="62">
        <f t="shared" si="186"/>
        <v>45.967741935483872</v>
      </c>
    </row>
    <row r="94" spans="1:69">
      <c r="A94" s="3">
        <v>91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6">
        <v>1</v>
      </c>
      <c r="W94" s="6">
        <v>1</v>
      </c>
      <c r="X94" s="6">
        <v>3</v>
      </c>
      <c r="Y94" s="6">
        <v>3</v>
      </c>
      <c r="Z94" s="6">
        <v>2</v>
      </c>
      <c r="AA94" s="6">
        <v>3</v>
      </c>
      <c r="AB94" s="6">
        <v>2</v>
      </c>
      <c r="AC94" s="6">
        <v>2</v>
      </c>
      <c r="AD94" s="6">
        <v>1</v>
      </c>
      <c r="AE94" s="6">
        <v>3</v>
      </c>
      <c r="AF94" s="6">
        <v>1</v>
      </c>
      <c r="AG94" s="6">
        <v>1</v>
      </c>
      <c r="AH94" s="6">
        <v>1</v>
      </c>
      <c r="AI94" s="6">
        <v>2</v>
      </c>
      <c r="AJ94" s="6">
        <v>2</v>
      </c>
      <c r="AK94" s="6">
        <v>2</v>
      </c>
      <c r="AL94" s="6">
        <v>2</v>
      </c>
      <c r="AM94" s="6">
        <v>1</v>
      </c>
      <c r="AN94" s="6">
        <v>1</v>
      </c>
      <c r="AO94" s="6">
        <v>2</v>
      </c>
      <c r="AP94" s="6">
        <v>2</v>
      </c>
      <c r="AQ94" s="6">
        <v>2</v>
      </c>
      <c r="AR94" s="6">
        <v>1</v>
      </c>
      <c r="AS94" s="6">
        <v>2</v>
      </c>
      <c r="AT94" s="6">
        <v>1</v>
      </c>
      <c r="AU94" s="6">
        <v>2</v>
      </c>
      <c r="AV94" s="6">
        <v>2</v>
      </c>
      <c r="AW94" s="6">
        <v>2</v>
      </c>
      <c r="AX94" s="6">
        <v>2</v>
      </c>
      <c r="AY94" s="6">
        <v>2</v>
      </c>
      <c r="AZ94" s="6">
        <v>2</v>
      </c>
      <c r="BA94" s="3">
        <f t="shared" si="187"/>
        <v>8</v>
      </c>
      <c r="BB94" s="3">
        <f t="shared" si="172"/>
        <v>5</v>
      </c>
      <c r="BC94" s="3">
        <f t="shared" si="173"/>
        <v>7</v>
      </c>
      <c r="BD94" s="3">
        <f t="shared" si="174"/>
        <v>6</v>
      </c>
      <c r="BE94" s="3">
        <f t="shared" si="175"/>
        <v>16</v>
      </c>
      <c r="BF94" s="3">
        <f t="shared" si="176"/>
        <v>6</v>
      </c>
      <c r="BG94" s="3">
        <f t="shared" si="177"/>
        <v>8</v>
      </c>
      <c r="BH94" s="3">
        <f t="shared" si="178"/>
        <v>56</v>
      </c>
      <c r="BJ94" s="62">
        <f t="shared" si="179"/>
        <v>50</v>
      </c>
      <c r="BK94" s="62">
        <f t="shared" si="180"/>
        <v>41.666666666666671</v>
      </c>
      <c r="BL94" s="62">
        <f t="shared" si="181"/>
        <v>35</v>
      </c>
      <c r="BM94" s="62">
        <f t="shared" si="182"/>
        <v>50</v>
      </c>
      <c r="BN94" s="62">
        <f t="shared" si="183"/>
        <v>44.444444444444443</v>
      </c>
      <c r="BO94" s="62">
        <f t="shared" si="184"/>
        <v>50</v>
      </c>
      <c r="BP94" s="62">
        <f t="shared" si="185"/>
        <v>50</v>
      </c>
      <c r="BQ94" s="62">
        <f t="shared" si="186"/>
        <v>45.161290322580641</v>
      </c>
    </row>
    <row r="95" spans="1:69">
      <c r="A95" s="3">
        <v>92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6">
        <v>1</v>
      </c>
      <c r="W95" s="6">
        <v>3</v>
      </c>
      <c r="X95" s="6">
        <v>2</v>
      </c>
      <c r="Y95" s="6">
        <v>3</v>
      </c>
      <c r="Z95" s="6">
        <v>2</v>
      </c>
      <c r="AA95" s="6">
        <v>2</v>
      </c>
      <c r="AB95" s="6">
        <v>3</v>
      </c>
      <c r="AC95" s="6">
        <v>2</v>
      </c>
      <c r="AD95" s="6">
        <v>2</v>
      </c>
      <c r="AE95" s="6">
        <v>1</v>
      </c>
      <c r="AF95" s="6">
        <v>1</v>
      </c>
      <c r="AG95" s="6">
        <v>1</v>
      </c>
      <c r="AH95" s="6">
        <v>1</v>
      </c>
      <c r="AI95" s="6">
        <v>3</v>
      </c>
      <c r="AJ95" s="6">
        <v>2</v>
      </c>
      <c r="AK95" s="6">
        <v>2</v>
      </c>
      <c r="AL95" s="6">
        <v>2</v>
      </c>
      <c r="AM95" s="6">
        <v>2</v>
      </c>
      <c r="AN95" s="6">
        <v>2</v>
      </c>
      <c r="AO95" s="6">
        <v>2</v>
      </c>
      <c r="AP95" s="6">
        <v>2</v>
      </c>
      <c r="AQ95" s="6">
        <v>1</v>
      </c>
      <c r="AR95" s="6">
        <v>2</v>
      </c>
      <c r="AS95" s="6">
        <v>2</v>
      </c>
      <c r="AT95" s="6">
        <v>2</v>
      </c>
      <c r="AU95" s="6">
        <v>2</v>
      </c>
      <c r="AV95" s="6">
        <v>2</v>
      </c>
      <c r="AW95" s="6">
        <v>2</v>
      </c>
      <c r="AX95" s="6">
        <v>2</v>
      </c>
      <c r="AY95" s="6">
        <v>3</v>
      </c>
      <c r="AZ95" s="6">
        <v>2</v>
      </c>
      <c r="BA95" s="3">
        <f t="shared" si="187"/>
        <v>9</v>
      </c>
      <c r="BB95" s="3">
        <f t="shared" si="172"/>
        <v>5</v>
      </c>
      <c r="BC95" s="3">
        <f t="shared" si="173"/>
        <v>10</v>
      </c>
      <c r="BD95" s="3">
        <f t="shared" si="174"/>
        <v>7</v>
      </c>
      <c r="BE95" s="3">
        <f t="shared" si="175"/>
        <v>15</v>
      </c>
      <c r="BF95" s="3">
        <f t="shared" si="176"/>
        <v>6</v>
      </c>
      <c r="BG95" s="3">
        <f t="shared" si="177"/>
        <v>9</v>
      </c>
      <c r="BH95" s="3">
        <f t="shared" si="178"/>
        <v>61</v>
      </c>
      <c r="BJ95" s="62">
        <f t="shared" si="179"/>
        <v>56.25</v>
      </c>
      <c r="BK95" s="62">
        <f t="shared" si="180"/>
        <v>41.666666666666671</v>
      </c>
      <c r="BL95" s="62">
        <f t="shared" si="181"/>
        <v>50</v>
      </c>
      <c r="BM95" s="62">
        <f t="shared" si="182"/>
        <v>58.333333333333336</v>
      </c>
      <c r="BN95" s="62">
        <f t="shared" si="183"/>
        <v>41.666666666666671</v>
      </c>
      <c r="BO95" s="62">
        <f t="shared" si="184"/>
        <v>50</v>
      </c>
      <c r="BP95" s="62">
        <f t="shared" si="185"/>
        <v>56.25</v>
      </c>
      <c r="BQ95" s="62">
        <f t="shared" si="186"/>
        <v>49.193548387096776</v>
      </c>
    </row>
    <row r="96" spans="1:69">
      <c r="A96" s="3">
        <v>93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6">
        <v>0</v>
      </c>
      <c r="W96" s="6">
        <v>3</v>
      </c>
      <c r="X96" s="6">
        <v>3</v>
      </c>
      <c r="Y96" s="6">
        <v>1</v>
      </c>
      <c r="Z96" s="6">
        <v>1</v>
      </c>
      <c r="AA96" s="6">
        <v>3</v>
      </c>
      <c r="AB96" s="6">
        <v>0</v>
      </c>
      <c r="AC96" s="6">
        <v>0</v>
      </c>
      <c r="AD96" s="6">
        <v>1</v>
      </c>
      <c r="AE96" s="6">
        <v>2</v>
      </c>
      <c r="AF96" s="6">
        <v>2</v>
      </c>
      <c r="AG96" s="6">
        <v>2</v>
      </c>
      <c r="AH96" s="6">
        <v>1</v>
      </c>
      <c r="AI96" s="6">
        <v>0</v>
      </c>
      <c r="AJ96" s="6">
        <v>0</v>
      </c>
      <c r="AK96" s="6">
        <v>1</v>
      </c>
      <c r="AL96" s="6">
        <v>1</v>
      </c>
      <c r="AM96" s="6">
        <v>0</v>
      </c>
      <c r="AN96" s="6">
        <v>1</v>
      </c>
      <c r="AO96" s="6">
        <v>1</v>
      </c>
      <c r="AP96" s="6">
        <v>1</v>
      </c>
      <c r="AQ96" s="6">
        <v>1</v>
      </c>
      <c r="AR96" s="6">
        <v>1</v>
      </c>
      <c r="AS96" s="6">
        <v>4</v>
      </c>
      <c r="AT96" s="6">
        <v>0</v>
      </c>
      <c r="AU96" s="6">
        <v>4</v>
      </c>
      <c r="AV96" s="6">
        <v>0</v>
      </c>
      <c r="AW96" s="6">
        <v>3</v>
      </c>
      <c r="AX96" s="6">
        <v>1</v>
      </c>
      <c r="AY96" s="6">
        <v>3</v>
      </c>
      <c r="AZ96" s="6">
        <v>3</v>
      </c>
      <c r="BA96" s="3">
        <f t="shared" si="187"/>
        <v>2</v>
      </c>
      <c r="BB96" s="3">
        <f t="shared" si="172"/>
        <v>1</v>
      </c>
      <c r="BC96" s="3">
        <f t="shared" si="173"/>
        <v>4</v>
      </c>
      <c r="BD96" s="3">
        <f t="shared" si="174"/>
        <v>7</v>
      </c>
      <c r="BE96" s="3">
        <f t="shared" si="175"/>
        <v>12</v>
      </c>
      <c r="BF96" s="3">
        <f t="shared" si="176"/>
        <v>11</v>
      </c>
      <c r="BG96" s="3">
        <f t="shared" si="177"/>
        <v>7</v>
      </c>
      <c r="BH96" s="3">
        <f t="shared" si="178"/>
        <v>44</v>
      </c>
      <c r="BJ96" s="62">
        <f t="shared" si="179"/>
        <v>12.5</v>
      </c>
      <c r="BK96" s="62">
        <f t="shared" si="180"/>
        <v>8.3333333333333321</v>
      </c>
      <c r="BL96" s="62">
        <f t="shared" si="181"/>
        <v>20</v>
      </c>
      <c r="BM96" s="62">
        <f t="shared" si="182"/>
        <v>58.333333333333336</v>
      </c>
      <c r="BN96" s="62">
        <f t="shared" si="183"/>
        <v>33.333333333333329</v>
      </c>
      <c r="BO96" s="62">
        <f t="shared" si="184"/>
        <v>91.666666666666657</v>
      </c>
      <c r="BP96" s="62">
        <f t="shared" si="185"/>
        <v>43.75</v>
      </c>
      <c r="BQ96" s="62">
        <f t="shared" si="186"/>
        <v>35.483870967741936</v>
      </c>
    </row>
    <row r="97" spans="1:69">
      <c r="A97" s="3">
        <v>94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6">
        <v>3</v>
      </c>
      <c r="W97" s="6">
        <v>0</v>
      </c>
      <c r="X97" s="6">
        <v>1</v>
      </c>
      <c r="Y97" s="6">
        <v>3</v>
      </c>
      <c r="Z97" s="6">
        <v>4</v>
      </c>
      <c r="AA97" s="6">
        <v>3</v>
      </c>
      <c r="AB97" s="6">
        <v>2</v>
      </c>
      <c r="AC97" s="6">
        <v>2</v>
      </c>
      <c r="AD97" s="6">
        <v>1</v>
      </c>
      <c r="AE97" s="6">
        <v>2</v>
      </c>
      <c r="AF97" s="6">
        <v>0</v>
      </c>
      <c r="AG97" s="6">
        <v>1</v>
      </c>
      <c r="AH97" s="6">
        <v>1</v>
      </c>
      <c r="AI97" s="6">
        <v>4</v>
      </c>
      <c r="AJ97" s="6">
        <v>4</v>
      </c>
      <c r="AK97" s="6">
        <v>4</v>
      </c>
      <c r="AL97" s="6">
        <v>4</v>
      </c>
      <c r="AM97" s="6">
        <v>2</v>
      </c>
      <c r="AN97" s="6">
        <v>1</v>
      </c>
      <c r="AO97" s="6">
        <v>1</v>
      </c>
      <c r="AP97" s="6">
        <v>1</v>
      </c>
      <c r="AQ97" s="6">
        <v>1</v>
      </c>
      <c r="AR97" s="6">
        <v>2</v>
      </c>
      <c r="AS97" s="6">
        <v>3</v>
      </c>
      <c r="AT97" s="6">
        <v>2</v>
      </c>
      <c r="AU97" s="6">
        <v>3</v>
      </c>
      <c r="AV97" s="6">
        <v>1</v>
      </c>
      <c r="AW97" s="6">
        <v>2</v>
      </c>
      <c r="AX97" s="6">
        <v>3</v>
      </c>
      <c r="AY97" s="6">
        <v>1</v>
      </c>
      <c r="AZ97" s="6">
        <v>3</v>
      </c>
      <c r="BA97" s="3">
        <f t="shared" si="187"/>
        <v>16</v>
      </c>
      <c r="BB97" s="3">
        <f t="shared" si="172"/>
        <v>4</v>
      </c>
      <c r="BC97" s="3">
        <f t="shared" si="173"/>
        <v>7</v>
      </c>
      <c r="BD97" s="3">
        <f t="shared" si="174"/>
        <v>7</v>
      </c>
      <c r="BE97" s="3">
        <f t="shared" si="175"/>
        <v>16</v>
      </c>
      <c r="BF97" s="3">
        <f t="shared" si="176"/>
        <v>8</v>
      </c>
      <c r="BG97" s="3">
        <f t="shared" si="177"/>
        <v>7</v>
      </c>
      <c r="BH97" s="3">
        <f t="shared" si="178"/>
        <v>65</v>
      </c>
      <c r="BJ97" s="62">
        <f t="shared" si="179"/>
        <v>100</v>
      </c>
      <c r="BK97" s="62">
        <f t="shared" si="180"/>
        <v>33.333333333333329</v>
      </c>
      <c r="BL97" s="62">
        <f t="shared" si="181"/>
        <v>35</v>
      </c>
      <c r="BM97" s="62">
        <f t="shared" si="182"/>
        <v>58.333333333333336</v>
      </c>
      <c r="BN97" s="62">
        <f t="shared" si="183"/>
        <v>44.444444444444443</v>
      </c>
      <c r="BO97" s="62">
        <f t="shared" si="184"/>
        <v>66.666666666666657</v>
      </c>
      <c r="BP97" s="62">
        <f t="shared" si="185"/>
        <v>43.75</v>
      </c>
      <c r="BQ97" s="62">
        <f t="shared" si="186"/>
        <v>52.419354838709673</v>
      </c>
    </row>
    <row r="98" spans="1:69">
      <c r="A98" s="3">
        <v>95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6">
        <v>1</v>
      </c>
      <c r="W98" s="6">
        <v>0</v>
      </c>
      <c r="X98" s="6">
        <v>0</v>
      </c>
      <c r="Y98" s="6">
        <v>0</v>
      </c>
      <c r="Z98" s="6">
        <v>2</v>
      </c>
      <c r="AA98" s="6">
        <v>2</v>
      </c>
      <c r="AB98" s="6">
        <v>1</v>
      </c>
      <c r="AC98" s="6">
        <v>2</v>
      </c>
      <c r="AD98" s="6">
        <v>3</v>
      </c>
      <c r="AE98" s="6">
        <v>0</v>
      </c>
      <c r="AF98" s="6">
        <v>0</v>
      </c>
      <c r="AG98" s="6">
        <v>1</v>
      </c>
      <c r="AH98" s="6">
        <v>0</v>
      </c>
      <c r="AI98" s="6">
        <v>2</v>
      </c>
      <c r="AJ98" s="6">
        <v>1</v>
      </c>
      <c r="AK98" s="6">
        <v>3</v>
      </c>
      <c r="AL98" s="6">
        <v>2</v>
      </c>
      <c r="AM98" s="6">
        <v>1</v>
      </c>
      <c r="AN98" s="6">
        <v>1</v>
      </c>
      <c r="AO98" s="6">
        <v>1</v>
      </c>
      <c r="AP98" s="6">
        <v>1</v>
      </c>
      <c r="AQ98" s="6">
        <v>3</v>
      </c>
      <c r="AR98" s="6">
        <v>2</v>
      </c>
      <c r="AS98" s="6">
        <v>3</v>
      </c>
      <c r="AT98" s="6">
        <v>1</v>
      </c>
      <c r="AU98" s="6">
        <v>3</v>
      </c>
      <c r="AV98" s="6">
        <v>1</v>
      </c>
      <c r="AW98" s="6">
        <v>3</v>
      </c>
      <c r="AX98" s="6">
        <v>0</v>
      </c>
      <c r="AY98" s="6">
        <v>4</v>
      </c>
      <c r="AZ98" s="6">
        <v>2</v>
      </c>
      <c r="BA98" s="3">
        <f t="shared" si="187"/>
        <v>8</v>
      </c>
      <c r="BB98" s="3">
        <f t="shared" si="172"/>
        <v>5</v>
      </c>
      <c r="BC98" s="3">
        <f t="shared" si="173"/>
        <v>6</v>
      </c>
      <c r="BD98" s="3">
        <f t="shared" si="174"/>
        <v>6</v>
      </c>
      <c r="BE98" s="3">
        <f t="shared" si="175"/>
        <v>11</v>
      </c>
      <c r="BF98" s="3">
        <f t="shared" si="176"/>
        <v>9</v>
      </c>
      <c r="BG98" s="3">
        <f t="shared" si="177"/>
        <v>1</v>
      </c>
      <c r="BH98" s="3">
        <f t="shared" si="178"/>
        <v>46</v>
      </c>
      <c r="BJ98" s="62">
        <f t="shared" si="179"/>
        <v>50</v>
      </c>
      <c r="BK98" s="62">
        <f t="shared" si="180"/>
        <v>41.666666666666671</v>
      </c>
      <c r="BL98" s="62">
        <f t="shared" si="181"/>
        <v>30</v>
      </c>
      <c r="BM98" s="62">
        <f t="shared" si="182"/>
        <v>50</v>
      </c>
      <c r="BN98" s="62">
        <f t="shared" si="183"/>
        <v>30.555555555555557</v>
      </c>
      <c r="BO98" s="62">
        <f t="shared" si="184"/>
        <v>75</v>
      </c>
      <c r="BP98" s="62">
        <f t="shared" si="185"/>
        <v>6.25</v>
      </c>
      <c r="BQ98" s="62">
        <f t="shared" si="186"/>
        <v>37.096774193548384</v>
      </c>
    </row>
    <row r="99" spans="1:69">
      <c r="A99" s="3">
        <v>96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6">
        <v>1</v>
      </c>
      <c r="W99" s="6">
        <v>2</v>
      </c>
      <c r="X99" s="6">
        <v>2</v>
      </c>
      <c r="Y99" s="6">
        <v>1</v>
      </c>
      <c r="Z99" s="6">
        <v>1</v>
      </c>
      <c r="AA99" s="6">
        <v>2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3</v>
      </c>
      <c r="AJ99" s="6">
        <v>3</v>
      </c>
      <c r="AK99" s="6">
        <v>3</v>
      </c>
      <c r="AL99" s="6">
        <v>3</v>
      </c>
      <c r="AM99" s="6">
        <v>2</v>
      </c>
      <c r="AN99" s="6">
        <v>2</v>
      </c>
      <c r="AO99" s="6">
        <v>1</v>
      </c>
      <c r="AP99" s="6">
        <v>3</v>
      </c>
      <c r="AQ99" s="6">
        <v>0</v>
      </c>
      <c r="AR99" s="6">
        <v>2</v>
      </c>
      <c r="AS99" s="6">
        <v>1</v>
      </c>
      <c r="AT99" s="6">
        <v>0</v>
      </c>
      <c r="AU99" s="6">
        <v>1</v>
      </c>
      <c r="AV99" s="6">
        <v>1</v>
      </c>
      <c r="AW99" s="6">
        <v>1</v>
      </c>
      <c r="AX99" s="6">
        <v>1</v>
      </c>
      <c r="AY99" s="6">
        <v>2</v>
      </c>
      <c r="AZ99" s="6">
        <v>0</v>
      </c>
      <c r="BA99" s="3">
        <f t="shared" si="187"/>
        <v>12</v>
      </c>
      <c r="BB99" s="3">
        <f t="shared" si="172"/>
        <v>1</v>
      </c>
      <c r="BC99" s="3">
        <f t="shared" si="173"/>
        <v>10</v>
      </c>
      <c r="BD99" s="3">
        <f t="shared" si="174"/>
        <v>3</v>
      </c>
      <c r="BE99" s="3">
        <f t="shared" si="175"/>
        <v>3</v>
      </c>
      <c r="BF99" s="3">
        <f t="shared" si="176"/>
        <v>3</v>
      </c>
      <c r="BG99" s="3">
        <f t="shared" si="177"/>
        <v>6</v>
      </c>
      <c r="BH99" s="3">
        <f t="shared" si="178"/>
        <v>38</v>
      </c>
      <c r="BJ99" s="62">
        <f t="shared" si="179"/>
        <v>75</v>
      </c>
      <c r="BK99" s="62">
        <f t="shared" si="180"/>
        <v>8.3333333333333321</v>
      </c>
      <c r="BL99" s="62">
        <f t="shared" si="181"/>
        <v>50</v>
      </c>
      <c r="BM99" s="62">
        <f t="shared" si="182"/>
        <v>25</v>
      </c>
      <c r="BN99" s="62">
        <f t="shared" si="183"/>
        <v>8.3333333333333321</v>
      </c>
      <c r="BO99" s="62">
        <f t="shared" si="184"/>
        <v>25</v>
      </c>
      <c r="BP99" s="62">
        <f t="shared" si="185"/>
        <v>37.5</v>
      </c>
      <c r="BQ99" s="62">
        <f t="shared" si="186"/>
        <v>30.64516129032258</v>
      </c>
    </row>
    <row r="100" spans="1:69">
      <c r="A100" s="3">
        <v>97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6">
        <v>2</v>
      </c>
      <c r="W100" s="6">
        <v>0</v>
      </c>
      <c r="X100" s="6">
        <v>0</v>
      </c>
      <c r="Y100" s="6">
        <v>2</v>
      </c>
      <c r="Z100" s="6">
        <v>4</v>
      </c>
      <c r="AA100" s="6">
        <v>4</v>
      </c>
      <c r="AB100" s="6">
        <v>2</v>
      </c>
      <c r="AC100" s="6">
        <v>3</v>
      </c>
      <c r="AD100" s="6">
        <v>1</v>
      </c>
      <c r="AE100" s="6">
        <v>2</v>
      </c>
      <c r="AF100" s="6">
        <v>0</v>
      </c>
      <c r="AG100" s="6">
        <v>1</v>
      </c>
      <c r="AH100" s="6">
        <v>1</v>
      </c>
      <c r="AI100" s="6">
        <v>2</v>
      </c>
      <c r="AJ100" s="6">
        <v>2</v>
      </c>
      <c r="AK100" s="6">
        <v>3</v>
      </c>
      <c r="AL100" s="6">
        <v>3</v>
      </c>
      <c r="AM100" s="6">
        <v>2</v>
      </c>
      <c r="AN100" s="6">
        <v>2</v>
      </c>
      <c r="AO100" s="6">
        <v>2</v>
      </c>
      <c r="AP100" s="6">
        <v>3</v>
      </c>
      <c r="AQ100" s="6">
        <v>3</v>
      </c>
      <c r="AR100" s="6">
        <v>3</v>
      </c>
      <c r="AS100" s="6">
        <v>4</v>
      </c>
      <c r="AT100" s="6">
        <v>2</v>
      </c>
      <c r="AU100" s="6">
        <v>2</v>
      </c>
      <c r="AV100" s="6">
        <v>1</v>
      </c>
      <c r="AW100" s="6">
        <v>3</v>
      </c>
      <c r="AX100" s="6"/>
      <c r="AY100" s="6">
        <v>3</v>
      </c>
      <c r="AZ100" s="6">
        <v>3</v>
      </c>
      <c r="BA100" s="3">
        <f t="shared" si="187"/>
        <v>10</v>
      </c>
      <c r="BB100" s="3">
        <f t="shared" ref="BB100:BB113" si="188">SUM(AQ100+AT100+AV100)</f>
        <v>6</v>
      </c>
      <c r="BC100" s="3">
        <f t="shared" ref="BC100:BC113" si="189">SUM(AM100+AN100+AO100+AP100+AR100)</f>
        <v>12</v>
      </c>
      <c r="BD100" s="3">
        <f t="shared" ref="BD100:BD113" si="190">SUM(AX100+AY100+AZ100)</f>
        <v>6</v>
      </c>
      <c r="BE100" s="3">
        <f t="shared" ref="BE100:BE113" si="191">SUM(Z100:AH100)</f>
        <v>18</v>
      </c>
      <c r="BF100" s="3">
        <f t="shared" ref="BF100:BF113" si="192">SUM(AS100+AU100+AW100)</f>
        <v>9</v>
      </c>
      <c r="BG100" s="3">
        <f t="shared" ref="BG100:BG113" si="193">SUM(V100:Y100)</f>
        <v>4</v>
      </c>
      <c r="BH100" s="3">
        <f t="shared" ref="BH100:BH113" si="194">SUM(BA100:BG100)</f>
        <v>65</v>
      </c>
      <c r="BJ100" s="62">
        <f t="shared" ref="BJ100:BJ113" si="195">SUM(BA100/16)*100</f>
        <v>62.5</v>
      </c>
      <c r="BK100" s="62">
        <f t="shared" ref="BK100:BK113" si="196">SUM(BB100/12)*100</f>
        <v>50</v>
      </c>
      <c r="BL100" s="62">
        <f t="shared" ref="BL100:BL113" si="197">SUM(BC100/20)*100</f>
        <v>60</v>
      </c>
      <c r="BM100" s="62">
        <f t="shared" ref="BM100:BM113" si="198">SUM(BD100/12)*100</f>
        <v>50</v>
      </c>
      <c r="BN100" s="62">
        <f t="shared" ref="BN100:BN113" si="199">SUM(BE100/36)*100</f>
        <v>50</v>
      </c>
      <c r="BO100" s="62">
        <f t="shared" ref="BO100:BO113" si="200">SUM(BF100/12)*100</f>
        <v>75</v>
      </c>
      <c r="BP100" s="62">
        <f t="shared" ref="BP100:BP113" si="201">SUM(BG100/16)*100</f>
        <v>25</v>
      </c>
      <c r="BQ100" s="62">
        <f t="shared" ref="BQ100:BQ113" si="202">SUM(BH100/124)*100</f>
        <v>52.419354838709673</v>
      </c>
    </row>
    <row r="101" spans="1:69">
      <c r="A101" s="3">
        <v>98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6">
        <v>0</v>
      </c>
      <c r="W101" s="6">
        <v>0</v>
      </c>
      <c r="X101" s="6">
        <v>0</v>
      </c>
      <c r="Y101" s="6">
        <v>0</v>
      </c>
      <c r="Z101" s="6">
        <v>3</v>
      </c>
      <c r="AA101" s="6">
        <v>2</v>
      </c>
      <c r="AB101" s="6">
        <v>0</v>
      </c>
      <c r="AC101" s="6">
        <v>0</v>
      </c>
      <c r="AD101" s="6">
        <v>0</v>
      </c>
      <c r="AE101" s="6">
        <v>1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1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2</v>
      </c>
      <c r="AY101" s="6">
        <v>3</v>
      </c>
      <c r="AZ101" s="6">
        <v>3</v>
      </c>
      <c r="BA101" s="3">
        <f t="shared" ref="BA101:BA113" si="203">SUM(AI101:AL101)</f>
        <v>0</v>
      </c>
      <c r="BB101" s="3">
        <f t="shared" si="188"/>
        <v>0</v>
      </c>
      <c r="BC101" s="3">
        <f t="shared" si="189"/>
        <v>1</v>
      </c>
      <c r="BD101" s="3">
        <f t="shared" si="190"/>
        <v>8</v>
      </c>
      <c r="BE101" s="3">
        <f t="shared" si="191"/>
        <v>6</v>
      </c>
      <c r="BF101" s="3">
        <f t="shared" si="192"/>
        <v>0</v>
      </c>
      <c r="BG101" s="3">
        <f t="shared" si="193"/>
        <v>0</v>
      </c>
      <c r="BH101" s="3">
        <f t="shared" si="194"/>
        <v>15</v>
      </c>
      <c r="BJ101" s="62">
        <f t="shared" si="195"/>
        <v>0</v>
      </c>
      <c r="BK101" s="62">
        <f t="shared" si="196"/>
        <v>0</v>
      </c>
      <c r="BL101" s="62">
        <f t="shared" si="197"/>
        <v>5</v>
      </c>
      <c r="BM101" s="62">
        <f t="shared" si="198"/>
        <v>66.666666666666657</v>
      </c>
      <c r="BN101" s="62">
        <f t="shared" si="199"/>
        <v>16.666666666666664</v>
      </c>
      <c r="BO101" s="62">
        <f t="shared" si="200"/>
        <v>0</v>
      </c>
      <c r="BP101" s="62">
        <f t="shared" si="201"/>
        <v>0</v>
      </c>
      <c r="BQ101" s="62">
        <f t="shared" si="202"/>
        <v>12.096774193548388</v>
      </c>
    </row>
    <row r="102" spans="1:69">
      <c r="A102" s="3">
        <v>99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6">
        <v>2</v>
      </c>
      <c r="W102" s="6">
        <v>2</v>
      </c>
      <c r="X102" s="6">
        <v>2</v>
      </c>
      <c r="Y102" s="6">
        <v>3</v>
      </c>
      <c r="Z102" s="6">
        <v>2</v>
      </c>
      <c r="AA102" s="6">
        <v>3</v>
      </c>
      <c r="AB102" s="6">
        <v>1</v>
      </c>
      <c r="AC102" s="6">
        <v>2</v>
      </c>
      <c r="AD102" s="6">
        <v>2</v>
      </c>
      <c r="AE102" s="6">
        <v>2</v>
      </c>
      <c r="AF102" s="6">
        <v>2</v>
      </c>
      <c r="AG102" s="6">
        <v>2</v>
      </c>
      <c r="AH102" s="6">
        <v>2</v>
      </c>
      <c r="AI102" s="6">
        <v>2</v>
      </c>
      <c r="AJ102" s="6">
        <v>3</v>
      </c>
      <c r="AK102" s="6">
        <v>3</v>
      </c>
      <c r="AL102" s="6">
        <v>3</v>
      </c>
      <c r="AM102" s="6">
        <v>3</v>
      </c>
      <c r="AN102" s="6">
        <v>1</v>
      </c>
      <c r="AO102" s="6">
        <v>2</v>
      </c>
      <c r="AP102" s="6">
        <v>2</v>
      </c>
      <c r="AQ102" s="6">
        <v>2</v>
      </c>
      <c r="AR102" s="6">
        <v>3</v>
      </c>
      <c r="AS102" s="6">
        <v>3</v>
      </c>
      <c r="AT102" s="6">
        <v>3</v>
      </c>
      <c r="AU102" s="6">
        <v>3</v>
      </c>
      <c r="AV102" s="6">
        <v>2</v>
      </c>
      <c r="AW102" s="6">
        <v>3</v>
      </c>
      <c r="AX102" s="6">
        <v>0</v>
      </c>
      <c r="AY102" s="6">
        <v>4</v>
      </c>
      <c r="AZ102" s="6">
        <v>4</v>
      </c>
      <c r="BA102" s="3">
        <f t="shared" si="203"/>
        <v>11</v>
      </c>
      <c r="BB102" s="3">
        <f t="shared" si="188"/>
        <v>7</v>
      </c>
      <c r="BC102" s="3">
        <f t="shared" si="189"/>
        <v>11</v>
      </c>
      <c r="BD102" s="3">
        <f t="shared" si="190"/>
        <v>8</v>
      </c>
      <c r="BE102" s="3">
        <f t="shared" si="191"/>
        <v>18</v>
      </c>
      <c r="BF102" s="3">
        <f t="shared" si="192"/>
        <v>9</v>
      </c>
      <c r="BG102" s="3">
        <f t="shared" si="193"/>
        <v>9</v>
      </c>
      <c r="BH102" s="3">
        <f t="shared" si="194"/>
        <v>73</v>
      </c>
      <c r="BJ102" s="62">
        <f t="shared" si="195"/>
        <v>68.75</v>
      </c>
      <c r="BK102" s="62">
        <f t="shared" si="196"/>
        <v>58.333333333333336</v>
      </c>
      <c r="BL102" s="62">
        <f t="shared" si="197"/>
        <v>55.000000000000007</v>
      </c>
      <c r="BM102" s="62">
        <f t="shared" si="198"/>
        <v>66.666666666666657</v>
      </c>
      <c r="BN102" s="62">
        <f t="shared" si="199"/>
        <v>50</v>
      </c>
      <c r="BO102" s="62">
        <f t="shared" si="200"/>
        <v>75</v>
      </c>
      <c r="BP102" s="62">
        <f t="shared" si="201"/>
        <v>56.25</v>
      </c>
      <c r="BQ102" s="62">
        <f t="shared" si="202"/>
        <v>58.870967741935488</v>
      </c>
    </row>
    <row r="103" spans="1:69">
      <c r="A103" s="3">
        <v>100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6">
        <v>2</v>
      </c>
      <c r="W103" s="6">
        <v>1</v>
      </c>
      <c r="X103" s="6">
        <v>1</v>
      </c>
      <c r="Y103" s="6">
        <v>2</v>
      </c>
      <c r="Z103" s="6">
        <v>1</v>
      </c>
      <c r="AA103" s="6">
        <v>2</v>
      </c>
      <c r="AB103" s="6">
        <v>1</v>
      </c>
      <c r="AC103" s="6">
        <v>1</v>
      </c>
      <c r="AD103" s="6">
        <v>1</v>
      </c>
      <c r="AE103" s="6">
        <v>0</v>
      </c>
      <c r="AF103" s="6">
        <v>0</v>
      </c>
      <c r="AG103" s="6">
        <v>1</v>
      </c>
      <c r="AH103" s="6">
        <v>1</v>
      </c>
      <c r="AI103" s="6">
        <v>2</v>
      </c>
      <c r="AJ103" s="6">
        <v>2</v>
      </c>
      <c r="AK103" s="6">
        <v>2</v>
      </c>
      <c r="AL103" s="6">
        <v>2</v>
      </c>
      <c r="AM103" s="6">
        <v>1</v>
      </c>
      <c r="AN103" s="6">
        <v>1</v>
      </c>
      <c r="AO103" s="6">
        <v>1</v>
      </c>
      <c r="AP103" s="6">
        <v>1</v>
      </c>
      <c r="AQ103" s="6">
        <v>1</v>
      </c>
      <c r="AR103" s="6">
        <v>1</v>
      </c>
      <c r="AS103" s="6">
        <v>2</v>
      </c>
      <c r="AT103" s="6">
        <v>1</v>
      </c>
      <c r="AU103" s="6">
        <v>3</v>
      </c>
      <c r="AV103" s="6">
        <v>2</v>
      </c>
      <c r="AW103" s="6">
        <v>2</v>
      </c>
      <c r="AX103" s="6">
        <v>2</v>
      </c>
      <c r="AY103" s="6">
        <v>2</v>
      </c>
      <c r="AZ103" s="6">
        <v>2</v>
      </c>
      <c r="BA103" s="3">
        <f t="shared" si="203"/>
        <v>8</v>
      </c>
      <c r="BB103" s="3">
        <f t="shared" si="188"/>
        <v>4</v>
      </c>
      <c r="BC103" s="3">
        <f t="shared" si="189"/>
        <v>5</v>
      </c>
      <c r="BD103" s="3">
        <f t="shared" si="190"/>
        <v>6</v>
      </c>
      <c r="BE103" s="3">
        <f t="shared" si="191"/>
        <v>8</v>
      </c>
      <c r="BF103" s="3">
        <f t="shared" si="192"/>
        <v>7</v>
      </c>
      <c r="BG103" s="3">
        <f t="shared" si="193"/>
        <v>6</v>
      </c>
      <c r="BH103" s="3">
        <f t="shared" si="194"/>
        <v>44</v>
      </c>
      <c r="BJ103" s="62">
        <f t="shared" si="195"/>
        <v>50</v>
      </c>
      <c r="BK103" s="62">
        <f t="shared" si="196"/>
        <v>33.333333333333329</v>
      </c>
      <c r="BL103" s="62">
        <f t="shared" si="197"/>
        <v>25</v>
      </c>
      <c r="BM103" s="62">
        <f t="shared" si="198"/>
        <v>50</v>
      </c>
      <c r="BN103" s="62">
        <f t="shared" si="199"/>
        <v>22.222222222222221</v>
      </c>
      <c r="BO103" s="62">
        <f t="shared" si="200"/>
        <v>58.333333333333336</v>
      </c>
      <c r="BP103" s="62">
        <f t="shared" si="201"/>
        <v>37.5</v>
      </c>
      <c r="BQ103" s="62">
        <f t="shared" si="202"/>
        <v>35.483870967741936</v>
      </c>
    </row>
    <row r="104" spans="1:69">
      <c r="A104" s="3">
        <v>101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6">
        <v>3</v>
      </c>
      <c r="W104" s="6">
        <v>2</v>
      </c>
      <c r="X104" s="6">
        <v>2</v>
      </c>
      <c r="Y104" s="6">
        <v>3</v>
      </c>
      <c r="Z104" s="6">
        <v>2</v>
      </c>
      <c r="AA104" s="6">
        <v>2</v>
      </c>
      <c r="AB104" s="6">
        <v>2</v>
      </c>
      <c r="AC104" s="6">
        <v>1</v>
      </c>
      <c r="AD104" s="6">
        <v>3</v>
      </c>
      <c r="AE104" s="6">
        <v>2</v>
      </c>
      <c r="AF104" s="6">
        <v>0</v>
      </c>
      <c r="AG104" s="6">
        <v>0</v>
      </c>
      <c r="AH104" s="6">
        <v>0</v>
      </c>
      <c r="AI104" s="6">
        <v>2</v>
      </c>
      <c r="AJ104" s="6">
        <v>2</v>
      </c>
      <c r="AK104" s="6">
        <v>2</v>
      </c>
      <c r="AL104" s="6">
        <v>2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2</v>
      </c>
      <c r="AT104" s="6">
        <v>0</v>
      </c>
      <c r="AU104" s="6">
        <v>2</v>
      </c>
      <c r="AV104" s="6">
        <v>2</v>
      </c>
      <c r="AW104" s="6">
        <v>2</v>
      </c>
      <c r="AX104" s="6">
        <v>2</v>
      </c>
      <c r="AY104" s="6">
        <v>2</v>
      </c>
      <c r="AZ104" s="6">
        <v>3</v>
      </c>
      <c r="BA104" s="3">
        <f t="shared" si="203"/>
        <v>8</v>
      </c>
      <c r="BB104" s="3">
        <f t="shared" si="188"/>
        <v>2</v>
      </c>
      <c r="BC104" s="3">
        <f t="shared" si="189"/>
        <v>0</v>
      </c>
      <c r="BD104" s="3">
        <f t="shared" si="190"/>
        <v>7</v>
      </c>
      <c r="BE104" s="3">
        <f t="shared" si="191"/>
        <v>12</v>
      </c>
      <c r="BF104" s="3">
        <f t="shared" si="192"/>
        <v>6</v>
      </c>
      <c r="BG104" s="3">
        <f t="shared" si="193"/>
        <v>10</v>
      </c>
      <c r="BH104" s="3">
        <f t="shared" si="194"/>
        <v>45</v>
      </c>
      <c r="BJ104" s="62">
        <f t="shared" si="195"/>
        <v>50</v>
      </c>
      <c r="BK104" s="62">
        <f t="shared" si="196"/>
        <v>16.666666666666664</v>
      </c>
      <c r="BL104" s="62">
        <f t="shared" si="197"/>
        <v>0</v>
      </c>
      <c r="BM104" s="62">
        <f t="shared" si="198"/>
        <v>58.333333333333336</v>
      </c>
      <c r="BN104" s="62">
        <f t="shared" si="199"/>
        <v>33.333333333333329</v>
      </c>
      <c r="BO104" s="62">
        <f t="shared" si="200"/>
        <v>50</v>
      </c>
      <c r="BP104" s="62">
        <f t="shared" si="201"/>
        <v>62.5</v>
      </c>
      <c r="BQ104" s="62">
        <f t="shared" si="202"/>
        <v>36.29032258064516</v>
      </c>
    </row>
    <row r="105" spans="1:69">
      <c r="A105" s="3">
        <v>102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6">
        <v>3</v>
      </c>
      <c r="W105" s="6">
        <v>2</v>
      </c>
      <c r="X105" s="6">
        <v>1</v>
      </c>
      <c r="Y105" s="6">
        <v>3</v>
      </c>
      <c r="Z105" s="6">
        <v>3</v>
      </c>
      <c r="AA105" s="6">
        <v>3</v>
      </c>
      <c r="AB105" s="6">
        <v>1</v>
      </c>
      <c r="AC105" s="6">
        <v>4</v>
      </c>
      <c r="AD105" s="6">
        <v>2</v>
      </c>
      <c r="AE105" s="6">
        <v>1</v>
      </c>
      <c r="AF105" s="6">
        <v>0</v>
      </c>
      <c r="AG105" s="6">
        <v>2</v>
      </c>
      <c r="AH105" s="6">
        <v>2</v>
      </c>
      <c r="AI105" s="6">
        <v>2</v>
      </c>
      <c r="AJ105" s="6">
        <v>2</v>
      </c>
      <c r="AK105" s="6">
        <v>2</v>
      </c>
      <c r="AL105" s="6">
        <v>2</v>
      </c>
      <c r="AM105" s="6">
        <v>2</v>
      </c>
      <c r="AN105" s="6">
        <v>2</v>
      </c>
      <c r="AO105" s="6">
        <v>2</v>
      </c>
      <c r="AP105" s="6">
        <v>2</v>
      </c>
      <c r="AQ105" s="6">
        <v>3</v>
      </c>
      <c r="AR105" s="6">
        <v>0</v>
      </c>
      <c r="AS105" s="6">
        <v>2</v>
      </c>
      <c r="AT105" s="6">
        <v>2</v>
      </c>
      <c r="AU105" s="6">
        <v>2</v>
      </c>
      <c r="AV105" s="6">
        <v>2</v>
      </c>
      <c r="AW105" s="6">
        <v>0</v>
      </c>
      <c r="AX105" s="6">
        <v>1</v>
      </c>
      <c r="AY105" s="6">
        <v>0</v>
      </c>
      <c r="AZ105" s="6">
        <v>2</v>
      </c>
      <c r="BA105" s="3">
        <f t="shared" si="203"/>
        <v>8</v>
      </c>
      <c r="BB105" s="3">
        <f t="shared" si="188"/>
        <v>7</v>
      </c>
      <c r="BC105" s="3">
        <f t="shared" si="189"/>
        <v>8</v>
      </c>
      <c r="BD105" s="3">
        <f t="shared" si="190"/>
        <v>3</v>
      </c>
      <c r="BE105" s="3">
        <f t="shared" si="191"/>
        <v>18</v>
      </c>
      <c r="BF105" s="3">
        <f t="shared" si="192"/>
        <v>4</v>
      </c>
      <c r="BG105" s="3">
        <f t="shared" si="193"/>
        <v>9</v>
      </c>
      <c r="BH105" s="3">
        <f t="shared" si="194"/>
        <v>57</v>
      </c>
      <c r="BJ105" s="62">
        <f t="shared" si="195"/>
        <v>50</v>
      </c>
      <c r="BK105" s="62">
        <f t="shared" si="196"/>
        <v>58.333333333333336</v>
      </c>
      <c r="BL105" s="62">
        <f t="shared" si="197"/>
        <v>40</v>
      </c>
      <c r="BM105" s="62">
        <f t="shared" si="198"/>
        <v>25</v>
      </c>
      <c r="BN105" s="62">
        <f t="shared" si="199"/>
        <v>50</v>
      </c>
      <c r="BO105" s="62">
        <f t="shared" si="200"/>
        <v>33.333333333333329</v>
      </c>
      <c r="BP105" s="62">
        <f t="shared" si="201"/>
        <v>56.25</v>
      </c>
      <c r="BQ105" s="62">
        <f t="shared" si="202"/>
        <v>45.967741935483872</v>
      </c>
    </row>
    <row r="106" spans="1:69">
      <c r="A106" s="3">
        <v>103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6">
        <v>2</v>
      </c>
      <c r="W106" s="6">
        <v>0</v>
      </c>
      <c r="X106" s="6">
        <v>2</v>
      </c>
      <c r="Y106" s="6">
        <v>2</v>
      </c>
      <c r="Z106" s="6">
        <v>1</v>
      </c>
      <c r="AA106" s="6">
        <v>2</v>
      </c>
      <c r="AB106" s="6">
        <v>4</v>
      </c>
      <c r="AC106" s="6">
        <v>2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2</v>
      </c>
      <c r="AK106" s="6">
        <v>2</v>
      </c>
      <c r="AL106" s="6">
        <v>2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1</v>
      </c>
      <c r="AT106" s="6">
        <v>0</v>
      </c>
      <c r="AU106" s="6">
        <v>1</v>
      </c>
      <c r="AV106" s="6">
        <v>0</v>
      </c>
      <c r="AW106" s="6">
        <v>1</v>
      </c>
      <c r="AX106" s="6">
        <v>2</v>
      </c>
      <c r="AY106" s="6">
        <v>1</v>
      </c>
      <c r="AZ106" s="6">
        <v>2</v>
      </c>
      <c r="BA106" s="3">
        <f t="shared" si="203"/>
        <v>6</v>
      </c>
      <c r="BB106" s="3">
        <f t="shared" si="188"/>
        <v>0</v>
      </c>
      <c r="BC106" s="3">
        <f t="shared" si="189"/>
        <v>0</v>
      </c>
      <c r="BD106" s="3">
        <f t="shared" si="190"/>
        <v>5</v>
      </c>
      <c r="BE106" s="3">
        <f t="shared" si="191"/>
        <v>9</v>
      </c>
      <c r="BF106" s="3">
        <f t="shared" si="192"/>
        <v>3</v>
      </c>
      <c r="BG106" s="3">
        <f t="shared" si="193"/>
        <v>6</v>
      </c>
      <c r="BH106" s="3">
        <f t="shared" si="194"/>
        <v>29</v>
      </c>
      <c r="BJ106" s="62">
        <f t="shared" si="195"/>
        <v>37.5</v>
      </c>
      <c r="BK106" s="62">
        <f t="shared" si="196"/>
        <v>0</v>
      </c>
      <c r="BL106" s="62">
        <f t="shared" si="197"/>
        <v>0</v>
      </c>
      <c r="BM106" s="62">
        <f t="shared" si="198"/>
        <v>41.666666666666671</v>
      </c>
      <c r="BN106" s="62">
        <f t="shared" si="199"/>
        <v>25</v>
      </c>
      <c r="BO106" s="62">
        <f t="shared" si="200"/>
        <v>25</v>
      </c>
      <c r="BP106" s="62">
        <f t="shared" si="201"/>
        <v>37.5</v>
      </c>
      <c r="BQ106" s="62">
        <f t="shared" si="202"/>
        <v>23.387096774193548</v>
      </c>
    </row>
    <row r="107" spans="1:69">
      <c r="A107" s="3">
        <v>104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6">
        <v>2</v>
      </c>
      <c r="W107" s="6">
        <v>3</v>
      </c>
      <c r="X107" s="6">
        <v>0</v>
      </c>
      <c r="Y107" s="6">
        <v>1</v>
      </c>
      <c r="Z107" s="6">
        <v>4</v>
      </c>
      <c r="AA107" s="6">
        <v>4</v>
      </c>
      <c r="AB107" s="6">
        <v>2</v>
      </c>
      <c r="AC107" s="6">
        <v>4</v>
      </c>
      <c r="AD107" s="6">
        <v>2</v>
      </c>
      <c r="AE107" s="6">
        <v>4</v>
      </c>
      <c r="AF107" s="6">
        <v>2</v>
      </c>
      <c r="AG107" s="6">
        <v>4</v>
      </c>
      <c r="AH107" s="6">
        <v>4</v>
      </c>
      <c r="AI107" s="6">
        <v>2</v>
      </c>
      <c r="AJ107" s="6">
        <v>3</v>
      </c>
      <c r="AK107" s="6">
        <v>3</v>
      </c>
      <c r="AL107" s="6">
        <v>3</v>
      </c>
      <c r="AM107" s="6">
        <v>2</v>
      </c>
      <c r="AN107" s="6">
        <v>3</v>
      </c>
      <c r="AO107" s="6">
        <v>4</v>
      </c>
      <c r="AP107" s="6">
        <v>4</v>
      </c>
      <c r="AQ107" s="6">
        <v>2</v>
      </c>
      <c r="AR107" s="6">
        <v>4</v>
      </c>
      <c r="AS107" s="6">
        <v>1</v>
      </c>
      <c r="AT107" s="6">
        <v>4</v>
      </c>
      <c r="AU107" s="6">
        <v>1</v>
      </c>
      <c r="AV107" s="6">
        <v>2</v>
      </c>
      <c r="AW107" s="6">
        <v>0</v>
      </c>
      <c r="AX107" s="6">
        <v>4</v>
      </c>
      <c r="AY107" s="6">
        <v>0</v>
      </c>
      <c r="AZ107" s="6">
        <v>4</v>
      </c>
      <c r="BA107" s="3">
        <f t="shared" si="203"/>
        <v>11</v>
      </c>
      <c r="BB107" s="3">
        <f t="shared" si="188"/>
        <v>8</v>
      </c>
      <c r="BC107" s="3">
        <f t="shared" si="189"/>
        <v>17</v>
      </c>
      <c r="BD107" s="3">
        <f t="shared" si="190"/>
        <v>8</v>
      </c>
      <c r="BE107" s="3">
        <f t="shared" si="191"/>
        <v>30</v>
      </c>
      <c r="BF107" s="3">
        <f t="shared" si="192"/>
        <v>2</v>
      </c>
      <c r="BG107" s="3">
        <f t="shared" si="193"/>
        <v>6</v>
      </c>
      <c r="BH107" s="3">
        <f t="shared" si="194"/>
        <v>82</v>
      </c>
      <c r="BJ107" s="62">
        <f t="shared" si="195"/>
        <v>68.75</v>
      </c>
      <c r="BK107" s="62">
        <f t="shared" si="196"/>
        <v>66.666666666666657</v>
      </c>
      <c r="BL107" s="62">
        <f t="shared" si="197"/>
        <v>85</v>
      </c>
      <c r="BM107" s="62">
        <f t="shared" si="198"/>
        <v>66.666666666666657</v>
      </c>
      <c r="BN107" s="62">
        <f t="shared" si="199"/>
        <v>83.333333333333343</v>
      </c>
      <c r="BO107" s="62">
        <f t="shared" si="200"/>
        <v>16.666666666666664</v>
      </c>
      <c r="BP107" s="62">
        <f t="shared" si="201"/>
        <v>37.5</v>
      </c>
      <c r="BQ107" s="62">
        <f t="shared" si="202"/>
        <v>66.129032258064512</v>
      </c>
    </row>
    <row r="108" spans="1:69">
      <c r="A108" s="3">
        <v>105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6">
        <v>4</v>
      </c>
      <c r="W108" s="6">
        <v>2</v>
      </c>
      <c r="X108" s="6">
        <v>4</v>
      </c>
      <c r="Y108" s="6">
        <v>4</v>
      </c>
      <c r="Z108" s="6">
        <v>0</v>
      </c>
      <c r="AA108" s="6">
        <v>1</v>
      </c>
      <c r="AB108" s="6">
        <v>4</v>
      </c>
      <c r="AC108" s="6">
        <v>1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3</v>
      </c>
      <c r="AJ108" s="6">
        <v>3</v>
      </c>
      <c r="AK108" s="6">
        <v>2</v>
      </c>
      <c r="AL108" s="6">
        <v>2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3">
        <f t="shared" si="203"/>
        <v>10</v>
      </c>
      <c r="BB108" s="3">
        <f t="shared" si="188"/>
        <v>0</v>
      </c>
      <c r="BC108" s="3">
        <f t="shared" si="189"/>
        <v>0</v>
      </c>
      <c r="BD108" s="3">
        <f t="shared" si="190"/>
        <v>0</v>
      </c>
      <c r="BE108" s="3">
        <f t="shared" si="191"/>
        <v>6</v>
      </c>
      <c r="BF108" s="3">
        <f t="shared" si="192"/>
        <v>0</v>
      </c>
      <c r="BG108" s="3">
        <f t="shared" si="193"/>
        <v>14</v>
      </c>
      <c r="BH108" s="3">
        <f t="shared" si="194"/>
        <v>30</v>
      </c>
      <c r="BJ108" s="62">
        <f t="shared" si="195"/>
        <v>62.5</v>
      </c>
      <c r="BK108" s="62">
        <f t="shared" si="196"/>
        <v>0</v>
      </c>
      <c r="BL108" s="62">
        <f t="shared" si="197"/>
        <v>0</v>
      </c>
      <c r="BM108" s="62">
        <f t="shared" si="198"/>
        <v>0</v>
      </c>
      <c r="BN108" s="62">
        <f t="shared" si="199"/>
        <v>16.666666666666664</v>
      </c>
      <c r="BO108" s="62">
        <f t="shared" si="200"/>
        <v>0</v>
      </c>
      <c r="BP108" s="62">
        <f t="shared" si="201"/>
        <v>87.5</v>
      </c>
      <c r="BQ108" s="62">
        <f t="shared" si="202"/>
        <v>24.193548387096776</v>
      </c>
    </row>
    <row r="109" spans="1:69">
      <c r="A109" s="3">
        <v>106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6">
        <v>0</v>
      </c>
      <c r="W109" s="6">
        <v>1</v>
      </c>
      <c r="X109" s="6">
        <v>3</v>
      </c>
      <c r="Y109" s="6">
        <v>2</v>
      </c>
      <c r="Z109" s="6">
        <v>1</v>
      </c>
      <c r="AA109" s="6">
        <v>2</v>
      </c>
      <c r="AB109" s="6">
        <v>3</v>
      </c>
      <c r="AC109" s="6">
        <v>2</v>
      </c>
      <c r="AD109" s="6">
        <v>1</v>
      </c>
      <c r="AE109" s="6">
        <v>2</v>
      </c>
      <c r="AF109" s="6">
        <v>0</v>
      </c>
      <c r="AG109" s="6">
        <v>0</v>
      </c>
      <c r="AH109" s="6">
        <v>0</v>
      </c>
      <c r="AI109" s="6">
        <v>0</v>
      </c>
      <c r="AJ109" s="6">
        <v>1</v>
      </c>
      <c r="AK109" s="6">
        <v>2</v>
      </c>
      <c r="AL109" s="6">
        <v>1</v>
      </c>
      <c r="AM109" s="6">
        <v>0</v>
      </c>
      <c r="AN109" s="6">
        <v>1</v>
      </c>
      <c r="AO109" s="6">
        <v>0</v>
      </c>
      <c r="AP109" s="6">
        <v>0</v>
      </c>
      <c r="AQ109" s="6">
        <v>0</v>
      </c>
      <c r="AR109" s="6">
        <v>0</v>
      </c>
      <c r="AS109" s="6">
        <v>2</v>
      </c>
      <c r="AT109" s="6">
        <v>1</v>
      </c>
      <c r="AU109" s="6">
        <v>3</v>
      </c>
      <c r="AV109" s="6">
        <v>2</v>
      </c>
      <c r="AW109" s="6">
        <v>4</v>
      </c>
      <c r="AX109" s="6">
        <v>2</v>
      </c>
      <c r="AY109" s="6">
        <v>3</v>
      </c>
      <c r="AZ109" s="6">
        <v>2</v>
      </c>
      <c r="BA109" s="3">
        <f t="shared" si="203"/>
        <v>4</v>
      </c>
      <c r="BB109" s="3">
        <f t="shared" si="188"/>
        <v>3</v>
      </c>
      <c r="BC109" s="3">
        <f t="shared" si="189"/>
        <v>1</v>
      </c>
      <c r="BD109" s="3">
        <f t="shared" si="190"/>
        <v>7</v>
      </c>
      <c r="BE109" s="3">
        <f t="shared" si="191"/>
        <v>11</v>
      </c>
      <c r="BF109" s="3">
        <f t="shared" si="192"/>
        <v>9</v>
      </c>
      <c r="BG109" s="3">
        <f t="shared" si="193"/>
        <v>6</v>
      </c>
      <c r="BH109" s="3">
        <f t="shared" si="194"/>
        <v>41</v>
      </c>
      <c r="BJ109" s="62">
        <f t="shared" si="195"/>
        <v>25</v>
      </c>
      <c r="BK109" s="62">
        <f t="shared" si="196"/>
        <v>25</v>
      </c>
      <c r="BL109" s="62">
        <f t="shared" si="197"/>
        <v>5</v>
      </c>
      <c r="BM109" s="62">
        <f t="shared" si="198"/>
        <v>58.333333333333336</v>
      </c>
      <c r="BN109" s="62">
        <f t="shared" si="199"/>
        <v>30.555555555555557</v>
      </c>
      <c r="BO109" s="62">
        <f t="shared" si="200"/>
        <v>75</v>
      </c>
      <c r="BP109" s="62">
        <f t="shared" si="201"/>
        <v>37.5</v>
      </c>
      <c r="BQ109" s="62">
        <f t="shared" si="202"/>
        <v>33.064516129032256</v>
      </c>
    </row>
    <row r="110" spans="1:69">
      <c r="A110" s="3">
        <v>107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6">
        <v>2</v>
      </c>
      <c r="W110" s="6">
        <v>0</v>
      </c>
      <c r="X110" s="6">
        <v>4</v>
      </c>
      <c r="Y110" s="6">
        <v>2</v>
      </c>
      <c r="Z110" s="6">
        <v>2</v>
      </c>
      <c r="AA110" s="6">
        <v>2</v>
      </c>
      <c r="AB110" s="6">
        <v>1</v>
      </c>
      <c r="AC110" s="6">
        <v>1</v>
      </c>
      <c r="AD110" s="6">
        <v>1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4</v>
      </c>
      <c r="AT110" s="6">
        <v>0</v>
      </c>
      <c r="AU110" s="6">
        <v>4</v>
      </c>
      <c r="AV110" s="6">
        <v>0</v>
      </c>
      <c r="AW110" s="6">
        <v>4</v>
      </c>
      <c r="AX110" s="6"/>
      <c r="AY110" s="6">
        <v>2</v>
      </c>
      <c r="AZ110" s="6">
        <v>2</v>
      </c>
      <c r="BA110" s="3">
        <f t="shared" si="203"/>
        <v>0</v>
      </c>
      <c r="BB110" s="3">
        <f t="shared" si="188"/>
        <v>0</v>
      </c>
      <c r="BC110" s="3">
        <f t="shared" si="189"/>
        <v>0</v>
      </c>
      <c r="BD110" s="3">
        <f t="shared" si="190"/>
        <v>4</v>
      </c>
      <c r="BE110" s="3">
        <f t="shared" si="191"/>
        <v>7</v>
      </c>
      <c r="BF110" s="3">
        <f t="shared" si="192"/>
        <v>12</v>
      </c>
      <c r="BG110" s="3">
        <f t="shared" si="193"/>
        <v>8</v>
      </c>
      <c r="BH110" s="3">
        <f t="shared" si="194"/>
        <v>31</v>
      </c>
      <c r="BJ110" s="62">
        <f t="shared" si="195"/>
        <v>0</v>
      </c>
      <c r="BK110" s="62">
        <f t="shared" si="196"/>
        <v>0</v>
      </c>
      <c r="BL110" s="62">
        <f t="shared" si="197"/>
        <v>0</v>
      </c>
      <c r="BM110" s="62">
        <f t="shared" si="198"/>
        <v>33.333333333333329</v>
      </c>
      <c r="BN110" s="62">
        <f t="shared" si="199"/>
        <v>19.444444444444446</v>
      </c>
      <c r="BO110" s="62">
        <f t="shared" si="200"/>
        <v>100</v>
      </c>
      <c r="BP110" s="62">
        <f t="shared" si="201"/>
        <v>50</v>
      </c>
      <c r="BQ110" s="62">
        <f t="shared" si="202"/>
        <v>25</v>
      </c>
    </row>
    <row r="111" spans="1:69">
      <c r="A111" s="3">
        <v>108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6">
        <v>1</v>
      </c>
      <c r="W111" s="6">
        <v>3</v>
      </c>
      <c r="X111" s="6">
        <v>4</v>
      </c>
      <c r="Y111" s="6">
        <v>1</v>
      </c>
      <c r="Z111" s="6">
        <v>1</v>
      </c>
      <c r="AA111" s="6">
        <v>2</v>
      </c>
      <c r="AB111" s="6">
        <v>3</v>
      </c>
      <c r="AC111" s="6">
        <v>2</v>
      </c>
      <c r="AD111" s="6">
        <v>2</v>
      </c>
      <c r="AE111" s="6">
        <v>1</v>
      </c>
      <c r="AF111" s="6">
        <v>1</v>
      </c>
      <c r="AG111" s="6">
        <v>0</v>
      </c>
      <c r="AH111" s="6">
        <v>0</v>
      </c>
      <c r="AI111" s="6">
        <v>2</v>
      </c>
      <c r="AJ111" s="6">
        <v>2</v>
      </c>
      <c r="AK111" s="6">
        <v>2</v>
      </c>
      <c r="AL111" s="6">
        <v>2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2</v>
      </c>
      <c r="AT111" s="6">
        <v>1</v>
      </c>
      <c r="AU111" s="6">
        <v>2</v>
      </c>
      <c r="AV111" s="6">
        <v>1</v>
      </c>
      <c r="AW111" s="6">
        <v>2</v>
      </c>
      <c r="AX111" s="6">
        <v>3</v>
      </c>
      <c r="AY111" s="6">
        <v>2</v>
      </c>
      <c r="AZ111" s="6">
        <v>1</v>
      </c>
      <c r="BA111" s="3">
        <f t="shared" si="203"/>
        <v>8</v>
      </c>
      <c r="BB111" s="3">
        <f t="shared" si="188"/>
        <v>2</v>
      </c>
      <c r="BC111" s="3">
        <f t="shared" si="189"/>
        <v>0</v>
      </c>
      <c r="BD111" s="3">
        <f t="shared" si="190"/>
        <v>6</v>
      </c>
      <c r="BE111" s="3">
        <f t="shared" si="191"/>
        <v>12</v>
      </c>
      <c r="BF111" s="3">
        <f t="shared" si="192"/>
        <v>6</v>
      </c>
      <c r="BG111" s="3">
        <f t="shared" si="193"/>
        <v>9</v>
      </c>
      <c r="BH111" s="3">
        <f t="shared" si="194"/>
        <v>43</v>
      </c>
      <c r="BJ111" s="62">
        <f t="shared" si="195"/>
        <v>50</v>
      </c>
      <c r="BK111" s="62">
        <f t="shared" si="196"/>
        <v>16.666666666666664</v>
      </c>
      <c r="BL111" s="62">
        <f t="shared" si="197"/>
        <v>0</v>
      </c>
      <c r="BM111" s="62">
        <f t="shared" si="198"/>
        <v>50</v>
      </c>
      <c r="BN111" s="62">
        <f t="shared" si="199"/>
        <v>33.333333333333329</v>
      </c>
      <c r="BO111" s="62">
        <f t="shared" si="200"/>
        <v>50</v>
      </c>
      <c r="BP111" s="62">
        <f t="shared" si="201"/>
        <v>56.25</v>
      </c>
      <c r="BQ111" s="62">
        <f t="shared" si="202"/>
        <v>34.677419354838712</v>
      </c>
    </row>
    <row r="112" spans="1:69">
      <c r="A112" s="3">
        <v>109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6">
        <v>1</v>
      </c>
      <c r="W112" s="6">
        <v>0</v>
      </c>
      <c r="X112" s="6">
        <v>2</v>
      </c>
      <c r="Y112" s="6">
        <v>2</v>
      </c>
      <c r="Z112" s="6">
        <v>2</v>
      </c>
      <c r="AA112" s="6">
        <v>1</v>
      </c>
      <c r="AB112" s="6">
        <v>0</v>
      </c>
      <c r="AC112" s="6">
        <v>0</v>
      </c>
      <c r="AD112" s="6">
        <v>0</v>
      </c>
      <c r="AE112" s="6">
        <v>1</v>
      </c>
      <c r="AF112" s="6">
        <v>0</v>
      </c>
      <c r="AG112" s="6">
        <v>0</v>
      </c>
      <c r="AH112" s="6">
        <v>0</v>
      </c>
      <c r="AI112" s="6">
        <v>4</v>
      </c>
      <c r="AJ112" s="6">
        <v>3</v>
      </c>
      <c r="AK112" s="6">
        <v>3</v>
      </c>
      <c r="AL112" s="6">
        <v>2</v>
      </c>
      <c r="AM112" s="6">
        <v>1</v>
      </c>
      <c r="AN112" s="6">
        <v>1</v>
      </c>
      <c r="AO112" s="6">
        <v>1</v>
      </c>
      <c r="AP112" s="6">
        <v>1</v>
      </c>
      <c r="AQ112" s="6">
        <v>0</v>
      </c>
      <c r="AR112" s="6">
        <v>1</v>
      </c>
      <c r="AS112" s="6">
        <v>2</v>
      </c>
      <c r="AT112" s="6">
        <v>0</v>
      </c>
      <c r="AU112" s="6">
        <v>1</v>
      </c>
      <c r="AV112" s="6">
        <v>1</v>
      </c>
      <c r="AW112" s="6">
        <v>2</v>
      </c>
      <c r="AX112" s="6">
        <v>3</v>
      </c>
      <c r="AY112" s="6">
        <v>4</v>
      </c>
      <c r="AZ112" s="6">
        <v>4</v>
      </c>
      <c r="BA112" s="3">
        <f t="shared" si="203"/>
        <v>12</v>
      </c>
      <c r="BB112" s="3">
        <f t="shared" si="188"/>
        <v>1</v>
      </c>
      <c r="BC112" s="3">
        <f t="shared" si="189"/>
        <v>5</v>
      </c>
      <c r="BD112" s="3">
        <f t="shared" si="190"/>
        <v>11</v>
      </c>
      <c r="BE112" s="3">
        <f t="shared" si="191"/>
        <v>4</v>
      </c>
      <c r="BF112" s="3">
        <f t="shared" si="192"/>
        <v>5</v>
      </c>
      <c r="BG112" s="3">
        <f t="shared" si="193"/>
        <v>5</v>
      </c>
      <c r="BH112" s="3">
        <f t="shared" si="194"/>
        <v>43</v>
      </c>
      <c r="BJ112" s="62">
        <f t="shared" si="195"/>
        <v>75</v>
      </c>
      <c r="BK112" s="62">
        <f t="shared" si="196"/>
        <v>8.3333333333333321</v>
      </c>
      <c r="BL112" s="62">
        <f t="shared" si="197"/>
        <v>25</v>
      </c>
      <c r="BM112" s="62">
        <f t="shared" si="198"/>
        <v>91.666666666666657</v>
      </c>
      <c r="BN112" s="62">
        <f t="shared" si="199"/>
        <v>11.111111111111111</v>
      </c>
      <c r="BO112" s="62">
        <f t="shared" si="200"/>
        <v>41.666666666666671</v>
      </c>
      <c r="BP112" s="62">
        <f t="shared" si="201"/>
        <v>31.25</v>
      </c>
      <c r="BQ112" s="62">
        <f t="shared" si="202"/>
        <v>34.677419354838712</v>
      </c>
    </row>
    <row r="113" spans="1:69">
      <c r="A113" s="3">
        <v>110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6">
        <v>1</v>
      </c>
      <c r="W113" s="6">
        <v>1</v>
      </c>
      <c r="X113" s="6">
        <v>1</v>
      </c>
      <c r="Y113" s="6">
        <v>1</v>
      </c>
      <c r="Z113" s="6">
        <v>1</v>
      </c>
      <c r="AA113" s="6">
        <v>2</v>
      </c>
      <c r="AB113" s="6">
        <v>1</v>
      </c>
      <c r="AC113" s="6">
        <v>1</v>
      </c>
      <c r="AD113" s="6">
        <v>1</v>
      </c>
      <c r="AE113" s="6">
        <v>1</v>
      </c>
      <c r="AF113" s="6">
        <v>1</v>
      </c>
      <c r="AG113" s="6">
        <v>1</v>
      </c>
      <c r="AH113" s="6">
        <v>1</v>
      </c>
      <c r="AI113" s="6">
        <v>2</v>
      </c>
      <c r="AJ113" s="6">
        <v>1</v>
      </c>
      <c r="AK113" s="6">
        <v>2</v>
      </c>
      <c r="AL113" s="6">
        <v>2</v>
      </c>
      <c r="AM113" s="6">
        <v>1</v>
      </c>
      <c r="AN113" s="6">
        <v>1</v>
      </c>
      <c r="AO113" s="6">
        <v>1</v>
      </c>
      <c r="AP113" s="6">
        <v>1</v>
      </c>
      <c r="AQ113" s="6">
        <v>0</v>
      </c>
      <c r="AR113" s="6">
        <v>1</v>
      </c>
      <c r="AS113" s="6">
        <v>2</v>
      </c>
      <c r="AT113" s="6">
        <v>1</v>
      </c>
      <c r="AU113" s="6">
        <v>3</v>
      </c>
      <c r="AV113" s="6">
        <v>1</v>
      </c>
      <c r="AW113" s="6">
        <v>2</v>
      </c>
      <c r="AX113" s="6">
        <v>2</v>
      </c>
      <c r="AY113" s="6">
        <v>2</v>
      </c>
      <c r="AZ113" s="6">
        <v>1</v>
      </c>
      <c r="BA113" s="3">
        <f t="shared" si="203"/>
        <v>7</v>
      </c>
      <c r="BB113" s="3">
        <f t="shared" si="188"/>
        <v>2</v>
      </c>
      <c r="BC113" s="3">
        <f t="shared" si="189"/>
        <v>5</v>
      </c>
      <c r="BD113" s="3">
        <f t="shared" si="190"/>
        <v>5</v>
      </c>
      <c r="BE113" s="3">
        <f t="shared" si="191"/>
        <v>10</v>
      </c>
      <c r="BF113" s="3">
        <f t="shared" si="192"/>
        <v>7</v>
      </c>
      <c r="BG113" s="3">
        <f t="shared" si="193"/>
        <v>4</v>
      </c>
      <c r="BH113" s="3">
        <f t="shared" si="194"/>
        <v>40</v>
      </c>
      <c r="BJ113" s="62">
        <f t="shared" si="195"/>
        <v>43.75</v>
      </c>
      <c r="BK113" s="62">
        <f t="shared" si="196"/>
        <v>16.666666666666664</v>
      </c>
      <c r="BL113" s="62">
        <f t="shared" si="197"/>
        <v>25</v>
      </c>
      <c r="BM113" s="62">
        <f t="shared" si="198"/>
        <v>41.666666666666671</v>
      </c>
      <c r="BN113" s="62">
        <f t="shared" si="199"/>
        <v>27.777777777777779</v>
      </c>
      <c r="BO113" s="62">
        <f t="shared" si="200"/>
        <v>58.333333333333336</v>
      </c>
      <c r="BP113" s="62">
        <f t="shared" si="201"/>
        <v>25</v>
      </c>
      <c r="BQ113" s="62">
        <f t="shared" si="202"/>
        <v>32.258064516129032</v>
      </c>
    </row>
    <row r="114" spans="1:69">
      <c r="A114" s="3">
        <v>111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2</v>
      </c>
      <c r="AB114" s="6">
        <v>2</v>
      </c>
      <c r="AC114" s="6">
        <v>2</v>
      </c>
      <c r="AD114" s="6">
        <v>2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3">
        <f t="shared" ref="BA114:BA118" si="204">SUM(AI114:AL114)</f>
        <v>0</v>
      </c>
      <c r="BB114" s="3">
        <f t="shared" ref="BB114:BB118" si="205">SUM(AQ114+AT114+AV114)</f>
        <v>0</v>
      </c>
      <c r="BC114" s="3">
        <f t="shared" ref="BC114:BC118" si="206">SUM(AM114+AN114+AO114+AP114+AR114)</f>
        <v>0</v>
      </c>
      <c r="BD114" s="3">
        <f t="shared" ref="BD114:BD118" si="207">SUM(AX114+AY114+AZ114)</f>
        <v>0</v>
      </c>
      <c r="BE114" s="3">
        <f t="shared" ref="BE114:BE118" si="208">SUM(Z114:AH114)</f>
        <v>8</v>
      </c>
      <c r="BF114" s="3">
        <f t="shared" ref="BF114:BF118" si="209">SUM(AS114+AU114+AW114)</f>
        <v>0</v>
      </c>
      <c r="BG114" s="3">
        <f t="shared" ref="BG114:BG118" si="210">SUM(V114:Y114)</f>
        <v>0</v>
      </c>
      <c r="BH114" s="3">
        <f t="shared" ref="BH114:BH118" si="211">SUM(BA114:BG114)</f>
        <v>8</v>
      </c>
      <c r="BJ114" s="62">
        <f t="shared" ref="BJ114:BJ118" si="212">SUM(BA114/16)*100</f>
        <v>0</v>
      </c>
      <c r="BK114" s="62">
        <f t="shared" ref="BK114:BK118" si="213">SUM(BB114/12)*100</f>
        <v>0</v>
      </c>
      <c r="BL114" s="62">
        <f t="shared" ref="BL114:BL118" si="214">SUM(BC114/20)*100</f>
        <v>0</v>
      </c>
      <c r="BM114" s="62">
        <f t="shared" ref="BM114:BM118" si="215">SUM(BD114/12)*100</f>
        <v>0</v>
      </c>
      <c r="BN114" s="62">
        <f t="shared" ref="BN114:BN118" si="216">SUM(BE114/36)*100</f>
        <v>22.222222222222221</v>
      </c>
      <c r="BO114" s="62">
        <f t="shared" ref="BO114:BO118" si="217">SUM(BF114/12)*100</f>
        <v>0</v>
      </c>
      <c r="BP114" s="62">
        <f t="shared" ref="BP114:BP118" si="218">SUM(BG114/16)*100</f>
        <v>0</v>
      </c>
      <c r="BQ114" s="62">
        <f t="shared" ref="BQ114:BQ118" si="219">SUM(BH114/124)*100</f>
        <v>6.4516129032258061</v>
      </c>
    </row>
    <row r="115" spans="1:69">
      <c r="A115" s="3">
        <v>112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6">
        <v>0</v>
      </c>
      <c r="W115" s="6">
        <v>1</v>
      </c>
      <c r="X115" s="6">
        <v>1</v>
      </c>
      <c r="Y115" s="6">
        <v>0</v>
      </c>
      <c r="Z115" s="6">
        <v>1</v>
      </c>
      <c r="AA115" s="6">
        <v>2</v>
      </c>
      <c r="AB115" s="6">
        <v>1</v>
      </c>
      <c r="AC115" s="6">
        <v>3</v>
      </c>
      <c r="AD115" s="6">
        <v>1</v>
      </c>
      <c r="AE115" s="6">
        <v>0</v>
      </c>
      <c r="AF115" s="6">
        <v>0</v>
      </c>
      <c r="AG115" s="6">
        <v>0</v>
      </c>
      <c r="AH115" s="6">
        <v>0</v>
      </c>
      <c r="AI115" s="6">
        <v>2</v>
      </c>
      <c r="AJ115" s="6">
        <v>2</v>
      </c>
      <c r="AK115" s="6">
        <v>1</v>
      </c>
      <c r="AL115" s="6">
        <v>1</v>
      </c>
      <c r="AM115" s="6">
        <v>1</v>
      </c>
      <c r="AN115" s="6">
        <v>1</v>
      </c>
      <c r="AO115" s="6">
        <v>1</v>
      </c>
      <c r="AP115" s="6">
        <v>1</v>
      </c>
      <c r="AQ115" s="6">
        <v>0</v>
      </c>
      <c r="AR115" s="6">
        <v>2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1</v>
      </c>
      <c r="AZ115" s="6">
        <v>1</v>
      </c>
      <c r="BA115" s="3">
        <f t="shared" si="204"/>
        <v>6</v>
      </c>
      <c r="BB115" s="3">
        <f t="shared" si="205"/>
        <v>0</v>
      </c>
      <c r="BC115" s="3">
        <f t="shared" si="206"/>
        <v>6</v>
      </c>
      <c r="BD115" s="3">
        <f t="shared" si="207"/>
        <v>2</v>
      </c>
      <c r="BE115" s="3">
        <f t="shared" si="208"/>
        <v>8</v>
      </c>
      <c r="BF115" s="3">
        <f t="shared" si="209"/>
        <v>0</v>
      </c>
      <c r="BG115" s="3">
        <f t="shared" si="210"/>
        <v>2</v>
      </c>
      <c r="BH115" s="3">
        <f t="shared" si="211"/>
        <v>24</v>
      </c>
      <c r="BJ115" s="62">
        <f t="shared" si="212"/>
        <v>37.5</v>
      </c>
      <c r="BK115" s="62">
        <f t="shared" si="213"/>
        <v>0</v>
      </c>
      <c r="BL115" s="62">
        <f t="shared" si="214"/>
        <v>30</v>
      </c>
      <c r="BM115" s="62">
        <f t="shared" si="215"/>
        <v>16.666666666666664</v>
      </c>
      <c r="BN115" s="62">
        <f t="shared" si="216"/>
        <v>22.222222222222221</v>
      </c>
      <c r="BO115" s="62">
        <f t="shared" si="217"/>
        <v>0</v>
      </c>
      <c r="BP115" s="62">
        <f t="shared" si="218"/>
        <v>12.5</v>
      </c>
      <c r="BQ115" s="62">
        <f t="shared" si="219"/>
        <v>19.35483870967742</v>
      </c>
    </row>
    <row r="116" spans="1:69">
      <c r="A116" s="3">
        <v>113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6">
        <v>0</v>
      </c>
      <c r="W116" s="6">
        <v>3</v>
      </c>
      <c r="X116" s="6">
        <v>2</v>
      </c>
      <c r="Y116" s="6">
        <v>0</v>
      </c>
      <c r="Z116" s="6">
        <v>4</v>
      </c>
      <c r="AA116" s="6">
        <v>0</v>
      </c>
      <c r="AB116" s="6">
        <v>3</v>
      </c>
      <c r="AC116" s="6">
        <v>1</v>
      </c>
      <c r="AD116" s="6">
        <v>1</v>
      </c>
      <c r="AE116" s="6">
        <v>3</v>
      </c>
      <c r="AF116" s="6">
        <v>0</v>
      </c>
      <c r="AG116" s="6">
        <v>2</v>
      </c>
      <c r="AH116" s="6">
        <v>1</v>
      </c>
      <c r="AI116" s="6">
        <v>0</v>
      </c>
      <c r="AJ116" s="6">
        <v>3</v>
      </c>
      <c r="AK116" s="6">
        <v>4</v>
      </c>
      <c r="AL116" s="6">
        <v>2</v>
      </c>
      <c r="AM116" s="6">
        <v>2</v>
      </c>
      <c r="AN116" s="6">
        <v>4</v>
      </c>
      <c r="AO116" s="6">
        <v>1</v>
      </c>
      <c r="AP116" s="6">
        <v>1</v>
      </c>
      <c r="AQ116" s="6">
        <v>3</v>
      </c>
      <c r="AR116" s="6">
        <v>1</v>
      </c>
      <c r="AS116" s="6">
        <v>3</v>
      </c>
      <c r="AT116" s="6">
        <v>3</v>
      </c>
      <c r="AU116" s="6">
        <v>1</v>
      </c>
      <c r="AV116" s="6">
        <v>2</v>
      </c>
      <c r="AW116" s="6">
        <v>3</v>
      </c>
      <c r="AX116" s="6">
        <v>0</v>
      </c>
      <c r="AY116" s="6">
        <v>3</v>
      </c>
      <c r="AZ116" s="6">
        <v>0</v>
      </c>
      <c r="BA116" s="3">
        <f t="shared" si="204"/>
        <v>9</v>
      </c>
      <c r="BB116" s="3">
        <f t="shared" si="205"/>
        <v>8</v>
      </c>
      <c r="BC116" s="3">
        <f t="shared" si="206"/>
        <v>9</v>
      </c>
      <c r="BD116" s="3">
        <f t="shared" si="207"/>
        <v>3</v>
      </c>
      <c r="BE116" s="3">
        <f t="shared" si="208"/>
        <v>15</v>
      </c>
      <c r="BF116" s="3">
        <f t="shared" si="209"/>
        <v>7</v>
      </c>
      <c r="BG116" s="3">
        <f t="shared" si="210"/>
        <v>5</v>
      </c>
      <c r="BH116" s="3">
        <f t="shared" si="211"/>
        <v>56</v>
      </c>
      <c r="BJ116" s="62">
        <f t="shared" si="212"/>
        <v>56.25</v>
      </c>
      <c r="BK116" s="62">
        <f t="shared" si="213"/>
        <v>66.666666666666657</v>
      </c>
      <c r="BL116" s="62">
        <f t="shared" si="214"/>
        <v>45</v>
      </c>
      <c r="BM116" s="62">
        <f t="shared" si="215"/>
        <v>25</v>
      </c>
      <c r="BN116" s="62">
        <f t="shared" si="216"/>
        <v>41.666666666666671</v>
      </c>
      <c r="BO116" s="62">
        <f t="shared" si="217"/>
        <v>58.333333333333336</v>
      </c>
      <c r="BP116" s="62">
        <f t="shared" si="218"/>
        <v>31.25</v>
      </c>
      <c r="BQ116" s="62">
        <f t="shared" si="219"/>
        <v>45.161290322580641</v>
      </c>
    </row>
    <row r="117" spans="1:69">
      <c r="A117" s="3">
        <v>114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6">
        <v>0</v>
      </c>
      <c r="W117" s="6">
        <v>0</v>
      </c>
      <c r="X117" s="6">
        <v>0</v>
      </c>
      <c r="Y117" s="6">
        <v>0</v>
      </c>
      <c r="Z117" s="6">
        <v>2</v>
      </c>
      <c r="AA117" s="6">
        <v>2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2</v>
      </c>
      <c r="AO117" s="6">
        <v>2</v>
      </c>
      <c r="AP117" s="6">
        <v>4</v>
      </c>
      <c r="AQ117" s="6">
        <v>2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3</v>
      </c>
      <c r="AY117" s="6">
        <v>2</v>
      </c>
      <c r="AZ117" s="6">
        <v>2</v>
      </c>
      <c r="BA117" s="3">
        <f t="shared" si="204"/>
        <v>0</v>
      </c>
      <c r="BB117" s="3">
        <f t="shared" si="205"/>
        <v>2</v>
      </c>
      <c r="BC117" s="3">
        <f t="shared" si="206"/>
        <v>8</v>
      </c>
      <c r="BD117" s="3">
        <f t="shared" si="207"/>
        <v>7</v>
      </c>
      <c r="BE117" s="3">
        <f t="shared" si="208"/>
        <v>4</v>
      </c>
      <c r="BF117" s="3">
        <f t="shared" si="209"/>
        <v>0</v>
      </c>
      <c r="BG117" s="3">
        <f t="shared" si="210"/>
        <v>0</v>
      </c>
      <c r="BH117" s="3">
        <f t="shared" si="211"/>
        <v>21</v>
      </c>
      <c r="BJ117" s="62">
        <f t="shared" si="212"/>
        <v>0</v>
      </c>
      <c r="BK117" s="62">
        <f t="shared" si="213"/>
        <v>16.666666666666664</v>
      </c>
      <c r="BL117" s="62">
        <f t="shared" si="214"/>
        <v>40</v>
      </c>
      <c r="BM117" s="62">
        <f t="shared" si="215"/>
        <v>58.333333333333336</v>
      </c>
      <c r="BN117" s="62">
        <f t="shared" si="216"/>
        <v>11.111111111111111</v>
      </c>
      <c r="BO117" s="62">
        <f t="shared" si="217"/>
        <v>0</v>
      </c>
      <c r="BP117" s="62">
        <f t="shared" si="218"/>
        <v>0</v>
      </c>
      <c r="BQ117" s="62">
        <f t="shared" si="219"/>
        <v>16.93548387096774</v>
      </c>
    </row>
    <row r="118" spans="1:69">
      <c r="A118" s="3">
        <v>115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6">
        <v>0</v>
      </c>
      <c r="W118" s="6">
        <v>0</v>
      </c>
      <c r="X118" s="6">
        <v>0</v>
      </c>
      <c r="Y118" s="6">
        <v>0</v>
      </c>
      <c r="Z118" s="6">
        <v>1</v>
      </c>
      <c r="AA118" s="6">
        <v>2</v>
      </c>
      <c r="AB118" s="6"/>
      <c r="AC118" s="6">
        <v>2</v>
      </c>
      <c r="AD118" s="6">
        <v>1</v>
      </c>
      <c r="AE118" s="6">
        <v>0</v>
      </c>
      <c r="AF118" s="6">
        <v>0</v>
      </c>
      <c r="AG118" s="6">
        <v>0</v>
      </c>
      <c r="AH118" s="6">
        <v>0</v>
      </c>
      <c r="AI118" s="6">
        <v>2</v>
      </c>
      <c r="AJ118" s="6">
        <v>2</v>
      </c>
      <c r="AK118" s="6">
        <v>1</v>
      </c>
      <c r="AL118" s="6">
        <v>1</v>
      </c>
      <c r="AM118" s="6">
        <v>2</v>
      </c>
      <c r="AN118" s="6">
        <v>3</v>
      </c>
      <c r="AO118" s="6">
        <v>3</v>
      </c>
      <c r="AP118" s="6">
        <v>2</v>
      </c>
      <c r="AQ118" s="6">
        <v>3</v>
      </c>
      <c r="AR118" s="6">
        <v>3</v>
      </c>
      <c r="AS118" s="6"/>
      <c r="AT118" s="6">
        <v>4</v>
      </c>
      <c r="AU118" s="6">
        <v>2</v>
      </c>
      <c r="AV118" s="6">
        <v>1</v>
      </c>
      <c r="AW118" s="6">
        <v>0</v>
      </c>
      <c r="AX118" s="6">
        <v>0</v>
      </c>
      <c r="AY118" s="6">
        <v>2</v>
      </c>
      <c r="AZ118" s="6">
        <v>1</v>
      </c>
      <c r="BA118" s="3">
        <f t="shared" si="204"/>
        <v>6</v>
      </c>
      <c r="BB118" s="3">
        <f t="shared" si="205"/>
        <v>8</v>
      </c>
      <c r="BC118" s="3">
        <f t="shared" si="206"/>
        <v>13</v>
      </c>
      <c r="BD118" s="3">
        <f t="shared" si="207"/>
        <v>3</v>
      </c>
      <c r="BE118" s="3">
        <f t="shared" si="208"/>
        <v>6</v>
      </c>
      <c r="BF118" s="3">
        <f t="shared" si="209"/>
        <v>2</v>
      </c>
      <c r="BG118" s="3">
        <f t="shared" si="210"/>
        <v>0</v>
      </c>
      <c r="BH118" s="3">
        <f t="shared" si="211"/>
        <v>38</v>
      </c>
      <c r="BJ118" s="62">
        <f t="shared" si="212"/>
        <v>37.5</v>
      </c>
      <c r="BK118" s="62">
        <f t="shared" si="213"/>
        <v>66.666666666666657</v>
      </c>
      <c r="BL118" s="62">
        <f t="shared" si="214"/>
        <v>65</v>
      </c>
      <c r="BM118" s="62">
        <f t="shared" si="215"/>
        <v>25</v>
      </c>
      <c r="BN118" s="62">
        <f t="shared" si="216"/>
        <v>16.666666666666664</v>
      </c>
      <c r="BO118" s="62">
        <f t="shared" si="217"/>
        <v>16.666666666666664</v>
      </c>
      <c r="BP118" s="62">
        <f t="shared" si="218"/>
        <v>0</v>
      </c>
      <c r="BQ118" s="62">
        <f t="shared" si="219"/>
        <v>30.64516129032258</v>
      </c>
    </row>
    <row r="119" spans="1:69">
      <c r="A119" s="3">
        <v>116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6">
        <v>1</v>
      </c>
      <c r="W119" s="6">
        <v>4</v>
      </c>
      <c r="X119" s="6">
        <v>2</v>
      </c>
      <c r="Y119" s="6">
        <v>1</v>
      </c>
      <c r="Z119" s="6">
        <v>1</v>
      </c>
      <c r="AA119" s="6">
        <v>2</v>
      </c>
      <c r="AB119" s="6">
        <v>2</v>
      </c>
      <c r="AC119" s="6">
        <v>3</v>
      </c>
      <c r="AD119" s="6">
        <v>3</v>
      </c>
      <c r="AE119" s="6">
        <v>1</v>
      </c>
      <c r="AF119" s="6">
        <v>0</v>
      </c>
      <c r="AG119" s="6">
        <v>0</v>
      </c>
      <c r="AH119" s="6">
        <v>0</v>
      </c>
      <c r="AI119" s="6">
        <v>2</v>
      </c>
      <c r="AJ119" s="6">
        <v>1</v>
      </c>
      <c r="AK119" s="6">
        <v>1</v>
      </c>
      <c r="AL119" s="6">
        <v>2</v>
      </c>
      <c r="AM119" s="6">
        <v>1</v>
      </c>
      <c r="AN119" s="6">
        <v>1</v>
      </c>
      <c r="AO119" s="6">
        <v>1</v>
      </c>
      <c r="AP119" s="6">
        <v>1</v>
      </c>
      <c r="AQ119" s="6">
        <v>0</v>
      </c>
      <c r="AR119" s="6">
        <v>1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1</v>
      </c>
      <c r="AY119" s="6">
        <v>3</v>
      </c>
      <c r="AZ119" s="6">
        <v>3</v>
      </c>
      <c r="BA119" s="3">
        <f t="shared" ref="BA119:BA182" si="220">SUM(AI119:AL119)</f>
        <v>6</v>
      </c>
      <c r="BB119" s="3">
        <f t="shared" ref="BB119:BB182" si="221">SUM(AQ119+AT119+AV119)</f>
        <v>0</v>
      </c>
      <c r="BC119" s="3">
        <f t="shared" ref="BC119:BC182" si="222">SUM(AM119+AN119+AO119+AP119+AR119)</f>
        <v>5</v>
      </c>
      <c r="BD119" s="3">
        <f t="shared" ref="BD119:BD182" si="223">SUM(AX119+AY119+AZ119)</f>
        <v>7</v>
      </c>
      <c r="BE119" s="3">
        <f t="shared" ref="BE119:BE182" si="224">SUM(Z119:AH119)</f>
        <v>12</v>
      </c>
      <c r="BF119" s="3">
        <f t="shared" ref="BF119:BF182" si="225">SUM(AS119+AU119+AW119)</f>
        <v>0</v>
      </c>
      <c r="BG119" s="3">
        <f t="shared" ref="BG119:BG182" si="226">SUM(V119:Y119)</f>
        <v>8</v>
      </c>
      <c r="BH119" s="3">
        <f t="shared" ref="BH119:BH182" si="227">SUM(BA119:BG119)</f>
        <v>38</v>
      </c>
      <c r="BJ119" s="62">
        <f t="shared" ref="BJ119:BJ182" si="228">SUM(BA119/16)*100</f>
        <v>37.5</v>
      </c>
      <c r="BK119" s="62">
        <f t="shared" ref="BK119:BK182" si="229">SUM(BB119/12)*100</f>
        <v>0</v>
      </c>
      <c r="BL119" s="62">
        <f t="shared" ref="BL119:BL182" si="230">SUM(BC119/20)*100</f>
        <v>25</v>
      </c>
      <c r="BM119" s="62">
        <f t="shared" ref="BM119:BM182" si="231">SUM(BD119/12)*100</f>
        <v>58.333333333333336</v>
      </c>
      <c r="BN119" s="62">
        <f t="shared" ref="BN119:BN182" si="232">SUM(BE119/36)*100</f>
        <v>33.333333333333329</v>
      </c>
      <c r="BO119" s="62">
        <f t="shared" ref="BO119:BO182" si="233">SUM(BF119/12)*100</f>
        <v>0</v>
      </c>
      <c r="BP119" s="62">
        <f t="shared" ref="BP119:BP182" si="234">SUM(BG119/16)*100</f>
        <v>50</v>
      </c>
      <c r="BQ119" s="62">
        <f t="shared" ref="BQ119:BQ182" si="235">SUM(BH119/124)*100</f>
        <v>30.64516129032258</v>
      </c>
    </row>
    <row r="120" spans="1:69">
      <c r="A120" s="3">
        <v>117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6">
        <v>0</v>
      </c>
      <c r="W120" s="6">
        <v>4</v>
      </c>
      <c r="X120" s="6">
        <v>0</v>
      </c>
      <c r="Y120" s="6">
        <v>0</v>
      </c>
      <c r="Z120" s="6">
        <v>2</v>
      </c>
      <c r="AA120" s="6">
        <v>2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2</v>
      </c>
      <c r="AJ120" s="6">
        <v>2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2</v>
      </c>
      <c r="AT120" s="6">
        <v>0</v>
      </c>
      <c r="AU120" s="6">
        <v>0</v>
      </c>
      <c r="AV120" s="6">
        <v>0</v>
      </c>
      <c r="AW120" s="6">
        <v>0</v>
      </c>
      <c r="AX120" s="6">
        <v>2</v>
      </c>
      <c r="AY120" s="6">
        <v>3</v>
      </c>
      <c r="AZ120" s="6">
        <v>2</v>
      </c>
      <c r="BA120" s="3">
        <f t="shared" si="220"/>
        <v>4</v>
      </c>
      <c r="BB120" s="3">
        <f t="shared" si="221"/>
        <v>0</v>
      </c>
      <c r="BC120" s="3">
        <f t="shared" si="222"/>
        <v>0</v>
      </c>
      <c r="BD120" s="3">
        <f t="shared" si="223"/>
        <v>7</v>
      </c>
      <c r="BE120" s="3">
        <f t="shared" si="224"/>
        <v>4</v>
      </c>
      <c r="BF120" s="3">
        <f t="shared" si="225"/>
        <v>2</v>
      </c>
      <c r="BG120" s="3">
        <f t="shared" si="226"/>
        <v>4</v>
      </c>
      <c r="BH120" s="3">
        <f t="shared" si="227"/>
        <v>21</v>
      </c>
      <c r="BJ120" s="62">
        <f t="shared" si="228"/>
        <v>25</v>
      </c>
      <c r="BK120" s="62">
        <f t="shared" si="229"/>
        <v>0</v>
      </c>
      <c r="BL120" s="62">
        <f t="shared" si="230"/>
        <v>0</v>
      </c>
      <c r="BM120" s="62">
        <f t="shared" si="231"/>
        <v>58.333333333333336</v>
      </c>
      <c r="BN120" s="62">
        <f t="shared" si="232"/>
        <v>11.111111111111111</v>
      </c>
      <c r="BO120" s="62">
        <f t="shared" si="233"/>
        <v>16.666666666666664</v>
      </c>
      <c r="BP120" s="62">
        <f t="shared" si="234"/>
        <v>25</v>
      </c>
      <c r="BQ120" s="62">
        <f t="shared" si="235"/>
        <v>16.93548387096774</v>
      </c>
    </row>
    <row r="121" spans="1:69">
      <c r="A121" s="3">
        <v>118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6">
        <v>1</v>
      </c>
      <c r="W121" s="6">
        <v>2</v>
      </c>
      <c r="X121" s="6">
        <v>0</v>
      </c>
      <c r="Y121" s="6">
        <v>0</v>
      </c>
      <c r="Z121" s="6">
        <v>0</v>
      </c>
      <c r="AA121" s="6">
        <v>2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1</v>
      </c>
      <c r="AQ121" s="6">
        <v>0</v>
      </c>
      <c r="AR121" s="6">
        <v>1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1</v>
      </c>
      <c r="AZ121" s="6">
        <v>0</v>
      </c>
      <c r="BA121" s="3">
        <f t="shared" si="220"/>
        <v>0</v>
      </c>
      <c r="BB121" s="3">
        <f t="shared" si="221"/>
        <v>0</v>
      </c>
      <c r="BC121" s="3">
        <f t="shared" si="222"/>
        <v>2</v>
      </c>
      <c r="BD121" s="3">
        <f t="shared" si="223"/>
        <v>1</v>
      </c>
      <c r="BE121" s="3">
        <f t="shared" si="224"/>
        <v>2</v>
      </c>
      <c r="BF121" s="3">
        <f t="shared" si="225"/>
        <v>0</v>
      </c>
      <c r="BG121" s="3">
        <f t="shared" si="226"/>
        <v>3</v>
      </c>
      <c r="BH121" s="3">
        <f t="shared" si="227"/>
        <v>8</v>
      </c>
      <c r="BJ121" s="62">
        <f t="shared" si="228"/>
        <v>0</v>
      </c>
      <c r="BK121" s="62">
        <f t="shared" si="229"/>
        <v>0</v>
      </c>
      <c r="BL121" s="62">
        <f t="shared" si="230"/>
        <v>10</v>
      </c>
      <c r="BM121" s="62">
        <f t="shared" si="231"/>
        <v>8.3333333333333321</v>
      </c>
      <c r="BN121" s="62">
        <f t="shared" si="232"/>
        <v>5.5555555555555554</v>
      </c>
      <c r="BO121" s="62">
        <f t="shared" si="233"/>
        <v>0</v>
      </c>
      <c r="BP121" s="62">
        <f t="shared" si="234"/>
        <v>18.75</v>
      </c>
      <c r="BQ121" s="62">
        <f t="shared" si="235"/>
        <v>6.4516129032258061</v>
      </c>
    </row>
    <row r="122" spans="1:69">
      <c r="A122" s="3">
        <v>119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6">
        <v>0</v>
      </c>
      <c r="W122" s="6">
        <v>0</v>
      </c>
      <c r="X122" s="6">
        <v>0</v>
      </c>
      <c r="Y122" s="6">
        <v>1</v>
      </c>
      <c r="Z122" s="6">
        <v>1</v>
      </c>
      <c r="AA122" s="6">
        <v>1</v>
      </c>
      <c r="AB122" s="6">
        <v>1</v>
      </c>
      <c r="AC122" s="6">
        <v>1</v>
      </c>
      <c r="AD122" s="6">
        <v>1</v>
      </c>
      <c r="AE122" s="6">
        <v>1</v>
      </c>
      <c r="AF122" s="6">
        <v>0</v>
      </c>
      <c r="AG122" s="6">
        <v>0</v>
      </c>
      <c r="AH122" s="6">
        <v>0</v>
      </c>
      <c r="AI122" s="6">
        <v>1</v>
      </c>
      <c r="AJ122" s="6">
        <v>1</v>
      </c>
      <c r="AK122" s="6">
        <v>1</v>
      </c>
      <c r="AL122" s="6">
        <v>1</v>
      </c>
      <c r="AM122" s="6">
        <v>1</v>
      </c>
      <c r="AN122" s="6">
        <v>1</v>
      </c>
      <c r="AO122" s="6">
        <v>1</v>
      </c>
      <c r="AP122" s="6">
        <v>1</v>
      </c>
      <c r="AQ122" s="6">
        <v>1</v>
      </c>
      <c r="AR122" s="6">
        <v>1</v>
      </c>
      <c r="AS122" s="6">
        <v>1</v>
      </c>
      <c r="AT122" s="6">
        <v>1</v>
      </c>
      <c r="AU122" s="6">
        <v>1</v>
      </c>
      <c r="AV122" s="6">
        <v>0</v>
      </c>
      <c r="AW122" s="6">
        <v>1</v>
      </c>
      <c r="AX122" s="6">
        <v>3</v>
      </c>
      <c r="AY122" s="6">
        <v>3</v>
      </c>
      <c r="AZ122" s="6">
        <v>3</v>
      </c>
      <c r="BA122" s="3">
        <f t="shared" si="220"/>
        <v>4</v>
      </c>
      <c r="BB122" s="3">
        <f t="shared" si="221"/>
        <v>2</v>
      </c>
      <c r="BC122" s="3">
        <f t="shared" si="222"/>
        <v>5</v>
      </c>
      <c r="BD122" s="3">
        <f t="shared" si="223"/>
        <v>9</v>
      </c>
      <c r="BE122" s="3">
        <f t="shared" si="224"/>
        <v>6</v>
      </c>
      <c r="BF122" s="3">
        <f t="shared" si="225"/>
        <v>3</v>
      </c>
      <c r="BG122" s="3">
        <f t="shared" si="226"/>
        <v>1</v>
      </c>
      <c r="BH122" s="3">
        <f t="shared" si="227"/>
        <v>30</v>
      </c>
      <c r="BJ122" s="62">
        <f t="shared" si="228"/>
        <v>25</v>
      </c>
      <c r="BK122" s="62">
        <f t="shared" si="229"/>
        <v>16.666666666666664</v>
      </c>
      <c r="BL122" s="62">
        <f t="shared" si="230"/>
        <v>25</v>
      </c>
      <c r="BM122" s="62">
        <f t="shared" si="231"/>
        <v>75</v>
      </c>
      <c r="BN122" s="62">
        <f t="shared" si="232"/>
        <v>16.666666666666664</v>
      </c>
      <c r="BO122" s="62">
        <f t="shared" si="233"/>
        <v>25</v>
      </c>
      <c r="BP122" s="62">
        <f t="shared" si="234"/>
        <v>6.25</v>
      </c>
      <c r="BQ122" s="62">
        <f t="shared" si="235"/>
        <v>24.193548387096776</v>
      </c>
    </row>
    <row r="123" spans="1:69">
      <c r="A123" s="3">
        <v>120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6">
        <v>0</v>
      </c>
      <c r="W123" s="6">
        <v>4</v>
      </c>
      <c r="X123" s="6">
        <v>2</v>
      </c>
      <c r="Y123" s="6">
        <v>0</v>
      </c>
      <c r="Z123" s="6">
        <v>0</v>
      </c>
      <c r="AA123" s="6">
        <v>1</v>
      </c>
      <c r="AB123" s="6">
        <v>2</v>
      </c>
      <c r="AC123" s="6">
        <v>3</v>
      </c>
      <c r="AD123" s="6">
        <v>1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1</v>
      </c>
      <c r="AT123" s="6">
        <v>0</v>
      </c>
      <c r="AU123" s="6">
        <v>1</v>
      </c>
      <c r="AV123" s="6">
        <v>0</v>
      </c>
      <c r="AW123" s="6">
        <v>1</v>
      </c>
      <c r="AX123" s="6">
        <v>0</v>
      </c>
      <c r="AY123" s="6">
        <v>2</v>
      </c>
      <c r="AZ123" s="6">
        <v>2</v>
      </c>
      <c r="BA123" s="3">
        <f t="shared" si="220"/>
        <v>0</v>
      </c>
      <c r="BB123" s="3">
        <f t="shared" si="221"/>
        <v>0</v>
      </c>
      <c r="BC123" s="3">
        <f t="shared" si="222"/>
        <v>0</v>
      </c>
      <c r="BD123" s="3">
        <f t="shared" si="223"/>
        <v>4</v>
      </c>
      <c r="BE123" s="3">
        <f t="shared" si="224"/>
        <v>7</v>
      </c>
      <c r="BF123" s="3">
        <f t="shared" si="225"/>
        <v>3</v>
      </c>
      <c r="BG123" s="3">
        <f t="shared" si="226"/>
        <v>6</v>
      </c>
      <c r="BH123" s="3">
        <f t="shared" si="227"/>
        <v>20</v>
      </c>
      <c r="BJ123" s="62">
        <f t="shared" si="228"/>
        <v>0</v>
      </c>
      <c r="BK123" s="62">
        <f t="shared" si="229"/>
        <v>0</v>
      </c>
      <c r="BL123" s="62">
        <f t="shared" si="230"/>
        <v>0</v>
      </c>
      <c r="BM123" s="62">
        <f t="shared" si="231"/>
        <v>33.333333333333329</v>
      </c>
      <c r="BN123" s="62">
        <f t="shared" si="232"/>
        <v>19.444444444444446</v>
      </c>
      <c r="BO123" s="62">
        <f t="shared" si="233"/>
        <v>25</v>
      </c>
      <c r="BP123" s="62">
        <f t="shared" si="234"/>
        <v>37.5</v>
      </c>
      <c r="BQ123" s="62">
        <f t="shared" si="235"/>
        <v>16.129032258064516</v>
      </c>
    </row>
    <row r="124" spans="1:69">
      <c r="A124" s="3">
        <v>121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6">
        <v>0</v>
      </c>
      <c r="W124" s="6">
        <v>4</v>
      </c>
      <c r="X124" s="6">
        <v>0</v>
      </c>
      <c r="Y124" s="6">
        <v>0</v>
      </c>
      <c r="Z124" s="6">
        <v>0</v>
      </c>
      <c r="AA124" s="6">
        <v>2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4</v>
      </c>
      <c r="AX124" s="6">
        <v>0</v>
      </c>
      <c r="AY124" s="6">
        <v>0</v>
      </c>
      <c r="AZ124" s="6">
        <v>0</v>
      </c>
      <c r="BA124" s="3">
        <f t="shared" si="220"/>
        <v>0</v>
      </c>
      <c r="BB124" s="3">
        <f t="shared" si="221"/>
        <v>0</v>
      </c>
      <c r="BC124" s="3">
        <f t="shared" si="222"/>
        <v>0</v>
      </c>
      <c r="BD124" s="3">
        <f t="shared" si="223"/>
        <v>0</v>
      </c>
      <c r="BE124" s="3">
        <f t="shared" si="224"/>
        <v>2</v>
      </c>
      <c r="BF124" s="3">
        <f t="shared" si="225"/>
        <v>4</v>
      </c>
      <c r="BG124" s="3">
        <f t="shared" si="226"/>
        <v>4</v>
      </c>
      <c r="BH124" s="3">
        <f t="shared" si="227"/>
        <v>10</v>
      </c>
      <c r="BJ124" s="62">
        <f t="shared" si="228"/>
        <v>0</v>
      </c>
      <c r="BK124" s="62">
        <f t="shared" si="229"/>
        <v>0</v>
      </c>
      <c r="BL124" s="62">
        <f t="shared" si="230"/>
        <v>0</v>
      </c>
      <c r="BM124" s="62">
        <f t="shared" si="231"/>
        <v>0</v>
      </c>
      <c r="BN124" s="62">
        <f t="shared" si="232"/>
        <v>5.5555555555555554</v>
      </c>
      <c r="BO124" s="62">
        <f t="shared" si="233"/>
        <v>33.333333333333329</v>
      </c>
      <c r="BP124" s="62">
        <f t="shared" si="234"/>
        <v>25</v>
      </c>
      <c r="BQ124" s="62">
        <f t="shared" si="235"/>
        <v>8.064516129032258</v>
      </c>
    </row>
    <row r="125" spans="1:69">
      <c r="A125" s="3">
        <v>122</v>
      </c>
      <c r="B125" s="3">
        <v>0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6">
        <v>0</v>
      </c>
      <c r="W125" s="6">
        <v>0</v>
      </c>
      <c r="X125" s="6">
        <v>1</v>
      </c>
      <c r="Y125" s="6">
        <v>0</v>
      </c>
      <c r="Z125" s="6">
        <v>2</v>
      </c>
      <c r="AA125" s="6">
        <v>2</v>
      </c>
      <c r="AB125" s="6">
        <v>1</v>
      </c>
      <c r="AC125" s="6">
        <v>2</v>
      </c>
      <c r="AD125" s="6">
        <v>2</v>
      </c>
      <c r="AE125" s="6">
        <v>0</v>
      </c>
      <c r="AF125" s="6">
        <v>0</v>
      </c>
      <c r="AG125" s="6">
        <v>0</v>
      </c>
      <c r="AH125" s="6">
        <v>0</v>
      </c>
      <c r="AI125" s="6">
        <v>2</v>
      </c>
      <c r="AJ125" s="6">
        <v>1</v>
      </c>
      <c r="AK125" s="6">
        <v>2</v>
      </c>
      <c r="AL125" s="6">
        <v>1</v>
      </c>
      <c r="AM125" s="6">
        <v>1</v>
      </c>
      <c r="AN125" s="6">
        <v>1</v>
      </c>
      <c r="AO125" s="6">
        <v>1</v>
      </c>
      <c r="AP125" s="6">
        <v>1</v>
      </c>
      <c r="AQ125" s="6">
        <v>0</v>
      </c>
      <c r="AR125" s="6">
        <v>1</v>
      </c>
      <c r="AS125" s="6">
        <v>1</v>
      </c>
      <c r="AT125" s="6">
        <v>0</v>
      </c>
      <c r="AU125" s="6">
        <v>1</v>
      </c>
      <c r="AV125" s="6">
        <v>1</v>
      </c>
      <c r="AW125" s="6">
        <v>1</v>
      </c>
      <c r="AX125" s="6">
        <v>1</v>
      </c>
      <c r="AY125" s="6">
        <v>0</v>
      </c>
      <c r="AZ125" s="6">
        <v>0</v>
      </c>
      <c r="BA125" s="3">
        <f t="shared" si="220"/>
        <v>6</v>
      </c>
      <c r="BB125" s="3">
        <f t="shared" si="221"/>
        <v>1</v>
      </c>
      <c r="BC125" s="3">
        <f t="shared" si="222"/>
        <v>5</v>
      </c>
      <c r="BD125" s="3">
        <f t="shared" si="223"/>
        <v>1</v>
      </c>
      <c r="BE125" s="3">
        <f t="shared" si="224"/>
        <v>9</v>
      </c>
      <c r="BF125" s="3">
        <f t="shared" si="225"/>
        <v>3</v>
      </c>
      <c r="BG125" s="3">
        <f t="shared" si="226"/>
        <v>1</v>
      </c>
      <c r="BH125" s="3">
        <f t="shared" si="227"/>
        <v>26</v>
      </c>
      <c r="BJ125" s="62">
        <f t="shared" si="228"/>
        <v>37.5</v>
      </c>
      <c r="BK125" s="62">
        <f t="shared" si="229"/>
        <v>8.3333333333333321</v>
      </c>
      <c r="BL125" s="62">
        <f t="shared" si="230"/>
        <v>25</v>
      </c>
      <c r="BM125" s="62">
        <f t="shared" si="231"/>
        <v>8.3333333333333321</v>
      </c>
      <c r="BN125" s="62">
        <f t="shared" si="232"/>
        <v>25</v>
      </c>
      <c r="BO125" s="62">
        <f t="shared" si="233"/>
        <v>25</v>
      </c>
      <c r="BP125" s="62">
        <f t="shared" si="234"/>
        <v>6.25</v>
      </c>
      <c r="BQ125" s="62">
        <f t="shared" si="235"/>
        <v>20.967741935483872</v>
      </c>
    </row>
    <row r="126" spans="1:69">
      <c r="A126" s="3">
        <v>123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6">
        <v>0</v>
      </c>
      <c r="W126" s="6">
        <v>3</v>
      </c>
      <c r="X126" s="6">
        <v>0</v>
      </c>
      <c r="Y126" s="6">
        <v>0</v>
      </c>
      <c r="Z126" s="6">
        <v>0</v>
      </c>
      <c r="AA126" s="6">
        <v>2</v>
      </c>
      <c r="AB126" s="6">
        <v>0</v>
      </c>
      <c r="AC126" s="6">
        <v>1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3</v>
      </c>
      <c r="AJ126" s="6">
        <v>0</v>
      </c>
      <c r="AK126" s="6">
        <v>0</v>
      </c>
      <c r="AL126" s="6">
        <v>1</v>
      </c>
      <c r="AM126" s="6">
        <v>0</v>
      </c>
      <c r="AN126" s="6">
        <v>0</v>
      </c>
      <c r="AO126" s="6">
        <v>1</v>
      </c>
      <c r="AP126" s="6">
        <v>0</v>
      </c>
      <c r="AQ126" s="6">
        <v>0</v>
      </c>
      <c r="AR126" s="6">
        <v>2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1</v>
      </c>
      <c r="AY126" s="6">
        <v>0</v>
      </c>
      <c r="AZ126" s="6">
        <v>0</v>
      </c>
      <c r="BA126" s="3">
        <f t="shared" si="220"/>
        <v>4</v>
      </c>
      <c r="BB126" s="3">
        <f t="shared" si="221"/>
        <v>0</v>
      </c>
      <c r="BC126" s="3">
        <f t="shared" si="222"/>
        <v>3</v>
      </c>
      <c r="BD126" s="3">
        <f t="shared" si="223"/>
        <v>1</v>
      </c>
      <c r="BE126" s="3">
        <f t="shared" si="224"/>
        <v>3</v>
      </c>
      <c r="BF126" s="3">
        <f t="shared" si="225"/>
        <v>0</v>
      </c>
      <c r="BG126" s="3">
        <f t="shared" si="226"/>
        <v>3</v>
      </c>
      <c r="BH126" s="3">
        <f t="shared" si="227"/>
        <v>14</v>
      </c>
      <c r="BJ126" s="62">
        <f t="shared" si="228"/>
        <v>25</v>
      </c>
      <c r="BK126" s="62">
        <f t="shared" si="229"/>
        <v>0</v>
      </c>
      <c r="BL126" s="62">
        <f t="shared" si="230"/>
        <v>15</v>
      </c>
      <c r="BM126" s="62">
        <f t="shared" si="231"/>
        <v>8.3333333333333321</v>
      </c>
      <c r="BN126" s="62">
        <f t="shared" si="232"/>
        <v>8.3333333333333321</v>
      </c>
      <c r="BO126" s="62">
        <f t="shared" si="233"/>
        <v>0</v>
      </c>
      <c r="BP126" s="62">
        <f t="shared" si="234"/>
        <v>18.75</v>
      </c>
      <c r="BQ126" s="62">
        <f t="shared" si="235"/>
        <v>11.29032258064516</v>
      </c>
    </row>
    <row r="127" spans="1:69">
      <c r="A127" s="3">
        <v>124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6">
        <v>0</v>
      </c>
      <c r="W127" s="6">
        <v>0</v>
      </c>
      <c r="X127" s="6">
        <v>0</v>
      </c>
      <c r="Y127" s="6">
        <v>0</v>
      </c>
      <c r="Z127" s="6">
        <v>2</v>
      </c>
      <c r="AA127" s="6">
        <v>4</v>
      </c>
      <c r="AB127" s="6">
        <v>0</v>
      </c>
      <c r="AC127" s="6">
        <v>4</v>
      </c>
      <c r="AD127" s="6">
        <v>4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2</v>
      </c>
      <c r="AT127" s="6">
        <v>0</v>
      </c>
      <c r="AU127" s="6">
        <v>2</v>
      </c>
      <c r="AV127" s="6">
        <v>0</v>
      </c>
      <c r="AW127" s="6">
        <v>2</v>
      </c>
      <c r="AX127" s="6">
        <v>0</v>
      </c>
      <c r="AY127" s="6">
        <v>4</v>
      </c>
      <c r="AZ127" s="6">
        <v>4</v>
      </c>
      <c r="BA127" s="3">
        <f t="shared" si="220"/>
        <v>0</v>
      </c>
      <c r="BB127" s="3">
        <f t="shared" si="221"/>
        <v>0</v>
      </c>
      <c r="BC127" s="3">
        <f t="shared" si="222"/>
        <v>0</v>
      </c>
      <c r="BD127" s="3">
        <f t="shared" si="223"/>
        <v>8</v>
      </c>
      <c r="BE127" s="3">
        <f t="shared" si="224"/>
        <v>14</v>
      </c>
      <c r="BF127" s="3">
        <f t="shared" si="225"/>
        <v>6</v>
      </c>
      <c r="BG127" s="3">
        <f t="shared" si="226"/>
        <v>0</v>
      </c>
      <c r="BH127" s="3">
        <f t="shared" si="227"/>
        <v>28</v>
      </c>
      <c r="BJ127" s="62">
        <f t="shared" si="228"/>
        <v>0</v>
      </c>
      <c r="BK127" s="62">
        <f t="shared" si="229"/>
        <v>0</v>
      </c>
      <c r="BL127" s="62">
        <f t="shared" si="230"/>
        <v>0</v>
      </c>
      <c r="BM127" s="62">
        <f t="shared" si="231"/>
        <v>66.666666666666657</v>
      </c>
      <c r="BN127" s="62">
        <f t="shared" si="232"/>
        <v>38.888888888888893</v>
      </c>
      <c r="BO127" s="62">
        <f t="shared" si="233"/>
        <v>50</v>
      </c>
      <c r="BP127" s="62">
        <f t="shared" si="234"/>
        <v>0</v>
      </c>
      <c r="BQ127" s="62">
        <f t="shared" si="235"/>
        <v>22.58064516129032</v>
      </c>
    </row>
    <row r="128" spans="1:69">
      <c r="A128" s="3">
        <v>125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6">
        <v>0</v>
      </c>
      <c r="W128" s="6">
        <v>0</v>
      </c>
      <c r="X128" s="6">
        <v>0</v>
      </c>
      <c r="Y128" s="6">
        <v>0</v>
      </c>
      <c r="Z128" s="6">
        <v>1</v>
      </c>
      <c r="AA128" s="6">
        <v>2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2</v>
      </c>
      <c r="AT128" s="6">
        <v>0</v>
      </c>
      <c r="AU128" s="6">
        <v>0</v>
      </c>
      <c r="AV128" s="6">
        <v>0</v>
      </c>
      <c r="AW128" s="6">
        <v>0</v>
      </c>
      <c r="AX128" s="6">
        <v>2</v>
      </c>
      <c r="AY128" s="6">
        <v>1</v>
      </c>
      <c r="AZ128" s="6">
        <v>0</v>
      </c>
      <c r="BA128" s="3">
        <f t="shared" si="220"/>
        <v>0</v>
      </c>
      <c r="BB128" s="3">
        <f t="shared" si="221"/>
        <v>0</v>
      </c>
      <c r="BC128" s="3">
        <f t="shared" si="222"/>
        <v>0</v>
      </c>
      <c r="BD128" s="3">
        <f t="shared" si="223"/>
        <v>3</v>
      </c>
      <c r="BE128" s="3">
        <f t="shared" si="224"/>
        <v>3</v>
      </c>
      <c r="BF128" s="3">
        <f t="shared" si="225"/>
        <v>2</v>
      </c>
      <c r="BG128" s="3">
        <f t="shared" si="226"/>
        <v>0</v>
      </c>
      <c r="BH128" s="3">
        <f t="shared" si="227"/>
        <v>8</v>
      </c>
      <c r="BJ128" s="62">
        <f t="shared" si="228"/>
        <v>0</v>
      </c>
      <c r="BK128" s="62">
        <f t="shared" si="229"/>
        <v>0</v>
      </c>
      <c r="BL128" s="62">
        <f t="shared" si="230"/>
        <v>0</v>
      </c>
      <c r="BM128" s="62">
        <f t="shared" si="231"/>
        <v>25</v>
      </c>
      <c r="BN128" s="62">
        <f t="shared" si="232"/>
        <v>8.3333333333333321</v>
      </c>
      <c r="BO128" s="62">
        <f t="shared" si="233"/>
        <v>16.666666666666664</v>
      </c>
      <c r="BP128" s="62">
        <f t="shared" si="234"/>
        <v>0</v>
      </c>
      <c r="BQ128" s="62">
        <f t="shared" si="235"/>
        <v>6.4516129032258061</v>
      </c>
    </row>
    <row r="129" spans="1:69">
      <c r="A129" s="3">
        <v>126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6">
        <v>0</v>
      </c>
      <c r="W129" s="6">
        <v>2</v>
      </c>
      <c r="X129" s="6">
        <v>2</v>
      </c>
      <c r="Y129" s="6">
        <v>0</v>
      </c>
      <c r="Z129" s="6">
        <v>1</v>
      </c>
      <c r="AA129" s="6">
        <v>2</v>
      </c>
      <c r="AB129" s="6">
        <v>1</v>
      </c>
      <c r="AC129" s="6">
        <v>1</v>
      </c>
      <c r="AD129" s="6">
        <v>1</v>
      </c>
      <c r="AE129" s="6">
        <v>0</v>
      </c>
      <c r="AF129" s="6">
        <v>0</v>
      </c>
      <c r="AG129" s="6">
        <v>1</v>
      </c>
      <c r="AH129" s="6">
        <v>1</v>
      </c>
      <c r="AI129" s="6">
        <v>2</v>
      </c>
      <c r="AJ129" s="6">
        <v>1</v>
      </c>
      <c r="AK129" s="6">
        <v>1</v>
      </c>
      <c r="AL129" s="6">
        <v>1</v>
      </c>
      <c r="AM129" s="6">
        <v>1</v>
      </c>
      <c r="AN129" s="6">
        <v>1</v>
      </c>
      <c r="AO129" s="6">
        <v>1</v>
      </c>
      <c r="AP129" s="6">
        <v>2</v>
      </c>
      <c r="AQ129" s="6">
        <v>1</v>
      </c>
      <c r="AR129" s="6">
        <v>2</v>
      </c>
      <c r="AS129" s="6">
        <v>2</v>
      </c>
      <c r="AT129" s="6">
        <v>1</v>
      </c>
      <c r="AU129" s="6">
        <v>1</v>
      </c>
      <c r="AV129" s="6">
        <v>1</v>
      </c>
      <c r="AW129" s="6">
        <v>1</v>
      </c>
      <c r="AX129" s="6">
        <v>1</v>
      </c>
      <c r="AY129" s="6">
        <v>1</v>
      </c>
      <c r="AZ129" s="6">
        <v>1</v>
      </c>
      <c r="BA129" s="3">
        <f t="shared" si="220"/>
        <v>5</v>
      </c>
      <c r="BB129" s="3">
        <f t="shared" si="221"/>
        <v>3</v>
      </c>
      <c r="BC129" s="3">
        <f t="shared" si="222"/>
        <v>7</v>
      </c>
      <c r="BD129" s="3">
        <f t="shared" si="223"/>
        <v>3</v>
      </c>
      <c r="BE129" s="3">
        <f t="shared" si="224"/>
        <v>8</v>
      </c>
      <c r="BF129" s="3">
        <f t="shared" si="225"/>
        <v>4</v>
      </c>
      <c r="BG129" s="3">
        <f t="shared" si="226"/>
        <v>4</v>
      </c>
      <c r="BH129" s="3">
        <f t="shared" si="227"/>
        <v>34</v>
      </c>
      <c r="BJ129" s="62">
        <f t="shared" si="228"/>
        <v>31.25</v>
      </c>
      <c r="BK129" s="62">
        <f t="shared" si="229"/>
        <v>25</v>
      </c>
      <c r="BL129" s="62">
        <f t="shared" si="230"/>
        <v>35</v>
      </c>
      <c r="BM129" s="62">
        <f t="shared" si="231"/>
        <v>25</v>
      </c>
      <c r="BN129" s="62">
        <f t="shared" si="232"/>
        <v>22.222222222222221</v>
      </c>
      <c r="BO129" s="62">
        <f t="shared" si="233"/>
        <v>33.333333333333329</v>
      </c>
      <c r="BP129" s="62">
        <f t="shared" si="234"/>
        <v>25</v>
      </c>
      <c r="BQ129" s="62">
        <f t="shared" si="235"/>
        <v>27.419354838709676</v>
      </c>
    </row>
    <row r="130" spans="1:69">
      <c r="A130" s="3">
        <v>127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6">
        <v>0</v>
      </c>
      <c r="W130" s="6">
        <v>1</v>
      </c>
      <c r="X130" s="6">
        <v>0</v>
      </c>
      <c r="Y130" s="6">
        <v>0</v>
      </c>
      <c r="Z130" s="6">
        <v>0</v>
      </c>
      <c r="AA130" s="6">
        <v>1</v>
      </c>
      <c r="AB130" s="6">
        <v>0</v>
      </c>
      <c r="AC130" s="6">
        <v>1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2</v>
      </c>
      <c r="AJ130" s="6">
        <v>0</v>
      </c>
      <c r="AK130" s="6">
        <v>2</v>
      </c>
      <c r="AL130" s="6">
        <v>2</v>
      </c>
      <c r="AM130" s="6">
        <v>1</v>
      </c>
      <c r="AN130" s="6">
        <v>0</v>
      </c>
      <c r="AO130" s="6">
        <v>1</v>
      </c>
      <c r="AP130" s="6">
        <v>0</v>
      </c>
      <c r="AQ130" s="6">
        <v>0</v>
      </c>
      <c r="AR130" s="6">
        <v>1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3">
        <f t="shared" si="220"/>
        <v>6</v>
      </c>
      <c r="BB130" s="3">
        <f t="shared" si="221"/>
        <v>0</v>
      </c>
      <c r="BC130" s="3">
        <f t="shared" si="222"/>
        <v>3</v>
      </c>
      <c r="BD130" s="3">
        <f t="shared" si="223"/>
        <v>0</v>
      </c>
      <c r="BE130" s="3">
        <f t="shared" si="224"/>
        <v>2</v>
      </c>
      <c r="BF130" s="3">
        <f t="shared" si="225"/>
        <v>0</v>
      </c>
      <c r="BG130" s="3">
        <f t="shared" si="226"/>
        <v>1</v>
      </c>
      <c r="BH130" s="3">
        <f t="shared" si="227"/>
        <v>12</v>
      </c>
      <c r="BJ130" s="62">
        <f t="shared" si="228"/>
        <v>37.5</v>
      </c>
      <c r="BK130" s="62">
        <f t="shared" si="229"/>
        <v>0</v>
      </c>
      <c r="BL130" s="62">
        <f t="shared" si="230"/>
        <v>15</v>
      </c>
      <c r="BM130" s="62">
        <f t="shared" si="231"/>
        <v>0</v>
      </c>
      <c r="BN130" s="62">
        <f t="shared" si="232"/>
        <v>5.5555555555555554</v>
      </c>
      <c r="BO130" s="62">
        <f t="shared" si="233"/>
        <v>0</v>
      </c>
      <c r="BP130" s="62">
        <f t="shared" si="234"/>
        <v>6.25</v>
      </c>
      <c r="BQ130" s="62">
        <f t="shared" si="235"/>
        <v>9.67741935483871</v>
      </c>
    </row>
    <row r="131" spans="1:69">
      <c r="A131" s="3">
        <v>128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6">
        <v>0</v>
      </c>
      <c r="W131" s="6">
        <v>0</v>
      </c>
      <c r="X131" s="6">
        <v>0</v>
      </c>
      <c r="Y131" s="6">
        <v>2</v>
      </c>
      <c r="Z131" s="6">
        <v>2</v>
      </c>
      <c r="AA131" s="6"/>
      <c r="AB131" s="6">
        <v>0</v>
      </c>
      <c r="AC131" s="6"/>
      <c r="AD131" s="6"/>
      <c r="AE131" s="6">
        <v>2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2</v>
      </c>
      <c r="AS131" s="6">
        <v>2</v>
      </c>
      <c r="AT131" s="6">
        <v>2</v>
      </c>
      <c r="AU131" s="6">
        <v>2</v>
      </c>
      <c r="AV131" s="6">
        <v>0</v>
      </c>
      <c r="AW131" s="6">
        <v>4</v>
      </c>
      <c r="AX131" s="6">
        <v>0</v>
      </c>
      <c r="AY131" s="6">
        <v>4</v>
      </c>
      <c r="AZ131" s="6">
        <v>4</v>
      </c>
      <c r="BA131" s="3">
        <f t="shared" si="220"/>
        <v>0</v>
      </c>
      <c r="BB131" s="3">
        <f t="shared" si="221"/>
        <v>2</v>
      </c>
      <c r="BC131" s="3">
        <f t="shared" si="222"/>
        <v>2</v>
      </c>
      <c r="BD131" s="3">
        <f t="shared" si="223"/>
        <v>8</v>
      </c>
      <c r="BE131" s="3">
        <f t="shared" si="224"/>
        <v>4</v>
      </c>
      <c r="BF131" s="3">
        <f t="shared" si="225"/>
        <v>8</v>
      </c>
      <c r="BG131" s="3">
        <f t="shared" si="226"/>
        <v>2</v>
      </c>
      <c r="BH131" s="3">
        <f t="shared" si="227"/>
        <v>26</v>
      </c>
      <c r="BJ131" s="62">
        <f t="shared" si="228"/>
        <v>0</v>
      </c>
      <c r="BK131" s="62">
        <f t="shared" si="229"/>
        <v>16.666666666666664</v>
      </c>
      <c r="BL131" s="62">
        <f t="shared" si="230"/>
        <v>10</v>
      </c>
      <c r="BM131" s="62">
        <f t="shared" si="231"/>
        <v>66.666666666666657</v>
      </c>
      <c r="BN131" s="62">
        <f t="shared" si="232"/>
        <v>11.111111111111111</v>
      </c>
      <c r="BO131" s="62">
        <f t="shared" si="233"/>
        <v>66.666666666666657</v>
      </c>
      <c r="BP131" s="62">
        <f t="shared" si="234"/>
        <v>12.5</v>
      </c>
      <c r="BQ131" s="62">
        <f t="shared" si="235"/>
        <v>20.967741935483872</v>
      </c>
    </row>
    <row r="132" spans="1:69">
      <c r="A132" s="3">
        <v>129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6">
        <v>1</v>
      </c>
      <c r="W132" s="6">
        <v>3</v>
      </c>
      <c r="X132" s="6">
        <v>3</v>
      </c>
      <c r="Y132" s="6">
        <v>1</v>
      </c>
      <c r="Z132" s="6">
        <v>2</v>
      </c>
      <c r="AA132" s="6">
        <v>2</v>
      </c>
      <c r="AB132" s="6">
        <v>1</v>
      </c>
      <c r="AC132" s="6">
        <v>2</v>
      </c>
      <c r="AD132" s="6">
        <v>1</v>
      </c>
      <c r="AE132" s="6">
        <v>1</v>
      </c>
      <c r="AF132" s="6">
        <v>1</v>
      </c>
      <c r="AG132" s="6">
        <v>1</v>
      </c>
      <c r="AH132" s="6">
        <v>1</v>
      </c>
      <c r="AI132" s="6">
        <v>1</v>
      </c>
      <c r="AJ132" s="6">
        <v>1</v>
      </c>
      <c r="AK132" s="6">
        <v>1</v>
      </c>
      <c r="AL132" s="6">
        <v>1</v>
      </c>
      <c r="AM132" s="6">
        <v>1</v>
      </c>
      <c r="AN132" s="6">
        <v>1</v>
      </c>
      <c r="AO132" s="6">
        <v>1</v>
      </c>
      <c r="AP132" s="6">
        <v>1</v>
      </c>
      <c r="AQ132" s="6">
        <v>1</v>
      </c>
      <c r="AR132" s="6">
        <v>1</v>
      </c>
      <c r="AS132" s="6">
        <v>0</v>
      </c>
      <c r="AT132" s="6">
        <v>0</v>
      </c>
      <c r="AU132" s="6">
        <v>0</v>
      </c>
      <c r="AV132" s="6">
        <v>1</v>
      </c>
      <c r="AW132" s="6">
        <v>0</v>
      </c>
      <c r="AX132" s="6">
        <v>2</v>
      </c>
      <c r="AY132" s="6">
        <v>2</v>
      </c>
      <c r="AZ132" s="6">
        <v>2</v>
      </c>
      <c r="BA132" s="3">
        <f t="shared" si="220"/>
        <v>4</v>
      </c>
      <c r="BB132" s="3">
        <f t="shared" si="221"/>
        <v>2</v>
      </c>
      <c r="BC132" s="3">
        <f t="shared" si="222"/>
        <v>5</v>
      </c>
      <c r="BD132" s="3">
        <f t="shared" si="223"/>
        <v>6</v>
      </c>
      <c r="BE132" s="3">
        <f t="shared" si="224"/>
        <v>12</v>
      </c>
      <c r="BF132" s="3">
        <f t="shared" si="225"/>
        <v>0</v>
      </c>
      <c r="BG132" s="3">
        <f t="shared" si="226"/>
        <v>8</v>
      </c>
      <c r="BH132" s="3">
        <f t="shared" si="227"/>
        <v>37</v>
      </c>
      <c r="BJ132" s="62">
        <f t="shared" si="228"/>
        <v>25</v>
      </c>
      <c r="BK132" s="62">
        <f t="shared" si="229"/>
        <v>16.666666666666664</v>
      </c>
      <c r="BL132" s="62">
        <f t="shared" si="230"/>
        <v>25</v>
      </c>
      <c r="BM132" s="62">
        <f t="shared" si="231"/>
        <v>50</v>
      </c>
      <c r="BN132" s="62">
        <f t="shared" si="232"/>
        <v>33.333333333333329</v>
      </c>
      <c r="BO132" s="62">
        <f t="shared" si="233"/>
        <v>0</v>
      </c>
      <c r="BP132" s="62">
        <f t="shared" si="234"/>
        <v>50</v>
      </c>
      <c r="BQ132" s="62">
        <f t="shared" si="235"/>
        <v>29.838709677419356</v>
      </c>
    </row>
    <row r="133" spans="1:69">
      <c r="A133" s="3">
        <v>130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6">
        <v>0</v>
      </c>
      <c r="W133" s="6">
        <v>2</v>
      </c>
      <c r="X133" s="6">
        <v>2</v>
      </c>
      <c r="Y133" s="6">
        <v>3</v>
      </c>
      <c r="Z133" s="6">
        <v>0</v>
      </c>
      <c r="AA133" s="6">
        <v>2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2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2</v>
      </c>
      <c r="AP133" s="6">
        <v>1</v>
      </c>
      <c r="AQ133" s="6">
        <v>0</v>
      </c>
      <c r="AR133" s="6">
        <v>0</v>
      </c>
      <c r="AS133" s="6">
        <v>4</v>
      </c>
      <c r="AT133" s="6">
        <v>0</v>
      </c>
      <c r="AU133" s="6">
        <v>3</v>
      </c>
      <c r="AV133" s="6">
        <v>0</v>
      </c>
      <c r="AW133" s="6">
        <v>0</v>
      </c>
      <c r="AX133" s="6">
        <v>4</v>
      </c>
      <c r="AY133" s="6">
        <v>0</v>
      </c>
      <c r="AZ133" s="6">
        <v>0</v>
      </c>
      <c r="BA133" s="3">
        <f t="shared" si="220"/>
        <v>2</v>
      </c>
      <c r="BB133" s="3">
        <f t="shared" si="221"/>
        <v>0</v>
      </c>
      <c r="BC133" s="3">
        <f t="shared" si="222"/>
        <v>3</v>
      </c>
      <c r="BD133" s="3">
        <f t="shared" si="223"/>
        <v>4</v>
      </c>
      <c r="BE133" s="3">
        <f t="shared" si="224"/>
        <v>2</v>
      </c>
      <c r="BF133" s="3">
        <f t="shared" si="225"/>
        <v>7</v>
      </c>
      <c r="BG133" s="3">
        <f t="shared" si="226"/>
        <v>7</v>
      </c>
      <c r="BH133" s="3">
        <f t="shared" si="227"/>
        <v>25</v>
      </c>
      <c r="BJ133" s="62">
        <f t="shared" si="228"/>
        <v>12.5</v>
      </c>
      <c r="BK133" s="62">
        <f t="shared" si="229"/>
        <v>0</v>
      </c>
      <c r="BL133" s="62">
        <f t="shared" si="230"/>
        <v>15</v>
      </c>
      <c r="BM133" s="62">
        <f t="shared" si="231"/>
        <v>33.333333333333329</v>
      </c>
      <c r="BN133" s="62">
        <f t="shared" si="232"/>
        <v>5.5555555555555554</v>
      </c>
      <c r="BO133" s="62">
        <f t="shared" si="233"/>
        <v>58.333333333333336</v>
      </c>
      <c r="BP133" s="62">
        <f t="shared" si="234"/>
        <v>43.75</v>
      </c>
      <c r="BQ133" s="62">
        <f t="shared" si="235"/>
        <v>20.161290322580644</v>
      </c>
    </row>
    <row r="134" spans="1:69">
      <c r="A134" s="3">
        <v>131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2</v>
      </c>
      <c r="AB134" s="6">
        <v>0</v>
      </c>
      <c r="AC134" s="6">
        <v>1</v>
      </c>
      <c r="AD134" s="6">
        <v>0</v>
      </c>
      <c r="AE134" s="6">
        <v>0</v>
      </c>
      <c r="AF134" s="6">
        <v>0</v>
      </c>
      <c r="AG134" s="6">
        <v>1</v>
      </c>
      <c r="AH134" s="6">
        <v>1</v>
      </c>
      <c r="AI134" s="6">
        <v>0</v>
      </c>
      <c r="AJ134" s="6">
        <v>1</v>
      </c>
      <c r="AK134" s="6">
        <v>2</v>
      </c>
      <c r="AL134" s="6">
        <v>0</v>
      </c>
      <c r="AM134" s="6">
        <v>0</v>
      </c>
      <c r="AN134" s="6">
        <v>1</v>
      </c>
      <c r="AO134" s="6">
        <v>0</v>
      </c>
      <c r="AP134" s="6">
        <v>1</v>
      </c>
      <c r="AQ134" s="6">
        <v>0</v>
      </c>
      <c r="AR134" s="6">
        <v>2</v>
      </c>
      <c r="AS134" s="6">
        <v>1</v>
      </c>
      <c r="AT134" s="6">
        <v>0</v>
      </c>
      <c r="AU134" s="6">
        <v>2</v>
      </c>
      <c r="AV134" s="6">
        <v>0</v>
      </c>
      <c r="AW134" s="6">
        <v>1</v>
      </c>
      <c r="AX134" s="6">
        <v>2</v>
      </c>
      <c r="AY134" s="6">
        <v>4</v>
      </c>
      <c r="AZ134" s="6">
        <v>3</v>
      </c>
      <c r="BA134" s="3">
        <f t="shared" si="220"/>
        <v>3</v>
      </c>
      <c r="BB134" s="3">
        <f t="shared" si="221"/>
        <v>0</v>
      </c>
      <c r="BC134" s="3">
        <f t="shared" si="222"/>
        <v>4</v>
      </c>
      <c r="BD134" s="3">
        <f t="shared" si="223"/>
        <v>9</v>
      </c>
      <c r="BE134" s="3">
        <f t="shared" si="224"/>
        <v>5</v>
      </c>
      <c r="BF134" s="3">
        <f t="shared" si="225"/>
        <v>4</v>
      </c>
      <c r="BG134" s="3">
        <f t="shared" si="226"/>
        <v>0</v>
      </c>
      <c r="BH134" s="3">
        <f t="shared" si="227"/>
        <v>25</v>
      </c>
      <c r="BJ134" s="62">
        <f t="shared" si="228"/>
        <v>18.75</v>
      </c>
      <c r="BK134" s="62">
        <f t="shared" si="229"/>
        <v>0</v>
      </c>
      <c r="BL134" s="62">
        <f t="shared" si="230"/>
        <v>20</v>
      </c>
      <c r="BM134" s="62">
        <f t="shared" si="231"/>
        <v>75</v>
      </c>
      <c r="BN134" s="62">
        <f t="shared" si="232"/>
        <v>13.888888888888889</v>
      </c>
      <c r="BO134" s="62">
        <f t="shared" si="233"/>
        <v>33.333333333333329</v>
      </c>
      <c r="BP134" s="62">
        <f t="shared" si="234"/>
        <v>0</v>
      </c>
      <c r="BQ134" s="62">
        <f t="shared" si="235"/>
        <v>20.161290322580644</v>
      </c>
    </row>
    <row r="135" spans="1:69">
      <c r="A135" s="3">
        <v>132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6">
        <v>3</v>
      </c>
      <c r="W135" s="6">
        <v>1</v>
      </c>
      <c r="X135" s="6">
        <v>3</v>
      </c>
      <c r="Y135" s="6">
        <v>1</v>
      </c>
      <c r="Z135" s="6">
        <v>1</v>
      </c>
      <c r="AA135" s="6">
        <v>1</v>
      </c>
      <c r="AB135" s="6">
        <v>1</v>
      </c>
      <c r="AC135" s="6">
        <v>1</v>
      </c>
      <c r="AD135" s="6">
        <v>1</v>
      </c>
      <c r="AE135" s="6">
        <v>1</v>
      </c>
      <c r="AF135" s="6">
        <v>1</v>
      </c>
      <c r="AG135" s="6">
        <v>1</v>
      </c>
      <c r="AH135" s="6">
        <v>1</v>
      </c>
      <c r="AI135" s="6">
        <v>1</v>
      </c>
      <c r="AJ135" s="6">
        <v>1</v>
      </c>
      <c r="AK135" s="6">
        <v>1</v>
      </c>
      <c r="AL135" s="6">
        <v>1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4</v>
      </c>
      <c r="AT135" s="6">
        <v>0</v>
      </c>
      <c r="AU135" s="6">
        <v>4</v>
      </c>
      <c r="AV135" s="6">
        <v>0</v>
      </c>
      <c r="AW135" s="6">
        <v>4</v>
      </c>
      <c r="AX135" s="6">
        <v>0</v>
      </c>
      <c r="AY135" s="6">
        <v>4</v>
      </c>
      <c r="AZ135" s="6">
        <v>4</v>
      </c>
      <c r="BA135" s="3">
        <f t="shared" si="220"/>
        <v>4</v>
      </c>
      <c r="BB135" s="3">
        <f t="shared" si="221"/>
        <v>0</v>
      </c>
      <c r="BC135" s="3">
        <f t="shared" si="222"/>
        <v>0</v>
      </c>
      <c r="BD135" s="3">
        <f t="shared" si="223"/>
        <v>8</v>
      </c>
      <c r="BE135" s="3">
        <f t="shared" si="224"/>
        <v>9</v>
      </c>
      <c r="BF135" s="3">
        <f t="shared" si="225"/>
        <v>12</v>
      </c>
      <c r="BG135" s="3">
        <f t="shared" si="226"/>
        <v>8</v>
      </c>
      <c r="BH135" s="3">
        <f t="shared" si="227"/>
        <v>41</v>
      </c>
      <c r="BJ135" s="62">
        <f t="shared" si="228"/>
        <v>25</v>
      </c>
      <c r="BK135" s="62">
        <f t="shared" si="229"/>
        <v>0</v>
      </c>
      <c r="BL135" s="62">
        <f t="shared" si="230"/>
        <v>0</v>
      </c>
      <c r="BM135" s="62">
        <f t="shared" si="231"/>
        <v>66.666666666666657</v>
      </c>
      <c r="BN135" s="62">
        <f t="shared" si="232"/>
        <v>25</v>
      </c>
      <c r="BO135" s="62">
        <f t="shared" si="233"/>
        <v>100</v>
      </c>
      <c r="BP135" s="62">
        <f t="shared" si="234"/>
        <v>50</v>
      </c>
      <c r="BQ135" s="62">
        <f t="shared" si="235"/>
        <v>33.064516129032256</v>
      </c>
    </row>
    <row r="136" spans="1:69">
      <c r="A136" s="3">
        <v>133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6">
        <v>0</v>
      </c>
      <c r="W136" s="6">
        <v>1</v>
      </c>
      <c r="X136" s="6">
        <v>2</v>
      </c>
      <c r="Y136" s="6">
        <v>0</v>
      </c>
      <c r="Z136" s="6">
        <v>3</v>
      </c>
      <c r="AA136" s="6">
        <v>2</v>
      </c>
      <c r="AB136" s="6">
        <v>0</v>
      </c>
      <c r="AC136" s="6">
        <v>2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1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1</v>
      </c>
      <c r="AQ136" s="6">
        <v>1</v>
      </c>
      <c r="AR136" s="6">
        <v>1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1</v>
      </c>
      <c r="AY136" s="6">
        <v>0</v>
      </c>
      <c r="AZ136" s="6">
        <v>2</v>
      </c>
      <c r="BA136" s="3">
        <f t="shared" si="220"/>
        <v>1</v>
      </c>
      <c r="BB136" s="3">
        <f t="shared" si="221"/>
        <v>1</v>
      </c>
      <c r="BC136" s="3">
        <f t="shared" si="222"/>
        <v>2</v>
      </c>
      <c r="BD136" s="3">
        <f t="shared" si="223"/>
        <v>3</v>
      </c>
      <c r="BE136" s="3">
        <f t="shared" si="224"/>
        <v>7</v>
      </c>
      <c r="BF136" s="3">
        <f t="shared" si="225"/>
        <v>0</v>
      </c>
      <c r="BG136" s="3">
        <f t="shared" si="226"/>
        <v>3</v>
      </c>
      <c r="BH136" s="3">
        <f t="shared" si="227"/>
        <v>17</v>
      </c>
      <c r="BJ136" s="62">
        <f t="shared" si="228"/>
        <v>6.25</v>
      </c>
      <c r="BK136" s="62">
        <f t="shared" si="229"/>
        <v>8.3333333333333321</v>
      </c>
      <c r="BL136" s="62">
        <f t="shared" si="230"/>
        <v>10</v>
      </c>
      <c r="BM136" s="62">
        <f t="shared" si="231"/>
        <v>25</v>
      </c>
      <c r="BN136" s="62">
        <f t="shared" si="232"/>
        <v>19.444444444444446</v>
      </c>
      <c r="BO136" s="62">
        <f t="shared" si="233"/>
        <v>0</v>
      </c>
      <c r="BP136" s="62">
        <f t="shared" si="234"/>
        <v>18.75</v>
      </c>
      <c r="BQ136" s="62">
        <f t="shared" si="235"/>
        <v>13.709677419354838</v>
      </c>
    </row>
    <row r="137" spans="1:69">
      <c r="A137" s="3">
        <v>134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6">
        <v>0</v>
      </c>
      <c r="W137" s="6">
        <v>1</v>
      </c>
      <c r="X137" s="6">
        <v>3</v>
      </c>
      <c r="Y137" s="6">
        <v>2</v>
      </c>
      <c r="Z137" s="6">
        <v>1</v>
      </c>
      <c r="AA137" s="6">
        <v>2</v>
      </c>
      <c r="AB137" s="6">
        <v>2</v>
      </c>
      <c r="AC137" s="6">
        <v>1</v>
      </c>
      <c r="AD137" s="6">
        <v>3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4</v>
      </c>
      <c r="AT137" s="6">
        <v>0</v>
      </c>
      <c r="AU137" s="6">
        <v>4</v>
      </c>
      <c r="AV137" s="6">
        <v>0</v>
      </c>
      <c r="AW137" s="6">
        <v>4</v>
      </c>
      <c r="AX137" s="6">
        <v>0</v>
      </c>
      <c r="AY137" s="6">
        <v>4</v>
      </c>
      <c r="AZ137" s="6">
        <v>4</v>
      </c>
      <c r="BA137" s="3">
        <f t="shared" si="220"/>
        <v>0</v>
      </c>
      <c r="BB137" s="3">
        <f t="shared" si="221"/>
        <v>0</v>
      </c>
      <c r="BC137" s="3">
        <f t="shared" si="222"/>
        <v>0</v>
      </c>
      <c r="BD137" s="3">
        <f t="shared" si="223"/>
        <v>8</v>
      </c>
      <c r="BE137" s="3">
        <f t="shared" si="224"/>
        <v>9</v>
      </c>
      <c r="BF137" s="3">
        <f t="shared" si="225"/>
        <v>12</v>
      </c>
      <c r="BG137" s="3">
        <f t="shared" si="226"/>
        <v>6</v>
      </c>
      <c r="BH137" s="3">
        <f t="shared" si="227"/>
        <v>35</v>
      </c>
      <c r="BJ137" s="62">
        <f t="shared" si="228"/>
        <v>0</v>
      </c>
      <c r="BK137" s="62">
        <f t="shared" si="229"/>
        <v>0</v>
      </c>
      <c r="BL137" s="62">
        <f t="shared" si="230"/>
        <v>0</v>
      </c>
      <c r="BM137" s="62">
        <f t="shared" si="231"/>
        <v>66.666666666666657</v>
      </c>
      <c r="BN137" s="62">
        <f t="shared" si="232"/>
        <v>25</v>
      </c>
      <c r="BO137" s="62">
        <f t="shared" si="233"/>
        <v>100</v>
      </c>
      <c r="BP137" s="62">
        <f t="shared" si="234"/>
        <v>37.5</v>
      </c>
      <c r="BQ137" s="62">
        <f t="shared" si="235"/>
        <v>28.225806451612907</v>
      </c>
    </row>
    <row r="138" spans="1:69">
      <c r="A138" s="3">
        <v>135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6">
        <v>0</v>
      </c>
      <c r="W138" s="6">
        <v>0</v>
      </c>
      <c r="X138" s="6">
        <v>1</v>
      </c>
      <c r="Y138" s="6">
        <v>0</v>
      </c>
      <c r="Z138" s="6">
        <v>0</v>
      </c>
      <c r="AA138" s="6">
        <v>2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2</v>
      </c>
      <c r="AP138" s="6">
        <v>0</v>
      </c>
      <c r="AQ138" s="6">
        <v>0</v>
      </c>
      <c r="AR138" s="6">
        <v>3</v>
      </c>
      <c r="AS138" s="6">
        <v>0</v>
      </c>
      <c r="AT138" s="6">
        <v>0</v>
      </c>
      <c r="AU138" s="6">
        <v>0</v>
      </c>
      <c r="AV138" s="6">
        <v>1</v>
      </c>
      <c r="AW138" s="6">
        <v>0</v>
      </c>
      <c r="AX138" s="6">
        <v>1</v>
      </c>
      <c r="AY138" s="6">
        <v>2</v>
      </c>
      <c r="AZ138" s="6">
        <v>1</v>
      </c>
      <c r="BA138" s="3">
        <f t="shared" si="220"/>
        <v>0</v>
      </c>
      <c r="BB138" s="3">
        <f t="shared" si="221"/>
        <v>1</v>
      </c>
      <c r="BC138" s="3">
        <f t="shared" si="222"/>
        <v>5</v>
      </c>
      <c r="BD138" s="3">
        <f t="shared" si="223"/>
        <v>4</v>
      </c>
      <c r="BE138" s="3">
        <f t="shared" si="224"/>
        <v>2</v>
      </c>
      <c r="BF138" s="3">
        <f t="shared" si="225"/>
        <v>0</v>
      </c>
      <c r="BG138" s="3">
        <f t="shared" si="226"/>
        <v>1</v>
      </c>
      <c r="BH138" s="3">
        <f t="shared" si="227"/>
        <v>13</v>
      </c>
      <c r="BJ138" s="62">
        <f t="shared" si="228"/>
        <v>0</v>
      </c>
      <c r="BK138" s="62">
        <f t="shared" si="229"/>
        <v>8.3333333333333321</v>
      </c>
      <c r="BL138" s="62">
        <f t="shared" si="230"/>
        <v>25</v>
      </c>
      <c r="BM138" s="62">
        <f t="shared" si="231"/>
        <v>33.333333333333329</v>
      </c>
      <c r="BN138" s="62">
        <f t="shared" si="232"/>
        <v>5.5555555555555554</v>
      </c>
      <c r="BO138" s="62">
        <f t="shared" si="233"/>
        <v>0</v>
      </c>
      <c r="BP138" s="62">
        <f t="shared" si="234"/>
        <v>6.25</v>
      </c>
      <c r="BQ138" s="62">
        <f t="shared" si="235"/>
        <v>10.483870967741936</v>
      </c>
    </row>
    <row r="139" spans="1:69">
      <c r="A139" s="3">
        <v>136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6">
        <v>0</v>
      </c>
      <c r="W139" s="6">
        <v>1</v>
      </c>
      <c r="X139" s="6">
        <v>0</v>
      </c>
      <c r="Y139" s="6">
        <v>0</v>
      </c>
      <c r="Z139" s="6">
        <v>1</v>
      </c>
      <c r="AA139" s="6">
        <v>2</v>
      </c>
      <c r="AB139" s="6">
        <v>1</v>
      </c>
      <c r="AC139" s="6">
        <v>2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1</v>
      </c>
      <c r="AJ139" s="6">
        <v>1</v>
      </c>
      <c r="AK139" s="6">
        <v>1</v>
      </c>
      <c r="AL139" s="6">
        <v>1</v>
      </c>
      <c r="AM139" s="6">
        <v>2</v>
      </c>
      <c r="AN139" s="6">
        <v>1</v>
      </c>
      <c r="AO139" s="6">
        <v>2</v>
      </c>
      <c r="AP139" s="6">
        <v>2</v>
      </c>
      <c r="AQ139" s="6">
        <v>0</v>
      </c>
      <c r="AR139" s="6">
        <v>3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1</v>
      </c>
      <c r="AY139" s="6">
        <v>2</v>
      </c>
      <c r="AZ139" s="6">
        <v>1</v>
      </c>
      <c r="BA139" s="3">
        <f t="shared" si="220"/>
        <v>4</v>
      </c>
      <c r="BB139" s="3">
        <f t="shared" si="221"/>
        <v>0</v>
      </c>
      <c r="BC139" s="3">
        <f t="shared" si="222"/>
        <v>10</v>
      </c>
      <c r="BD139" s="3">
        <f t="shared" si="223"/>
        <v>4</v>
      </c>
      <c r="BE139" s="3">
        <f t="shared" si="224"/>
        <v>6</v>
      </c>
      <c r="BF139" s="3">
        <f t="shared" si="225"/>
        <v>0</v>
      </c>
      <c r="BG139" s="3">
        <f t="shared" si="226"/>
        <v>1</v>
      </c>
      <c r="BH139" s="3">
        <f t="shared" si="227"/>
        <v>25</v>
      </c>
      <c r="BJ139" s="62">
        <f t="shared" si="228"/>
        <v>25</v>
      </c>
      <c r="BK139" s="62">
        <f t="shared" si="229"/>
        <v>0</v>
      </c>
      <c r="BL139" s="62">
        <f t="shared" si="230"/>
        <v>50</v>
      </c>
      <c r="BM139" s="62">
        <f t="shared" si="231"/>
        <v>33.333333333333329</v>
      </c>
      <c r="BN139" s="62">
        <f t="shared" si="232"/>
        <v>16.666666666666664</v>
      </c>
      <c r="BO139" s="62">
        <f t="shared" si="233"/>
        <v>0</v>
      </c>
      <c r="BP139" s="62">
        <f t="shared" si="234"/>
        <v>6.25</v>
      </c>
      <c r="BQ139" s="62">
        <f t="shared" si="235"/>
        <v>20.161290322580644</v>
      </c>
    </row>
    <row r="140" spans="1:69">
      <c r="A140" s="3">
        <v>137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6">
        <v>0</v>
      </c>
      <c r="W140" s="6">
        <v>0</v>
      </c>
      <c r="X140" s="6">
        <v>4</v>
      </c>
      <c r="Y140" s="6">
        <v>0</v>
      </c>
      <c r="Z140" s="6">
        <v>0</v>
      </c>
      <c r="AA140" s="6">
        <v>1</v>
      </c>
      <c r="AB140" s="6">
        <v>0</v>
      </c>
      <c r="AC140" s="6">
        <v>1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2</v>
      </c>
      <c r="AJ140" s="6">
        <v>0</v>
      </c>
      <c r="AK140" s="6">
        <v>1</v>
      </c>
      <c r="AL140" s="6">
        <v>1</v>
      </c>
      <c r="AM140" s="6">
        <v>0</v>
      </c>
      <c r="AN140" s="6">
        <v>0</v>
      </c>
      <c r="AO140" s="6">
        <v>1</v>
      </c>
      <c r="AP140" s="6">
        <v>2</v>
      </c>
      <c r="AQ140" s="6">
        <v>0</v>
      </c>
      <c r="AR140" s="6">
        <v>1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1</v>
      </c>
      <c r="AY140" s="6">
        <v>2</v>
      </c>
      <c r="AZ140" s="6">
        <v>1</v>
      </c>
      <c r="BA140" s="3">
        <f t="shared" si="220"/>
        <v>4</v>
      </c>
      <c r="BB140" s="3">
        <f t="shared" si="221"/>
        <v>0</v>
      </c>
      <c r="BC140" s="3">
        <f t="shared" si="222"/>
        <v>4</v>
      </c>
      <c r="BD140" s="3">
        <f t="shared" si="223"/>
        <v>4</v>
      </c>
      <c r="BE140" s="3">
        <f t="shared" si="224"/>
        <v>2</v>
      </c>
      <c r="BF140" s="3">
        <f t="shared" si="225"/>
        <v>0</v>
      </c>
      <c r="BG140" s="3">
        <f t="shared" si="226"/>
        <v>4</v>
      </c>
      <c r="BH140" s="3">
        <f t="shared" si="227"/>
        <v>18</v>
      </c>
      <c r="BJ140" s="62">
        <f t="shared" si="228"/>
        <v>25</v>
      </c>
      <c r="BK140" s="62">
        <f t="shared" si="229"/>
        <v>0</v>
      </c>
      <c r="BL140" s="62">
        <f t="shared" si="230"/>
        <v>20</v>
      </c>
      <c r="BM140" s="62">
        <f t="shared" si="231"/>
        <v>33.333333333333329</v>
      </c>
      <c r="BN140" s="62">
        <f t="shared" si="232"/>
        <v>5.5555555555555554</v>
      </c>
      <c r="BO140" s="62">
        <f t="shared" si="233"/>
        <v>0</v>
      </c>
      <c r="BP140" s="62">
        <f t="shared" si="234"/>
        <v>25</v>
      </c>
      <c r="BQ140" s="62">
        <f t="shared" si="235"/>
        <v>14.516129032258066</v>
      </c>
    </row>
    <row r="141" spans="1:69">
      <c r="A141" s="3">
        <v>138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6">
        <v>0</v>
      </c>
      <c r="W141" s="6">
        <v>1</v>
      </c>
      <c r="X141" s="6">
        <v>0</v>
      </c>
      <c r="Y141" s="6">
        <v>1</v>
      </c>
      <c r="Z141" s="6">
        <v>0</v>
      </c>
      <c r="AA141" s="6">
        <v>2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4</v>
      </c>
      <c r="BA141" s="3">
        <f t="shared" si="220"/>
        <v>0</v>
      </c>
      <c r="BB141" s="3">
        <f t="shared" si="221"/>
        <v>0</v>
      </c>
      <c r="BC141" s="3">
        <f t="shared" si="222"/>
        <v>0</v>
      </c>
      <c r="BD141" s="3">
        <f t="shared" si="223"/>
        <v>4</v>
      </c>
      <c r="BE141" s="3">
        <f t="shared" si="224"/>
        <v>2</v>
      </c>
      <c r="BF141" s="3">
        <f t="shared" si="225"/>
        <v>0</v>
      </c>
      <c r="BG141" s="3">
        <f t="shared" si="226"/>
        <v>2</v>
      </c>
      <c r="BH141" s="3">
        <f t="shared" si="227"/>
        <v>8</v>
      </c>
      <c r="BJ141" s="62">
        <f t="shared" si="228"/>
        <v>0</v>
      </c>
      <c r="BK141" s="62">
        <f t="shared" si="229"/>
        <v>0</v>
      </c>
      <c r="BL141" s="62">
        <f t="shared" si="230"/>
        <v>0</v>
      </c>
      <c r="BM141" s="62">
        <f t="shared" si="231"/>
        <v>33.333333333333329</v>
      </c>
      <c r="BN141" s="62">
        <f t="shared" si="232"/>
        <v>5.5555555555555554</v>
      </c>
      <c r="BO141" s="62">
        <f t="shared" si="233"/>
        <v>0</v>
      </c>
      <c r="BP141" s="62">
        <f t="shared" si="234"/>
        <v>12.5</v>
      </c>
      <c r="BQ141" s="62">
        <f t="shared" si="235"/>
        <v>6.4516129032258061</v>
      </c>
    </row>
    <row r="142" spans="1:69">
      <c r="A142" s="3">
        <v>139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1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3">
        <f t="shared" si="220"/>
        <v>0</v>
      </c>
      <c r="BB142" s="3">
        <f t="shared" si="221"/>
        <v>0</v>
      </c>
      <c r="BC142" s="3">
        <f t="shared" si="222"/>
        <v>1</v>
      </c>
      <c r="BD142" s="3">
        <f t="shared" si="223"/>
        <v>0</v>
      </c>
      <c r="BE142" s="3">
        <f t="shared" si="224"/>
        <v>0</v>
      </c>
      <c r="BF142" s="3">
        <f t="shared" si="225"/>
        <v>0</v>
      </c>
      <c r="BG142" s="3">
        <f t="shared" si="226"/>
        <v>0</v>
      </c>
      <c r="BH142" s="3">
        <f t="shared" si="227"/>
        <v>1</v>
      </c>
      <c r="BJ142" s="62">
        <f t="shared" si="228"/>
        <v>0</v>
      </c>
      <c r="BK142" s="62">
        <f t="shared" si="229"/>
        <v>0</v>
      </c>
      <c r="BL142" s="62">
        <f t="shared" si="230"/>
        <v>5</v>
      </c>
      <c r="BM142" s="62">
        <f t="shared" si="231"/>
        <v>0</v>
      </c>
      <c r="BN142" s="62">
        <f t="shared" si="232"/>
        <v>0</v>
      </c>
      <c r="BO142" s="62">
        <f t="shared" si="233"/>
        <v>0</v>
      </c>
      <c r="BP142" s="62">
        <f t="shared" si="234"/>
        <v>0</v>
      </c>
      <c r="BQ142" s="62">
        <f t="shared" si="235"/>
        <v>0.80645161290322576</v>
      </c>
    </row>
    <row r="143" spans="1:69">
      <c r="A143" s="3">
        <v>140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6">
        <v>0</v>
      </c>
      <c r="W143" s="6">
        <v>0</v>
      </c>
      <c r="X143" s="6">
        <v>0</v>
      </c>
      <c r="Y143" s="6">
        <v>0</v>
      </c>
      <c r="Z143" s="6">
        <v>2</v>
      </c>
      <c r="AA143" s="6">
        <v>2</v>
      </c>
      <c r="AB143" s="6">
        <v>2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2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2</v>
      </c>
      <c r="AP143" s="6">
        <v>0</v>
      </c>
      <c r="AQ143" s="6">
        <v>0</v>
      </c>
      <c r="AR143" s="6">
        <v>0</v>
      </c>
      <c r="AS143" s="6">
        <v>4</v>
      </c>
      <c r="AT143" s="6">
        <v>0</v>
      </c>
      <c r="AU143" s="6">
        <v>2</v>
      </c>
      <c r="AV143" s="6">
        <v>0</v>
      </c>
      <c r="AW143" s="6">
        <v>0</v>
      </c>
      <c r="AX143" s="6">
        <v>2</v>
      </c>
      <c r="AY143" s="6">
        <v>2</v>
      </c>
      <c r="AZ143" s="6">
        <v>2</v>
      </c>
      <c r="BA143" s="3">
        <f t="shared" si="220"/>
        <v>2</v>
      </c>
      <c r="BB143" s="3">
        <f t="shared" si="221"/>
        <v>0</v>
      </c>
      <c r="BC143" s="3">
        <f t="shared" si="222"/>
        <v>2</v>
      </c>
      <c r="BD143" s="3">
        <f t="shared" si="223"/>
        <v>6</v>
      </c>
      <c r="BE143" s="3">
        <f t="shared" si="224"/>
        <v>6</v>
      </c>
      <c r="BF143" s="3">
        <f t="shared" si="225"/>
        <v>6</v>
      </c>
      <c r="BG143" s="3">
        <f t="shared" si="226"/>
        <v>0</v>
      </c>
      <c r="BH143" s="3">
        <f t="shared" si="227"/>
        <v>22</v>
      </c>
      <c r="BJ143" s="62">
        <f t="shared" si="228"/>
        <v>12.5</v>
      </c>
      <c r="BK143" s="62">
        <f t="shared" si="229"/>
        <v>0</v>
      </c>
      <c r="BL143" s="62">
        <f t="shared" si="230"/>
        <v>10</v>
      </c>
      <c r="BM143" s="62">
        <f t="shared" si="231"/>
        <v>50</v>
      </c>
      <c r="BN143" s="62">
        <f t="shared" si="232"/>
        <v>16.666666666666664</v>
      </c>
      <c r="BO143" s="62">
        <f t="shared" si="233"/>
        <v>50</v>
      </c>
      <c r="BP143" s="62">
        <f t="shared" si="234"/>
        <v>0</v>
      </c>
      <c r="BQ143" s="62">
        <f t="shared" si="235"/>
        <v>17.741935483870968</v>
      </c>
    </row>
    <row r="144" spans="1:69">
      <c r="A144" s="3">
        <v>141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6">
        <v>0</v>
      </c>
      <c r="W144" s="6">
        <v>0</v>
      </c>
      <c r="X144" s="6">
        <v>1</v>
      </c>
      <c r="Y144" s="6">
        <v>0</v>
      </c>
      <c r="Z144" s="6">
        <v>0</v>
      </c>
      <c r="AA144" s="6">
        <v>1</v>
      </c>
      <c r="AB144" s="6">
        <v>0</v>
      </c>
      <c r="AC144" s="6">
        <v>2</v>
      </c>
      <c r="AD144" s="6">
        <v>1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2</v>
      </c>
      <c r="AP144" s="6">
        <v>0</v>
      </c>
      <c r="AQ144" s="6">
        <v>0</v>
      </c>
      <c r="AR144" s="6">
        <v>2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1</v>
      </c>
      <c r="BA144" s="3">
        <f t="shared" si="220"/>
        <v>0</v>
      </c>
      <c r="BB144" s="3">
        <f t="shared" si="221"/>
        <v>0</v>
      </c>
      <c r="BC144" s="3">
        <f t="shared" si="222"/>
        <v>4</v>
      </c>
      <c r="BD144" s="3">
        <f t="shared" si="223"/>
        <v>1</v>
      </c>
      <c r="BE144" s="3">
        <f t="shared" si="224"/>
        <v>4</v>
      </c>
      <c r="BF144" s="3">
        <f t="shared" si="225"/>
        <v>0</v>
      </c>
      <c r="BG144" s="3">
        <f t="shared" si="226"/>
        <v>1</v>
      </c>
      <c r="BH144" s="3">
        <f t="shared" si="227"/>
        <v>10</v>
      </c>
      <c r="BJ144" s="62">
        <f t="shared" si="228"/>
        <v>0</v>
      </c>
      <c r="BK144" s="62">
        <f t="shared" si="229"/>
        <v>0</v>
      </c>
      <c r="BL144" s="62">
        <f t="shared" si="230"/>
        <v>20</v>
      </c>
      <c r="BM144" s="62">
        <f t="shared" si="231"/>
        <v>8.3333333333333321</v>
      </c>
      <c r="BN144" s="62">
        <f t="shared" si="232"/>
        <v>11.111111111111111</v>
      </c>
      <c r="BO144" s="62">
        <f t="shared" si="233"/>
        <v>0</v>
      </c>
      <c r="BP144" s="62">
        <f t="shared" si="234"/>
        <v>6.25</v>
      </c>
      <c r="BQ144" s="62">
        <f t="shared" si="235"/>
        <v>8.064516129032258</v>
      </c>
    </row>
    <row r="145" spans="1:69">
      <c r="A145" s="3">
        <v>142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6">
        <v>0</v>
      </c>
      <c r="W145" s="6">
        <v>0</v>
      </c>
      <c r="X145" s="6">
        <v>0</v>
      </c>
      <c r="Y145" s="6">
        <v>0</v>
      </c>
      <c r="Z145" s="6">
        <v>1</v>
      </c>
      <c r="AA145" s="6">
        <v>2</v>
      </c>
      <c r="AB145" s="6">
        <v>0</v>
      </c>
      <c r="AC145" s="6">
        <v>2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1</v>
      </c>
      <c r="AO145" s="6">
        <v>0</v>
      </c>
      <c r="AP145" s="6">
        <v>0</v>
      </c>
      <c r="AQ145" s="6">
        <v>0</v>
      </c>
      <c r="AR145" s="6">
        <v>2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2</v>
      </c>
      <c r="AY145" s="6">
        <v>2</v>
      </c>
      <c r="AZ145" s="6">
        <v>0</v>
      </c>
      <c r="BA145" s="3">
        <f t="shared" si="220"/>
        <v>0</v>
      </c>
      <c r="BB145" s="3">
        <f t="shared" si="221"/>
        <v>0</v>
      </c>
      <c r="BC145" s="3">
        <f t="shared" si="222"/>
        <v>3</v>
      </c>
      <c r="BD145" s="3">
        <f t="shared" si="223"/>
        <v>4</v>
      </c>
      <c r="BE145" s="3">
        <f t="shared" si="224"/>
        <v>5</v>
      </c>
      <c r="BF145" s="3">
        <f t="shared" si="225"/>
        <v>0</v>
      </c>
      <c r="BG145" s="3">
        <f t="shared" si="226"/>
        <v>0</v>
      </c>
      <c r="BH145" s="3">
        <f t="shared" si="227"/>
        <v>12</v>
      </c>
      <c r="BJ145" s="62">
        <f t="shared" si="228"/>
        <v>0</v>
      </c>
      <c r="BK145" s="62">
        <f t="shared" si="229"/>
        <v>0</v>
      </c>
      <c r="BL145" s="62">
        <f t="shared" si="230"/>
        <v>15</v>
      </c>
      <c r="BM145" s="62">
        <f t="shared" si="231"/>
        <v>33.333333333333329</v>
      </c>
      <c r="BN145" s="62">
        <f t="shared" si="232"/>
        <v>13.888888888888889</v>
      </c>
      <c r="BO145" s="62">
        <f t="shared" si="233"/>
        <v>0</v>
      </c>
      <c r="BP145" s="62">
        <f t="shared" si="234"/>
        <v>0</v>
      </c>
      <c r="BQ145" s="62">
        <f t="shared" si="235"/>
        <v>9.67741935483871</v>
      </c>
    </row>
    <row r="146" spans="1:69">
      <c r="A146" s="3">
        <v>143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6">
        <v>2</v>
      </c>
      <c r="W146" s="6">
        <v>4</v>
      </c>
      <c r="X146" s="6">
        <v>4</v>
      </c>
      <c r="Y146" s="6">
        <v>0</v>
      </c>
      <c r="Z146" s="6">
        <v>2</v>
      </c>
      <c r="AA146" s="6">
        <v>4</v>
      </c>
      <c r="AB146" s="6">
        <v>4</v>
      </c>
      <c r="AC146" s="6">
        <v>2</v>
      </c>
      <c r="AD146" s="6">
        <v>4</v>
      </c>
      <c r="AE146" s="6">
        <v>2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2</v>
      </c>
      <c r="AO146" s="6">
        <v>0</v>
      </c>
      <c r="AP146" s="6">
        <v>2</v>
      </c>
      <c r="AQ146" s="6">
        <v>0</v>
      </c>
      <c r="AR146" s="6">
        <v>4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2</v>
      </c>
      <c r="AY146" s="6">
        <v>4</v>
      </c>
      <c r="AZ146" s="6">
        <v>4</v>
      </c>
      <c r="BA146" s="3">
        <f t="shared" si="220"/>
        <v>0</v>
      </c>
      <c r="BB146" s="3">
        <f t="shared" si="221"/>
        <v>0</v>
      </c>
      <c r="BC146" s="3">
        <f t="shared" si="222"/>
        <v>8</v>
      </c>
      <c r="BD146" s="3">
        <f t="shared" si="223"/>
        <v>10</v>
      </c>
      <c r="BE146" s="3">
        <f t="shared" si="224"/>
        <v>18</v>
      </c>
      <c r="BF146" s="3">
        <f t="shared" si="225"/>
        <v>0</v>
      </c>
      <c r="BG146" s="3">
        <f t="shared" si="226"/>
        <v>10</v>
      </c>
      <c r="BH146" s="3">
        <f t="shared" si="227"/>
        <v>46</v>
      </c>
      <c r="BJ146" s="62">
        <f t="shared" si="228"/>
        <v>0</v>
      </c>
      <c r="BK146" s="62">
        <f t="shared" si="229"/>
        <v>0</v>
      </c>
      <c r="BL146" s="62">
        <f t="shared" si="230"/>
        <v>40</v>
      </c>
      <c r="BM146" s="62">
        <f t="shared" si="231"/>
        <v>83.333333333333343</v>
      </c>
      <c r="BN146" s="62">
        <f t="shared" si="232"/>
        <v>50</v>
      </c>
      <c r="BO146" s="62">
        <f t="shared" si="233"/>
        <v>0</v>
      </c>
      <c r="BP146" s="62">
        <f t="shared" si="234"/>
        <v>62.5</v>
      </c>
      <c r="BQ146" s="62">
        <f t="shared" si="235"/>
        <v>37.096774193548384</v>
      </c>
    </row>
    <row r="147" spans="1:69">
      <c r="A147" s="3">
        <v>144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6">
        <v>1</v>
      </c>
      <c r="W147" s="6">
        <v>3</v>
      </c>
      <c r="X147" s="6">
        <v>3</v>
      </c>
      <c r="Y147" s="6">
        <v>1</v>
      </c>
      <c r="Z147" s="6">
        <v>1</v>
      </c>
      <c r="AA147" s="6">
        <v>3</v>
      </c>
      <c r="AB147" s="6">
        <v>1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1</v>
      </c>
      <c r="AJ147" s="6">
        <v>2</v>
      </c>
      <c r="AK147" s="6">
        <v>2</v>
      </c>
      <c r="AL147" s="6">
        <v>0</v>
      </c>
      <c r="AM147" s="6">
        <v>2</v>
      </c>
      <c r="AN147" s="6">
        <v>0</v>
      </c>
      <c r="AO147" s="6">
        <v>0</v>
      </c>
      <c r="AP147" s="6">
        <v>2</v>
      </c>
      <c r="AQ147" s="6">
        <v>2</v>
      </c>
      <c r="AR147" s="6">
        <v>2</v>
      </c>
      <c r="AS147" s="6">
        <v>2</v>
      </c>
      <c r="AT147" s="6">
        <v>0</v>
      </c>
      <c r="AU147" s="6">
        <v>2</v>
      </c>
      <c r="AV147" s="6">
        <v>2</v>
      </c>
      <c r="AW147" s="6">
        <v>0</v>
      </c>
      <c r="AX147" s="6">
        <v>0</v>
      </c>
      <c r="AY147" s="6">
        <v>0</v>
      </c>
      <c r="AZ147" s="6">
        <v>2</v>
      </c>
      <c r="BA147" s="3">
        <f t="shared" si="220"/>
        <v>5</v>
      </c>
      <c r="BB147" s="3">
        <f t="shared" si="221"/>
        <v>4</v>
      </c>
      <c r="BC147" s="3">
        <f t="shared" si="222"/>
        <v>6</v>
      </c>
      <c r="BD147" s="3">
        <f t="shared" si="223"/>
        <v>2</v>
      </c>
      <c r="BE147" s="3">
        <f t="shared" si="224"/>
        <v>5</v>
      </c>
      <c r="BF147" s="3">
        <f t="shared" si="225"/>
        <v>4</v>
      </c>
      <c r="BG147" s="3">
        <f t="shared" si="226"/>
        <v>8</v>
      </c>
      <c r="BH147" s="3">
        <f t="shared" si="227"/>
        <v>34</v>
      </c>
      <c r="BJ147" s="62">
        <f t="shared" si="228"/>
        <v>31.25</v>
      </c>
      <c r="BK147" s="62">
        <f t="shared" si="229"/>
        <v>33.333333333333329</v>
      </c>
      <c r="BL147" s="62">
        <f t="shared" si="230"/>
        <v>30</v>
      </c>
      <c r="BM147" s="62">
        <f t="shared" si="231"/>
        <v>16.666666666666664</v>
      </c>
      <c r="BN147" s="62">
        <f t="shared" si="232"/>
        <v>13.888888888888889</v>
      </c>
      <c r="BO147" s="62">
        <f t="shared" si="233"/>
        <v>33.333333333333329</v>
      </c>
      <c r="BP147" s="62">
        <f t="shared" si="234"/>
        <v>50</v>
      </c>
      <c r="BQ147" s="62">
        <f t="shared" si="235"/>
        <v>27.419354838709676</v>
      </c>
    </row>
    <row r="148" spans="1:69">
      <c r="A148" s="3">
        <v>145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6">
        <v>0</v>
      </c>
      <c r="W148" s="6">
        <v>4</v>
      </c>
      <c r="X148" s="6">
        <v>0</v>
      </c>
      <c r="Y148" s="6">
        <v>0</v>
      </c>
      <c r="Z148" s="6">
        <v>2</v>
      </c>
      <c r="AA148" s="6">
        <v>2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2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3">
        <f t="shared" si="220"/>
        <v>0</v>
      </c>
      <c r="BB148" s="3">
        <f t="shared" si="221"/>
        <v>0</v>
      </c>
      <c r="BC148" s="3">
        <f t="shared" si="222"/>
        <v>0</v>
      </c>
      <c r="BD148" s="3">
        <f t="shared" si="223"/>
        <v>0</v>
      </c>
      <c r="BE148" s="3">
        <f t="shared" si="224"/>
        <v>4</v>
      </c>
      <c r="BF148" s="3">
        <f t="shared" si="225"/>
        <v>2</v>
      </c>
      <c r="BG148" s="3">
        <f t="shared" si="226"/>
        <v>4</v>
      </c>
      <c r="BH148" s="3">
        <f t="shared" si="227"/>
        <v>10</v>
      </c>
      <c r="BJ148" s="62">
        <f t="shared" si="228"/>
        <v>0</v>
      </c>
      <c r="BK148" s="62">
        <f t="shared" si="229"/>
        <v>0</v>
      </c>
      <c r="BL148" s="62">
        <f t="shared" si="230"/>
        <v>0</v>
      </c>
      <c r="BM148" s="62">
        <f t="shared" si="231"/>
        <v>0</v>
      </c>
      <c r="BN148" s="62">
        <f t="shared" si="232"/>
        <v>11.111111111111111</v>
      </c>
      <c r="BO148" s="62">
        <f t="shared" si="233"/>
        <v>16.666666666666664</v>
      </c>
      <c r="BP148" s="62">
        <f t="shared" si="234"/>
        <v>25</v>
      </c>
      <c r="BQ148" s="62">
        <f t="shared" si="235"/>
        <v>8.064516129032258</v>
      </c>
    </row>
    <row r="149" spans="1:69">
      <c r="A149" s="3">
        <v>146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2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/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4</v>
      </c>
      <c r="AZ149" s="6">
        <v>2</v>
      </c>
      <c r="BA149" s="3">
        <f t="shared" si="220"/>
        <v>0</v>
      </c>
      <c r="BB149" s="3">
        <f t="shared" si="221"/>
        <v>0</v>
      </c>
      <c r="BC149" s="3">
        <f t="shared" si="222"/>
        <v>0</v>
      </c>
      <c r="BD149" s="3">
        <f t="shared" si="223"/>
        <v>6</v>
      </c>
      <c r="BE149" s="3">
        <f t="shared" si="224"/>
        <v>2</v>
      </c>
      <c r="BF149" s="3">
        <f t="shared" si="225"/>
        <v>0</v>
      </c>
      <c r="BG149" s="3">
        <f t="shared" si="226"/>
        <v>0</v>
      </c>
      <c r="BH149" s="3">
        <f t="shared" si="227"/>
        <v>8</v>
      </c>
      <c r="BJ149" s="62">
        <f t="shared" si="228"/>
        <v>0</v>
      </c>
      <c r="BK149" s="62">
        <f t="shared" si="229"/>
        <v>0</v>
      </c>
      <c r="BL149" s="62">
        <f t="shared" si="230"/>
        <v>0</v>
      </c>
      <c r="BM149" s="62">
        <f t="shared" si="231"/>
        <v>50</v>
      </c>
      <c r="BN149" s="62">
        <f t="shared" si="232"/>
        <v>5.5555555555555554</v>
      </c>
      <c r="BO149" s="62">
        <f t="shared" si="233"/>
        <v>0</v>
      </c>
      <c r="BP149" s="62">
        <f t="shared" si="234"/>
        <v>0</v>
      </c>
      <c r="BQ149" s="62">
        <f t="shared" si="235"/>
        <v>6.4516129032258061</v>
      </c>
    </row>
    <row r="150" spans="1:69">
      <c r="A150" s="3">
        <v>147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6">
        <v>1</v>
      </c>
      <c r="W150" s="6">
        <v>0</v>
      </c>
      <c r="X150" s="6">
        <v>1</v>
      </c>
      <c r="Y150" s="6">
        <v>1</v>
      </c>
      <c r="Z150" s="6">
        <v>0</v>
      </c>
      <c r="AA150" s="6">
        <v>1</v>
      </c>
      <c r="AB150" s="6">
        <v>0</v>
      </c>
      <c r="AC150" s="6">
        <v>1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1</v>
      </c>
      <c r="AJ150" s="6">
        <v>0</v>
      </c>
      <c r="AK150" s="6">
        <v>1</v>
      </c>
      <c r="AL150" s="6">
        <v>1</v>
      </c>
      <c r="AM150" s="6">
        <v>0</v>
      </c>
      <c r="AN150" s="6">
        <v>0</v>
      </c>
      <c r="AO150" s="6">
        <v>0</v>
      </c>
      <c r="AP150" s="6">
        <v>1</v>
      </c>
      <c r="AQ150" s="6">
        <v>0</v>
      </c>
      <c r="AR150" s="6">
        <v>1</v>
      </c>
      <c r="AS150" s="6">
        <v>1</v>
      </c>
      <c r="AT150" s="6">
        <v>0</v>
      </c>
      <c r="AU150" s="6">
        <v>0</v>
      </c>
      <c r="AV150" s="6">
        <v>1</v>
      </c>
      <c r="AW150" s="6">
        <v>1</v>
      </c>
      <c r="AX150" s="6">
        <v>0</v>
      </c>
      <c r="AY150" s="6">
        <v>1</v>
      </c>
      <c r="AZ150" s="6">
        <v>0</v>
      </c>
      <c r="BA150" s="3">
        <f t="shared" si="220"/>
        <v>3</v>
      </c>
      <c r="BB150" s="3">
        <f t="shared" si="221"/>
        <v>1</v>
      </c>
      <c r="BC150" s="3">
        <f t="shared" si="222"/>
        <v>2</v>
      </c>
      <c r="BD150" s="3">
        <f t="shared" si="223"/>
        <v>1</v>
      </c>
      <c r="BE150" s="3">
        <f t="shared" si="224"/>
        <v>2</v>
      </c>
      <c r="BF150" s="3">
        <f t="shared" si="225"/>
        <v>2</v>
      </c>
      <c r="BG150" s="3">
        <f t="shared" si="226"/>
        <v>3</v>
      </c>
      <c r="BH150" s="3">
        <f t="shared" si="227"/>
        <v>14</v>
      </c>
      <c r="BJ150" s="62">
        <f t="shared" si="228"/>
        <v>18.75</v>
      </c>
      <c r="BK150" s="62">
        <f t="shared" si="229"/>
        <v>8.3333333333333321</v>
      </c>
      <c r="BL150" s="62">
        <f t="shared" si="230"/>
        <v>10</v>
      </c>
      <c r="BM150" s="62">
        <f t="shared" si="231"/>
        <v>8.3333333333333321</v>
      </c>
      <c r="BN150" s="62">
        <f t="shared" si="232"/>
        <v>5.5555555555555554</v>
      </c>
      <c r="BO150" s="62">
        <f t="shared" si="233"/>
        <v>16.666666666666664</v>
      </c>
      <c r="BP150" s="62">
        <f t="shared" si="234"/>
        <v>18.75</v>
      </c>
      <c r="BQ150" s="62">
        <f t="shared" si="235"/>
        <v>11.29032258064516</v>
      </c>
    </row>
    <row r="151" spans="1:69">
      <c r="A151" s="3">
        <v>148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6">
        <v>1</v>
      </c>
      <c r="W151" s="6">
        <v>1</v>
      </c>
      <c r="X151" s="6">
        <v>2</v>
      </c>
      <c r="Y151" s="6">
        <v>0</v>
      </c>
      <c r="Z151" s="6">
        <v>1</v>
      </c>
      <c r="AA151" s="6">
        <v>1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3</v>
      </c>
      <c r="AJ151" s="6">
        <v>1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2</v>
      </c>
      <c r="AT151" s="6">
        <v>0</v>
      </c>
      <c r="AU151" s="6">
        <v>1</v>
      </c>
      <c r="AV151" s="6">
        <v>1</v>
      </c>
      <c r="AW151" s="6">
        <v>0</v>
      </c>
      <c r="AX151" s="6">
        <v>1</v>
      </c>
      <c r="AY151" s="6">
        <v>1</v>
      </c>
      <c r="AZ151" s="6">
        <v>1</v>
      </c>
      <c r="BA151" s="3">
        <f t="shared" si="220"/>
        <v>4</v>
      </c>
      <c r="BB151" s="3">
        <f t="shared" si="221"/>
        <v>1</v>
      </c>
      <c r="BC151" s="3">
        <f t="shared" si="222"/>
        <v>0</v>
      </c>
      <c r="BD151" s="3">
        <f t="shared" si="223"/>
        <v>3</v>
      </c>
      <c r="BE151" s="3">
        <f t="shared" si="224"/>
        <v>2</v>
      </c>
      <c r="BF151" s="3">
        <f t="shared" si="225"/>
        <v>3</v>
      </c>
      <c r="BG151" s="3">
        <f t="shared" si="226"/>
        <v>4</v>
      </c>
      <c r="BH151" s="3">
        <f t="shared" si="227"/>
        <v>17</v>
      </c>
      <c r="BJ151" s="62">
        <f t="shared" si="228"/>
        <v>25</v>
      </c>
      <c r="BK151" s="62">
        <f t="shared" si="229"/>
        <v>8.3333333333333321</v>
      </c>
      <c r="BL151" s="62">
        <f t="shared" si="230"/>
        <v>0</v>
      </c>
      <c r="BM151" s="62">
        <f t="shared" si="231"/>
        <v>25</v>
      </c>
      <c r="BN151" s="62">
        <f t="shared" si="232"/>
        <v>5.5555555555555554</v>
      </c>
      <c r="BO151" s="62">
        <f t="shared" si="233"/>
        <v>25</v>
      </c>
      <c r="BP151" s="62">
        <f t="shared" si="234"/>
        <v>25</v>
      </c>
      <c r="BQ151" s="62">
        <f t="shared" si="235"/>
        <v>13.709677419354838</v>
      </c>
    </row>
    <row r="152" spans="1:69">
      <c r="A152" s="3">
        <v>149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6">
        <v>0</v>
      </c>
      <c r="W152" s="6">
        <v>0</v>
      </c>
      <c r="X152" s="6">
        <v>0</v>
      </c>
      <c r="Y152" s="6">
        <v>0</v>
      </c>
      <c r="Z152" s="6">
        <v>2</v>
      </c>
      <c r="AA152" s="6">
        <v>2</v>
      </c>
      <c r="AB152" s="6">
        <v>0</v>
      </c>
      <c r="AC152" s="6">
        <v>2</v>
      </c>
      <c r="AD152" s="6">
        <v>2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1</v>
      </c>
      <c r="AY152" s="6">
        <v>0</v>
      </c>
      <c r="AZ152" s="6">
        <v>0</v>
      </c>
      <c r="BA152" s="3">
        <f t="shared" si="220"/>
        <v>0</v>
      </c>
      <c r="BB152" s="3">
        <f t="shared" si="221"/>
        <v>0</v>
      </c>
      <c r="BC152" s="3">
        <f t="shared" si="222"/>
        <v>0</v>
      </c>
      <c r="BD152" s="3">
        <f t="shared" si="223"/>
        <v>1</v>
      </c>
      <c r="BE152" s="3">
        <f t="shared" si="224"/>
        <v>8</v>
      </c>
      <c r="BF152" s="3">
        <f t="shared" si="225"/>
        <v>0</v>
      </c>
      <c r="BG152" s="3">
        <f t="shared" si="226"/>
        <v>0</v>
      </c>
      <c r="BH152" s="3">
        <f t="shared" si="227"/>
        <v>9</v>
      </c>
      <c r="BJ152" s="62">
        <f t="shared" si="228"/>
        <v>0</v>
      </c>
      <c r="BK152" s="62">
        <f t="shared" si="229"/>
        <v>0</v>
      </c>
      <c r="BL152" s="62">
        <f t="shared" si="230"/>
        <v>0</v>
      </c>
      <c r="BM152" s="62">
        <f t="shared" si="231"/>
        <v>8.3333333333333321</v>
      </c>
      <c r="BN152" s="62">
        <f t="shared" si="232"/>
        <v>22.222222222222221</v>
      </c>
      <c r="BO152" s="62">
        <f t="shared" si="233"/>
        <v>0</v>
      </c>
      <c r="BP152" s="62">
        <f t="shared" si="234"/>
        <v>0</v>
      </c>
      <c r="BQ152" s="62">
        <f t="shared" si="235"/>
        <v>7.2580645161290329</v>
      </c>
    </row>
    <row r="153" spans="1:69">
      <c r="A153" s="3">
        <v>150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6">
        <v>1</v>
      </c>
      <c r="W153" s="6">
        <v>0</v>
      </c>
      <c r="X153" s="6">
        <v>0</v>
      </c>
      <c r="Y153" s="6">
        <v>1</v>
      </c>
      <c r="Z153" s="6">
        <v>1</v>
      </c>
      <c r="AA153" s="6">
        <v>2</v>
      </c>
      <c r="AB153" s="6">
        <v>1</v>
      </c>
      <c r="AC153" s="6">
        <v>1</v>
      </c>
      <c r="AD153" s="6">
        <v>2</v>
      </c>
      <c r="AE153" s="6">
        <v>1</v>
      </c>
      <c r="AF153" s="6">
        <v>0</v>
      </c>
      <c r="AG153" s="6">
        <v>1</v>
      </c>
      <c r="AH153" s="6">
        <v>1</v>
      </c>
      <c r="AI153" s="6">
        <v>2</v>
      </c>
      <c r="AJ153" s="6">
        <v>2</v>
      </c>
      <c r="AK153" s="6">
        <v>2</v>
      </c>
      <c r="AL153" s="6">
        <v>2</v>
      </c>
      <c r="AM153" s="6">
        <v>1</v>
      </c>
      <c r="AN153" s="6">
        <v>1</v>
      </c>
      <c r="AO153" s="6">
        <v>1</v>
      </c>
      <c r="AP153" s="6">
        <v>0</v>
      </c>
      <c r="AQ153" s="6">
        <v>0</v>
      </c>
      <c r="AR153" s="6">
        <v>0</v>
      </c>
      <c r="AS153" s="6">
        <v>2</v>
      </c>
      <c r="AT153" s="6">
        <v>0</v>
      </c>
      <c r="AU153" s="6">
        <v>1</v>
      </c>
      <c r="AV153" s="6">
        <v>1</v>
      </c>
      <c r="AW153" s="6">
        <v>2</v>
      </c>
      <c r="AX153" s="6">
        <v>1</v>
      </c>
      <c r="AY153" s="6">
        <v>1</v>
      </c>
      <c r="AZ153" s="6">
        <v>0</v>
      </c>
      <c r="BA153" s="3">
        <f t="shared" si="220"/>
        <v>8</v>
      </c>
      <c r="BB153" s="3">
        <f t="shared" si="221"/>
        <v>1</v>
      </c>
      <c r="BC153" s="3">
        <f t="shared" si="222"/>
        <v>3</v>
      </c>
      <c r="BD153" s="3">
        <f t="shared" si="223"/>
        <v>2</v>
      </c>
      <c r="BE153" s="3">
        <f t="shared" si="224"/>
        <v>10</v>
      </c>
      <c r="BF153" s="3">
        <f t="shared" si="225"/>
        <v>5</v>
      </c>
      <c r="BG153" s="3">
        <f t="shared" si="226"/>
        <v>2</v>
      </c>
      <c r="BH153" s="3">
        <f t="shared" si="227"/>
        <v>31</v>
      </c>
      <c r="BJ153" s="62">
        <f t="shared" si="228"/>
        <v>50</v>
      </c>
      <c r="BK153" s="62">
        <f t="shared" si="229"/>
        <v>8.3333333333333321</v>
      </c>
      <c r="BL153" s="62">
        <f t="shared" si="230"/>
        <v>15</v>
      </c>
      <c r="BM153" s="62">
        <f t="shared" si="231"/>
        <v>16.666666666666664</v>
      </c>
      <c r="BN153" s="62">
        <f t="shared" si="232"/>
        <v>27.777777777777779</v>
      </c>
      <c r="BO153" s="62">
        <f t="shared" si="233"/>
        <v>41.666666666666671</v>
      </c>
      <c r="BP153" s="62">
        <f t="shared" si="234"/>
        <v>12.5</v>
      </c>
      <c r="BQ153" s="62">
        <f t="shared" si="235"/>
        <v>25</v>
      </c>
    </row>
    <row r="154" spans="1:69">
      <c r="A154" s="3">
        <v>151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6">
        <v>0</v>
      </c>
      <c r="W154" s="6">
        <v>0</v>
      </c>
      <c r="X154" s="6">
        <v>2</v>
      </c>
      <c r="Y154" s="6">
        <v>0</v>
      </c>
      <c r="Z154" s="6">
        <v>0</v>
      </c>
      <c r="AA154" s="6">
        <v>2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3">
        <f t="shared" si="220"/>
        <v>0</v>
      </c>
      <c r="BB154" s="3">
        <f t="shared" si="221"/>
        <v>0</v>
      </c>
      <c r="BC154" s="3">
        <f t="shared" si="222"/>
        <v>0</v>
      </c>
      <c r="BD154" s="3">
        <f t="shared" si="223"/>
        <v>0</v>
      </c>
      <c r="BE154" s="3">
        <f t="shared" si="224"/>
        <v>2</v>
      </c>
      <c r="BF154" s="3">
        <f t="shared" si="225"/>
        <v>0</v>
      </c>
      <c r="BG154" s="3">
        <f t="shared" si="226"/>
        <v>2</v>
      </c>
      <c r="BH154" s="3">
        <f t="shared" si="227"/>
        <v>4</v>
      </c>
      <c r="BJ154" s="62">
        <f t="shared" si="228"/>
        <v>0</v>
      </c>
      <c r="BK154" s="62">
        <f t="shared" si="229"/>
        <v>0</v>
      </c>
      <c r="BL154" s="62">
        <f t="shared" si="230"/>
        <v>0</v>
      </c>
      <c r="BM154" s="62">
        <f t="shared" si="231"/>
        <v>0</v>
      </c>
      <c r="BN154" s="62">
        <f t="shared" si="232"/>
        <v>5.5555555555555554</v>
      </c>
      <c r="BO154" s="62">
        <f t="shared" si="233"/>
        <v>0</v>
      </c>
      <c r="BP154" s="62">
        <f t="shared" si="234"/>
        <v>12.5</v>
      </c>
      <c r="BQ154" s="62">
        <f t="shared" si="235"/>
        <v>3.225806451612903</v>
      </c>
    </row>
    <row r="155" spans="1:69">
      <c r="A155" s="3">
        <v>152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6">
        <v>0</v>
      </c>
      <c r="W155" s="6">
        <v>1</v>
      </c>
      <c r="X155" s="6">
        <v>1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6">
        <v>0</v>
      </c>
      <c r="AO155" s="6">
        <v>1</v>
      </c>
      <c r="AP155" s="6">
        <v>1</v>
      </c>
      <c r="AQ155" s="6">
        <v>0</v>
      </c>
      <c r="AR155" s="6">
        <v>1</v>
      </c>
      <c r="AS155" s="6">
        <v>0</v>
      </c>
      <c r="AT155" s="6">
        <v>0</v>
      </c>
      <c r="AU155" s="6">
        <v>1</v>
      </c>
      <c r="AV155" s="6">
        <v>0</v>
      </c>
      <c r="AW155" s="6">
        <v>0</v>
      </c>
      <c r="AX155" s="6">
        <v>0</v>
      </c>
      <c r="AY155" s="6">
        <v>0</v>
      </c>
      <c r="AZ155" s="6">
        <v>1</v>
      </c>
      <c r="BA155" s="3">
        <f t="shared" si="220"/>
        <v>1</v>
      </c>
      <c r="BB155" s="3">
        <f t="shared" si="221"/>
        <v>0</v>
      </c>
      <c r="BC155" s="3">
        <f t="shared" si="222"/>
        <v>3</v>
      </c>
      <c r="BD155" s="3">
        <f t="shared" si="223"/>
        <v>1</v>
      </c>
      <c r="BE155" s="3">
        <f t="shared" si="224"/>
        <v>0</v>
      </c>
      <c r="BF155" s="3">
        <f t="shared" si="225"/>
        <v>1</v>
      </c>
      <c r="BG155" s="3">
        <f t="shared" si="226"/>
        <v>2</v>
      </c>
      <c r="BH155" s="3">
        <f t="shared" si="227"/>
        <v>8</v>
      </c>
      <c r="BJ155" s="62">
        <f t="shared" si="228"/>
        <v>6.25</v>
      </c>
      <c r="BK155" s="62">
        <f t="shared" si="229"/>
        <v>0</v>
      </c>
      <c r="BL155" s="62">
        <f t="shared" si="230"/>
        <v>15</v>
      </c>
      <c r="BM155" s="62">
        <f t="shared" si="231"/>
        <v>8.3333333333333321</v>
      </c>
      <c r="BN155" s="62">
        <f t="shared" si="232"/>
        <v>0</v>
      </c>
      <c r="BO155" s="62">
        <f t="shared" si="233"/>
        <v>8.3333333333333321</v>
      </c>
      <c r="BP155" s="62">
        <f t="shared" si="234"/>
        <v>12.5</v>
      </c>
      <c r="BQ155" s="62">
        <f t="shared" si="235"/>
        <v>6.4516129032258061</v>
      </c>
    </row>
    <row r="156" spans="1:69">
      <c r="A156" s="3">
        <v>153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6">
        <v>0</v>
      </c>
      <c r="W156" s="6">
        <v>0</v>
      </c>
      <c r="X156" s="6">
        <v>0</v>
      </c>
      <c r="Y156" s="6">
        <v>0</v>
      </c>
      <c r="Z156" s="6">
        <v>4</v>
      </c>
      <c r="AA156" s="6">
        <v>2</v>
      </c>
      <c r="AB156" s="6">
        <v>0</v>
      </c>
      <c r="AC156" s="6">
        <v>2</v>
      </c>
      <c r="AD156" s="6">
        <v>2</v>
      </c>
      <c r="AE156" s="6">
        <v>0</v>
      </c>
      <c r="AF156" s="6">
        <v>0</v>
      </c>
      <c r="AG156" s="6">
        <v>0</v>
      </c>
      <c r="AH156" s="6">
        <v>0</v>
      </c>
      <c r="AI156" s="6">
        <v>2</v>
      </c>
      <c r="AJ156" s="6">
        <v>1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1</v>
      </c>
      <c r="AT156" s="6">
        <v>0</v>
      </c>
      <c r="AU156" s="6">
        <v>2</v>
      </c>
      <c r="AV156" s="6">
        <v>0</v>
      </c>
      <c r="AW156" s="6">
        <v>1</v>
      </c>
      <c r="AX156" s="6">
        <v>2</v>
      </c>
      <c r="AY156" s="6">
        <v>4</v>
      </c>
      <c r="AZ156" s="6">
        <v>2</v>
      </c>
      <c r="BA156" s="3">
        <f t="shared" si="220"/>
        <v>3</v>
      </c>
      <c r="BB156" s="3">
        <f t="shared" si="221"/>
        <v>0</v>
      </c>
      <c r="BC156" s="3">
        <f t="shared" si="222"/>
        <v>0</v>
      </c>
      <c r="BD156" s="3">
        <f t="shared" si="223"/>
        <v>8</v>
      </c>
      <c r="BE156" s="3">
        <f t="shared" si="224"/>
        <v>10</v>
      </c>
      <c r="BF156" s="3">
        <f t="shared" si="225"/>
        <v>4</v>
      </c>
      <c r="BG156" s="3">
        <f t="shared" si="226"/>
        <v>0</v>
      </c>
      <c r="BH156" s="3">
        <f t="shared" si="227"/>
        <v>25</v>
      </c>
      <c r="BJ156" s="62">
        <f t="shared" si="228"/>
        <v>18.75</v>
      </c>
      <c r="BK156" s="62">
        <f t="shared" si="229"/>
        <v>0</v>
      </c>
      <c r="BL156" s="62">
        <f t="shared" si="230"/>
        <v>0</v>
      </c>
      <c r="BM156" s="62">
        <f t="shared" si="231"/>
        <v>66.666666666666657</v>
      </c>
      <c r="BN156" s="62">
        <f t="shared" si="232"/>
        <v>27.777777777777779</v>
      </c>
      <c r="BO156" s="62">
        <f t="shared" si="233"/>
        <v>33.333333333333329</v>
      </c>
      <c r="BP156" s="62">
        <f t="shared" si="234"/>
        <v>0</v>
      </c>
      <c r="BQ156" s="62">
        <f t="shared" si="235"/>
        <v>20.161290322580644</v>
      </c>
    </row>
    <row r="157" spans="1:69">
      <c r="A157" s="3">
        <v>154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6">
        <v>0</v>
      </c>
      <c r="W157" s="6">
        <v>1</v>
      </c>
      <c r="X157" s="6">
        <v>1</v>
      </c>
      <c r="Y157" s="6">
        <v>0</v>
      </c>
      <c r="Z157" s="6">
        <v>0</v>
      </c>
      <c r="AA157" s="6">
        <v>2</v>
      </c>
      <c r="AB157" s="6">
        <v>1</v>
      </c>
      <c r="AC157" s="6">
        <v>0</v>
      </c>
      <c r="AD157" s="6">
        <v>2</v>
      </c>
      <c r="AE157" s="6">
        <v>1</v>
      </c>
      <c r="AF157" s="6">
        <v>0</v>
      </c>
      <c r="AG157" s="6">
        <v>0</v>
      </c>
      <c r="AH157" s="6">
        <v>0</v>
      </c>
      <c r="AI157" s="6">
        <v>2</v>
      </c>
      <c r="AJ157" s="6">
        <v>2</v>
      </c>
      <c r="AK157" s="6">
        <v>1</v>
      </c>
      <c r="AL157" s="6">
        <v>1</v>
      </c>
      <c r="AM157" s="6">
        <v>0</v>
      </c>
      <c r="AN157" s="6">
        <v>1</v>
      </c>
      <c r="AO157" s="6">
        <v>1</v>
      </c>
      <c r="AP157" s="6">
        <v>1</v>
      </c>
      <c r="AQ157" s="6">
        <v>0</v>
      </c>
      <c r="AR157" s="6">
        <v>2</v>
      </c>
      <c r="AS157" s="6">
        <v>1</v>
      </c>
      <c r="AT157" s="6">
        <v>1</v>
      </c>
      <c r="AU157" s="6">
        <v>2</v>
      </c>
      <c r="AV157" s="6">
        <v>1</v>
      </c>
      <c r="AW157" s="6">
        <v>1</v>
      </c>
      <c r="AX157" s="6">
        <v>2</v>
      </c>
      <c r="AY157" s="6">
        <v>3</v>
      </c>
      <c r="AZ157" s="6">
        <v>2</v>
      </c>
      <c r="BA157" s="3">
        <f t="shared" si="220"/>
        <v>6</v>
      </c>
      <c r="BB157" s="3">
        <f t="shared" si="221"/>
        <v>2</v>
      </c>
      <c r="BC157" s="3">
        <f t="shared" si="222"/>
        <v>5</v>
      </c>
      <c r="BD157" s="3">
        <f t="shared" si="223"/>
        <v>7</v>
      </c>
      <c r="BE157" s="3">
        <f t="shared" si="224"/>
        <v>6</v>
      </c>
      <c r="BF157" s="3">
        <f t="shared" si="225"/>
        <v>4</v>
      </c>
      <c r="BG157" s="3">
        <f t="shared" si="226"/>
        <v>2</v>
      </c>
      <c r="BH157" s="3">
        <f t="shared" si="227"/>
        <v>32</v>
      </c>
      <c r="BJ157" s="62">
        <f t="shared" si="228"/>
        <v>37.5</v>
      </c>
      <c r="BK157" s="62">
        <f t="shared" si="229"/>
        <v>16.666666666666664</v>
      </c>
      <c r="BL157" s="62">
        <f t="shared" si="230"/>
        <v>25</v>
      </c>
      <c r="BM157" s="62">
        <f t="shared" si="231"/>
        <v>58.333333333333336</v>
      </c>
      <c r="BN157" s="62">
        <f t="shared" si="232"/>
        <v>16.666666666666664</v>
      </c>
      <c r="BO157" s="62">
        <f t="shared" si="233"/>
        <v>33.333333333333329</v>
      </c>
      <c r="BP157" s="62">
        <f t="shared" si="234"/>
        <v>12.5</v>
      </c>
      <c r="BQ157" s="62">
        <f t="shared" si="235"/>
        <v>25.806451612903224</v>
      </c>
    </row>
    <row r="158" spans="1:69">
      <c r="A158" s="3">
        <v>155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6">
        <v>1</v>
      </c>
      <c r="W158" s="6">
        <v>0</v>
      </c>
      <c r="X158" s="6">
        <v>0</v>
      </c>
      <c r="Y158" s="6">
        <v>1</v>
      </c>
      <c r="Z158" s="6">
        <v>2</v>
      </c>
      <c r="AA158" s="6">
        <v>4</v>
      </c>
      <c r="AB158" s="6">
        <v>3</v>
      </c>
      <c r="AC158" s="6">
        <v>4</v>
      </c>
      <c r="AD158" s="6">
        <v>4</v>
      </c>
      <c r="AE158" s="6">
        <v>0</v>
      </c>
      <c r="AF158" s="6">
        <v>0</v>
      </c>
      <c r="AG158" s="6">
        <v>0</v>
      </c>
      <c r="AH158" s="6">
        <v>0</v>
      </c>
      <c r="AI158" s="6">
        <v>2</v>
      </c>
      <c r="AJ158" s="6">
        <v>2</v>
      </c>
      <c r="AK158" s="6">
        <v>1</v>
      </c>
      <c r="AL158" s="6">
        <v>1</v>
      </c>
      <c r="AM158" s="6">
        <v>1</v>
      </c>
      <c r="AN158" s="6">
        <v>1</v>
      </c>
      <c r="AO158" s="6">
        <v>1</v>
      </c>
      <c r="AP158" s="6">
        <v>1</v>
      </c>
      <c r="AQ158" s="6">
        <v>0</v>
      </c>
      <c r="AR158" s="6">
        <v>1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1</v>
      </c>
      <c r="AY158" s="6">
        <v>2</v>
      </c>
      <c r="AZ158" s="6">
        <v>0</v>
      </c>
      <c r="BA158" s="3">
        <f t="shared" si="220"/>
        <v>6</v>
      </c>
      <c r="BB158" s="3">
        <f t="shared" si="221"/>
        <v>0</v>
      </c>
      <c r="BC158" s="3">
        <f t="shared" si="222"/>
        <v>5</v>
      </c>
      <c r="BD158" s="3">
        <f t="shared" si="223"/>
        <v>3</v>
      </c>
      <c r="BE158" s="3">
        <f t="shared" si="224"/>
        <v>17</v>
      </c>
      <c r="BF158" s="3">
        <f t="shared" si="225"/>
        <v>0</v>
      </c>
      <c r="BG158" s="3">
        <f t="shared" si="226"/>
        <v>2</v>
      </c>
      <c r="BH158" s="3">
        <f t="shared" si="227"/>
        <v>33</v>
      </c>
      <c r="BJ158" s="62">
        <f t="shared" si="228"/>
        <v>37.5</v>
      </c>
      <c r="BK158" s="62">
        <f t="shared" si="229"/>
        <v>0</v>
      </c>
      <c r="BL158" s="62">
        <f t="shared" si="230"/>
        <v>25</v>
      </c>
      <c r="BM158" s="62">
        <f t="shared" si="231"/>
        <v>25</v>
      </c>
      <c r="BN158" s="62">
        <f t="shared" si="232"/>
        <v>47.222222222222221</v>
      </c>
      <c r="BO158" s="62">
        <f t="shared" si="233"/>
        <v>0</v>
      </c>
      <c r="BP158" s="62">
        <f t="shared" si="234"/>
        <v>12.5</v>
      </c>
      <c r="BQ158" s="62">
        <f t="shared" si="235"/>
        <v>26.612903225806448</v>
      </c>
    </row>
    <row r="159" spans="1:69">
      <c r="A159" s="3">
        <v>156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6">
        <v>0</v>
      </c>
      <c r="W159" s="6">
        <v>0</v>
      </c>
      <c r="X159" s="6">
        <v>0</v>
      </c>
      <c r="Y159" s="6">
        <v>0</v>
      </c>
      <c r="Z159" s="6">
        <v>1</v>
      </c>
      <c r="AA159" s="6">
        <v>2</v>
      </c>
      <c r="AB159" s="6">
        <v>1</v>
      </c>
      <c r="AC159" s="6">
        <v>2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1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1</v>
      </c>
      <c r="AQ159" s="6">
        <v>0</v>
      </c>
      <c r="AR159" s="6">
        <v>1</v>
      </c>
      <c r="AS159" s="6">
        <v>0</v>
      </c>
      <c r="AT159" s="6">
        <v>1</v>
      </c>
      <c r="AU159" s="6">
        <v>0</v>
      </c>
      <c r="AV159" s="6">
        <v>1</v>
      </c>
      <c r="AW159" s="6">
        <v>0</v>
      </c>
      <c r="AX159" s="6">
        <v>0</v>
      </c>
      <c r="AY159" s="6">
        <v>1</v>
      </c>
      <c r="AZ159" s="6">
        <v>1</v>
      </c>
      <c r="BA159" s="3">
        <f t="shared" si="220"/>
        <v>1</v>
      </c>
      <c r="BB159" s="3">
        <f t="shared" si="221"/>
        <v>2</v>
      </c>
      <c r="BC159" s="3">
        <f t="shared" si="222"/>
        <v>2</v>
      </c>
      <c r="BD159" s="3">
        <f t="shared" si="223"/>
        <v>2</v>
      </c>
      <c r="BE159" s="3">
        <f t="shared" si="224"/>
        <v>6</v>
      </c>
      <c r="BF159" s="3">
        <f t="shared" si="225"/>
        <v>0</v>
      </c>
      <c r="BG159" s="3">
        <f t="shared" si="226"/>
        <v>0</v>
      </c>
      <c r="BH159" s="3">
        <f t="shared" si="227"/>
        <v>13</v>
      </c>
      <c r="BJ159" s="62">
        <f t="shared" si="228"/>
        <v>6.25</v>
      </c>
      <c r="BK159" s="62">
        <f t="shared" si="229"/>
        <v>16.666666666666664</v>
      </c>
      <c r="BL159" s="62">
        <f t="shared" si="230"/>
        <v>10</v>
      </c>
      <c r="BM159" s="62">
        <f t="shared" si="231"/>
        <v>16.666666666666664</v>
      </c>
      <c r="BN159" s="62">
        <f t="shared" si="232"/>
        <v>16.666666666666664</v>
      </c>
      <c r="BO159" s="62">
        <f t="shared" si="233"/>
        <v>0</v>
      </c>
      <c r="BP159" s="62">
        <f t="shared" si="234"/>
        <v>0</v>
      </c>
      <c r="BQ159" s="62">
        <f t="shared" si="235"/>
        <v>10.483870967741936</v>
      </c>
    </row>
    <row r="160" spans="1:69">
      <c r="A160" s="3">
        <v>157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6">
        <v>1</v>
      </c>
      <c r="W160" s="6">
        <v>1</v>
      </c>
      <c r="X160" s="6">
        <v>1</v>
      </c>
      <c r="Y160" s="6">
        <v>2</v>
      </c>
      <c r="Z160" s="6">
        <v>2</v>
      </c>
      <c r="AA160" s="6">
        <v>2</v>
      </c>
      <c r="AB160" s="6">
        <v>2</v>
      </c>
      <c r="AC160" s="6">
        <v>3</v>
      </c>
      <c r="AD160" s="6">
        <v>3</v>
      </c>
      <c r="AE160" s="6">
        <v>2</v>
      </c>
      <c r="AF160" s="6">
        <v>0</v>
      </c>
      <c r="AG160" s="6">
        <v>0</v>
      </c>
      <c r="AH160" s="6">
        <v>0</v>
      </c>
      <c r="AI160" s="6">
        <v>2</v>
      </c>
      <c r="AJ160" s="6">
        <v>2</v>
      </c>
      <c r="AK160" s="6">
        <v>2</v>
      </c>
      <c r="AL160" s="6">
        <v>2</v>
      </c>
      <c r="AM160" s="6">
        <v>1</v>
      </c>
      <c r="AN160" s="6">
        <v>1</v>
      </c>
      <c r="AO160" s="6">
        <v>1</v>
      </c>
      <c r="AP160" s="6">
        <v>2</v>
      </c>
      <c r="AQ160" s="6">
        <v>1</v>
      </c>
      <c r="AR160" s="6">
        <v>2</v>
      </c>
      <c r="AS160" s="6">
        <v>2</v>
      </c>
      <c r="AT160" s="6">
        <v>1</v>
      </c>
      <c r="AU160" s="6">
        <v>2</v>
      </c>
      <c r="AV160" s="6">
        <v>2</v>
      </c>
      <c r="AW160" s="6">
        <v>2</v>
      </c>
      <c r="AX160" s="6">
        <v>2</v>
      </c>
      <c r="AY160" s="6">
        <v>2</v>
      </c>
      <c r="AZ160" s="6">
        <v>2</v>
      </c>
      <c r="BA160" s="3">
        <f t="shared" si="220"/>
        <v>8</v>
      </c>
      <c r="BB160" s="3">
        <f t="shared" si="221"/>
        <v>4</v>
      </c>
      <c r="BC160" s="3">
        <f t="shared" si="222"/>
        <v>7</v>
      </c>
      <c r="BD160" s="3">
        <f t="shared" si="223"/>
        <v>6</v>
      </c>
      <c r="BE160" s="3">
        <f t="shared" si="224"/>
        <v>14</v>
      </c>
      <c r="BF160" s="3">
        <f t="shared" si="225"/>
        <v>6</v>
      </c>
      <c r="BG160" s="3">
        <f t="shared" si="226"/>
        <v>5</v>
      </c>
      <c r="BH160" s="3">
        <f t="shared" si="227"/>
        <v>50</v>
      </c>
      <c r="BJ160" s="62">
        <f t="shared" si="228"/>
        <v>50</v>
      </c>
      <c r="BK160" s="62">
        <f t="shared" si="229"/>
        <v>33.333333333333329</v>
      </c>
      <c r="BL160" s="62">
        <f t="shared" si="230"/>
        <v>35</v>
      </c>
      <c r="BM160" s="62">
        <f t="shared" si="231"/>
        <v>50</v>
      </c>
      <c r="BN160" s="62">
        <f t="shared" si="232"/>
        <v>38.888888888888893</v>
      </c>
      <c r="BO160" s="62">
        <f t="shared" si="233"/>
        <v>50</v>
      </c>
      <c r="BP160" s="62">
        <f t="shared" si="234"/>
        <v>31.25</v>
      </c>
      <c r="BQ160" s="62">
        <f t="shared" si="235"/>
        <v>40.322580645161288</v>
      </c>
    </row>
    <row r="161" spans="1:69">
      <c r="A161" s="3">
        <v>158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6">
        <v>0</v>
      </c>
      <c r="W161" s="6">
        <v>1</v>
      </c>
      <c r="X161" s="6">
        <v>0</v>
      </c>
      <c r="Y161" s="6">
        <v>0</v>
      </c>
      <c r="Z161" s="6">
        <v>1</v>
      </c>
      <c r="AA161" s="6">
        <v>2</v>
      </c>
      <c r="AB161" s="6">
        <v>1</v>
      </c>
      <c r="AC161" s="6">
        <v>1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2</v>
      </c>
      <c r="AJ161" s="6">
        <v>0</v>
      </c>
      <c r="AK161" s="6">
        <v>0</v>
      </c>
      <c r="AL161" s="6">
        <v>1</v>
      </c>
      <c r="AM161" s="6">
        <v>1</v>
      </c>
      <c r="AN161" s="6">
        <v>1</v>
      </c>
      <c r="AO161" s="6">
        <v>2</v>
      </c>
      <c r="AP161" s="6">
        <v>2</v>
      </c>
      <c r="AQ161" s="6">
        <v>1</v>
      </c>
      <c r="AR161" s="6">
        <v>3</v>
      </c>
      <c r="AS161" s="6">
        <v>2</v>
      </c>
      <c r="AT161" s="6">
        <v>0</v>
      </c>
      <c r="AU161" s="6">
        <v>2</v>
      </c>
      <c r="AV161" s="6">
        <v>1</v>
      </c>
      <c r="AW161" s="6">
        <v>2</v>
      </c>
      <c r="AX161" s="6">
        <v>2</v>
      </c>
      <c r="AY161" s="6">
        <v>2</v>
      </c>
      <c r="AZ161" s="6">
        <v>2</v>
      </c>
      <c r="BA161" s="3">
        <f t="shared" si="220"/>
        <v>3</v>
      </c>
      <c r="BB161" s="3">
        <f t="shared" si="221"/>
        <v>2</v>
      </c>
      <c r="BC161" s="3">
        <f t="shared" si="222"/>
        <v>9</v>
      </c>
      <c r="BD161" s="3">
        <f t="shared" si="223"/>
        <v>6</v>
      </c>
      <c r="BE161" s="3">
        <f t="shared" si="224"/>
        <v>5</v>
      </c>
      <c r="BF161" s="3">
        <f t="shared" si="225"/>
        <v>6</v>
      </c>
      <c r="BG161" s="3">
        <f t="shared" si="226"/>
        <v>1</v>
      </c>
      <c r="BH161" s="3">
        <f t="shared" si="227"/>
        <v>32</v>
      </c>
      <c r="BJ161" s="62">
        <f t="shared" si="228"/>
        <v>18.75</v>
      </c>
      <c r="BK161" s="62">
        <f t="shared" si="229"/>
        <v>16.666666666666664</v>
      </c>
      <c r="BL161" s="62">
        <f t="shared" si="230"/>
        <v>45</v>
      </c>
      <c r="BM161" s="62">
        <f t="shared" si="231"/>
        <v>50</v>
      </c>
      <c r="BN161" s="62">
        <f t="shared" si="232"/>
        <v>13.888888888888889</v>
      </c>
      <c r="BO161" s="62">
        <f t="shared" si="233"/>
        <v>50</v>
      </c>
      <c r="BP161" s="62">
        <f t="shared" si="234"/>
        <v>6.25</v>
      </c>
      <c r="BQ161" s="62">
        <f t="shared" si="235"/>
        <v>25.806451612903224</v>
      </c>
    </row>
    <row r="162" spans="1:69">
      <c r="A162" s="3">
        <v>159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6">
        <v>0</v>
      </c>
      <c r="W162" s="6">
        <v>0</v>
      </c>
      <c r="X162" s="6">
        <v>0</v>
      </c>
      <c r="Y162" s="6">
        <v>0</v>
      </c>
      <c r="Z162" s="6">
        <v>1</v>
      </c>
      <c r="AA162" s="6">
        <v>2</v>
      </c>
      <c r="AB162" s="6">
        <v>1</v>
      </c>
      <c r="AC162" s="6">
        <v>2</v>
      </c>
      <c r="AD162" s="6">
        <v>1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2</v>
      </c>
      <c r="AQ162" s="6">
        <v>0</v>
      </c>
      <c r="AR162" s="6">
        <v>1</v>
      </c>
      <c r="AS162" s="6">
        <v>1</v>
      </c>
      <c r="AT162" s="6">
        <v>0</v>
      </c>
      <c r="AU162" s="6">
        <v>2</v>
      </c>
      <c r="AV162" s="6">
        <v>0</v>
      </c>
      <c r="AW162" s="6">
        <v>1</v>
      </c>
      <c r="AX162" s="6">
        <v>0</v>
      </c>
      <c r="AY162" s="6">
        <v>1</v>
      </c>
      <c r="AZ162" s="6">
        <v>4</v>
      </c>
      <c r="BA162" s="3">
        <f t="shared" si="220"/>
        <v>0</v>
      </c>
      <c r="BB162" s="3">
        <f t="shared" si="221"/>
        <v>0</v>
      </c>
      <c r="BC162" s="3">
        <f t="shared" si="222"/>
        <v>3</v>
      </c>
      <c r="BD162" s="3">
        <f t="shared" si="223"/>
        <v>5</v>
      </c>
      <c r="BE162" s="3">
        <f t="shared" si="224"/>
        <v>7</v>
      </c>
      <c r="BF162" s="3">
        <f t="shared" si="225"/>
        <v>4</v>
      </c>
      <c r="BG162" s="3">
        <f t="shared" si="226"/>
        <v>0</v>
      </c>
      <c r="BH162" s="3">
        <f t="shared" si="227"/>
        <v>19</v>
      </c>
      <c r="BJ162" s="62">
        <f t="shared" si="228"/>
        <v>0</v>
      </c>
      <c r="BK162" s="62">
        <f t="shared" si="229"/>
        <v>0</v>
      </c>
      <c r="BL162" s="62">
        <f t="shared" si="230"/>
        <v>15</v>
      </c>
      <c r="BM162" s="62">
        <f t="shared" si="231"/>
        <v>41.666666666666671</v>
      </c>
      <c r="BN162" s="62">
        <f t="shared" si="232"/>
        <v>19.444444444444446</v>
      </c>
      <c r="BO162" s="62">
        <f t="shared" si="233"/>
        <v>33.333333333333329</v>
      </c>
      <c r="BP162" s="62">
        <f t="shared" si="234"/>
        <v>0</v>
      </c>
      <c r="BQ162" s="62">
        <f t="shared" si="235"/>
        <v>15.32258064516129</v>
      </c>
    </row>
    <row r="163" spans="1:69">
      <c r="A163" s="3">
        <v>160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6">
        <v>1</v>
      </c>
      <c r="W163" s="6">
        <v>2</v>
      </c>
      <c r="X163" s="6">
        <v>3</v>
      </c>
      <c r="Y163" s="6">
        <v>1</v>
      </c>
      <c r="Z163" s="6">
        <v>1</v>
      </c>
      <c r="AA163" s="6">
        <v>2</v>
      </c>
      <c r="AB163" s="6">
        <v>2</v>
      </c>
      <c r="AC163" s="6">
        <v>4</v>
      </c>
      <c r="AD163" s="6">
        <v>2</v>
      </c>
      <c r="AE163" s="6">
        <v>0</v>
      </c>
      <c r="AF163" s="6">
        <v>0</v>
      </c>
      <c r="AG163" s="6">
        <v>0</v>
      </c>
      <c r="AH163" s="6">
        <v>0</v>
      </c>
      <c r="AI163" s="6">
        <v>2</v>
      </c>
      <c r="AJ163" s="6">
        <v>2</v>
      </c>
      <c r="AK163" s="6">
        <v>1</v>
      </c>
      <c r="AL163" s="6">
        <v>1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2</v>
      </c>
      <c r="AT163" s="6">
        <v>0</v>
      </c>
      <c r="AU163" s="6">
        <v>1</v>
      </c>
      <c r="AV163" s="6">
        <v>1</v>
      </c>
      <c r="AW163" s="6">
        <v>0</v>
      </c>
      <c r="AX163" s="6">
        <v>0</v>
      </c>
      <c r="AY163" s="6">
        <v>0</v>
      </c>
      <c r="AZ163" s="6">
        <v>0</v>
      </c>
      <c r="BA163" s="3">
        <f>SUM(AI163:AL163)</f>
        <v>6</v>
      </c>
      <c r="BB163" s="3">
        <f t="shared" si="221"/>
        <v>1</v>
      </c>
      <c r="BC163" s="3">
        <f t="shared" si="222"/>
        <v>0</v>
      </c>
      <c r="BD163" s="3">
        <f t="shared" si="223"/>
        <v>0</v>
      </c>
      <c r="BE163" s="3">
        <f t="shared" si="224"/>
        <v>11</v>
      </c>
      <c r="BF163" s="3">
        <f t="shared" si="225"/>
        <v>3</v>
      </c>
      <c r="BG163" s="3">
        <f t="shared" si="226"/>
        <v>7</v>
      </c>
      <c r="BH163" s="3">
        <f t="shared" si="227"/>
        <v>28</v>
      </c>
      <c r="BJ163" s="62">
        <f t="shared" si="228"/>
        <v>37.5</v>
      </c>
      <c r="BK163" s="62">
        <f t="shared" si="229"/>
        <v>8.3333333333333321</v>
      </c>
      <c r="BL163" s="62">
        <f t="shared" si="230"/>
        <v>0</v>
      </c>
      <c r="BM163" s="62">
        <f t="shared" si="231"/>
        <v>0</v>
      </c>
      <c r="BN163" s="62">
        <f t="shared" si="232"/>
        <v>30.555555555555557</v>
      </c>
      <c r="BO163" s="62">
        <f t="shared" si="233"/>
        <v>25</v>
      </c>
      <c r="BP163" s="62">
        <f t="shared" si="234"/>
        <v>43.75</v>
      </c>
      <c r="BQ163" s="62">
        <f t="shared" si="235"/>
        <v>22.58064516129032</v>
      </c>
    </row>
    <row r="164" spans="1:69">
      <c r="A164" s="3">
        <v>161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6">
        <v>1</v>
      </c>
      <c r="W164" s="6">
        <v>1</v>
      </c>
      <c r="X164" s="6">
        <v>2</v>
      </c>
      <c r="Y164" s="6">
        <v>0</v>
      </c>
      <c r="Z164" s="6">
        <v>1</v>
      </c>
      <c r="AA164" s="6">
        <v>2</v>
      </c>
      <c r="AB164" s="6">
        <v>0</v>
      </c>
      <c r="AC164" s="6">
        <v>3</v>
      </c>
      <c r="AD164" s="6"/>
      <c r="AE164" s="6">
        <v>0</v>
      </c>
      <c r="AF164" s="6">
        <v>0</v>
      </c>
      <c r="AG164" s="6">
        <v>0</v>
      </c>
      <c r="AH164" s="6">
        <v>0</v>
      </c>
      <c r="AI164" s="6">
        <v>2</v>
      </c>
      <c r="AJ164" s="6">
        <v>0</v>
      </c>
      <c r="AK164" s="6">
        <v>2</v>
      </c>
      <c r="AL164" s="6">
        <v>2</v>
      </c>
      <c r="AM164" s="6">
        <v>2</v>
      </c>
      <c r="AN164" s="6">
        <v>1</v>
      </c>
      <c r="AO164" s="6">
        <v>1</v>
      </c>
      <c r="AP164" s="6">
        <v>1</v>
      </c>
      <c r="AQ164" s="6">
        <v>1</v>
      </c>
      <c r="AR164" s="6">
        <v>1</v>
      </c>
      <c r="AS164" s="6">
        <v>1</v>
      </c>
      <c r="AT164" s="6">
        <v>0</v>
      </c>
      <c r="AU164" s="6">
        <v>1</v>
      </c>
      <c r="AV164" s="6">
        <v>3</v>
      </c>
      <c r="AW164" s="6">
        <v>1</v>
      </c>
      <c r="AX164" s="6">
        <v>2</v>
      </c>
      <c r="AY164" s="6">
        <v>2</v>
      </c>
      <c r="AZ164" s="6">
        <v>2</v>
      </c>
      <c r="BA164" s="3">
        <f t="shared" si="220"/>
        <v>6</v>
      </c>
      <c r="BB164" s="3">
        <f t="shared" si="221"/>
        <v>4</v>
      </c>
      <c r="BC164" s="3">
        <f t="shared" si="222"/>
        <v>6</v>
      </c>
      <c r="BD164" s="3">
        <f t="shared" si="223"/>
        <v>6</v>
      </c>
      <c r="BE164" s="3">
        <f t="shared" si="224"/>
        <v>6</v>
      </c>
      <c r="BF164" s="3">
        <f t="shared" si="225"/>
        <v>3</v>
      </c>
      <c r="BG164" s="3">
        <f t="shared" si="226"/>
        <v>4</v>
      </c>
      <c r="BH164" s="3">
        <f t="shared" si="227"/>
        <v>35</v>
      </c>
      <c r="BJ164" s="62">
        <f t="shared" si="228"/>
        <v>37.5</v>
      </c>
      <c r="BK164" s="62">
        <f t="shared" si="229"/>
        <v>33.333333333333329</v>
      </c>
      <c r="BL164" s="62">
        <f t="shared" si="230"/>
        <v>30</v>
      </c>
      <c r="BM164" s="62">
        <f t="shared" si="231"/>
        <v>50</v>
      </c>
      <c r="BN164" s="62">
        <f t="shared" si="232"/>
        <v>16.666666666666664</v>
      </c>
      <c r="BO164" s="62">
        <f t="shared" si="233"/>
        <v>25</v>
      </c>
      <c r="BP164" s="62">
        <f t="shared" si="234"/>
        <v>25</v>
      </c>
      <c r="BQ164" s="62">
        <f t="shared" si="235"/>
        <v>28.225806451612907</v>
      </c>
    </row>
    <row r="165" spans="1:69">
      <c r="A165" s="3">
        <v>162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6">
        <v>0</v>
      </c>
      <c r="W165" s="6">
        <v>0</v>
      </c>
      <c r="X165" s="6">
        <v>1</v>
      </c>
      <c r="Y165" s="6">
        <v>0</v>
      </c>
      <c r="Z165" s="6">
        <v>0</v>
      </c>
      <c r="AA165" s="6">
        <v>1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1</v>
      </c>
      <c r="AS165" s="6">
        <v>0</v>
      </c>
      <c r="AT165" s="6">
        <v>1</v>
      </c>
      <c r="AU165" s="6">
        <v>3</v>
      </c>
      <c r="AV165" s="6">
        <v>1</v>
      </c>
      <c r="AW165" s="6">
        <v>0</v>
      </c>
      <c r="AX165" s="6">
        <v>0</v>
      </c>
      <c r="AY165" s="6">
        <v>1</v>
      </c>
      <c r="AZ165" s="6">
        <v>1</v>
      </c>
      <c r="BA165" s="3">
        <f t="shared" si="220"/>
        <v>0</v>
      </c>
      <c r="BB165" s="3">
        <f t="shared" si="221"/>
        <v>2</v>
      </c>
      <c r="BC165" s="3">
        <f t="shared" si="222"/>
        <v>1</v>
      </c>
      <c r="BD165" s="3">
        <f t="shared" si="223"/>
        <v>2</v>
      </c>
      <c r="BE165" s="3">
        <f t="shared" si="224"/>
        <v>1</v>
      </c>
      <c r="BF165" s="3">
        <f t="shared" si="225"/>
        <v>3</v>
      </c>
      <c r="BG165" s="3">
        <f t="shared" si="226"/>
        <v>1</v>
      </c>
      <c r="BH165" s="3">
        <f t="shared" si="227"/>
        <v>10</v>
      </c>
      <c r="BJ165" s="62">
        <f t="shared" si="228"/>
        <v>0</v>
      </c>
      <c r="BK165" s="62">
        <f t="shared" si="229"/>
        <v>16.666666666666664</v>
      </c>
      <c r="BL165" s="62">
        <f t="shared" si="230"/>
        <v>5</v>
      </c>
      <c r="BM165" s="62">
        <f t="shared" si="231"/>
        <v>16.666666666666664</v>
      </c>
      <c r="BN165" s="62">
        <f t="shared" si="232"/>
        <v>2.7777777777777777</v>
      </c>
      <c r="BO165" s="62">
        <f t="shared" si="233"/>
        <v>25</v>
      </c>
      <c r="BP165" s="62">
        <f t="shared" si="234"/>
        <v>6.25</v>
      </c>
      <c r="BQ165" s="62">
        <f t="shared" si="235"/>
        <v>8.064516129032258</v>
      </c>
    </row>
    <row r="166" spans="1:69">
      <c r="A166" s="3">
        <v>163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6">
        <v>0</v>
      </c>
      <c r="W166" s="6">
        <v>0</v>
      </c>
      <c r="X166" s="6">
        <v>2</v>
      </c>
      <c r="Y166" s="6">
        <v>0</v>
      </c>
      <c r="Z166" s="6">
        <v>2</v>
      </c>
      <c r="AA166" s="6">
        <v>2</v>
      </c>
      <c r="AB166" s="6">
        <v>0</v>
      </c>
      <c r="AC166" s="6">
        <v>2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1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1</v>
      </c>
      <c r="AP166" s="6">
        <v>1</v>
      </c>
      <c r="AQ166" s="6">
        <v>1</v>
      </c>
      <c r="AR166" s="6">
        <v>3</v>
      </c>
      <c r="AS166" s="6">
        <v>0</v>
      </c>
      <c r="AT166" s="6">
        <v>2</v>
      </c>
      <c r="AU166" s="6">
        <v>0</v>
      </c>
      <c r="AV166" s="6">
        <v>1</v>
      </c>
      <c r="AW166" s="6">
        <v>0</v>
      </c>
      <c r="AX166" s="6">
        <v>2</v>
      </c>
      <c r="AY166" s="6">
        <v>2</v>
      </c>
      <c r="AZ166" s="6">
        <v>2</v>
      </c>
      <c r="BA166" s="3">
        <f t="shared" si="220"/>
        <v>1</v>
      </c>
      <c r="BB166" s="3">
        <f t="shared" si="221"/>
        <v>4</v>
      </c>
      <c r="BC166" s="3">
        <f t="shared" si="222"/>
        <v>5</v>
      </c>
      <c r="BD166" s="3">
        <f t="shared" si="223"/>
        <v>6</v>
      </c>
      <c r="BE166" s="3">
        <f t="shared" si="224"/>
        <v>6</v>
      </c>
      <c r="BF166" s="3">
        <f t="shared" si="225"/>
        <v>0</v>
      </c>
      <c r="BG166" s="3">
        <f t="shared" si="226"/>
        <v>2</v>
      </c>
      <c r="BH166" s="3">
        <f t="shared" si="227"/>
        <v>24</v>
      </c>
      <c r="BJ166" s="62">
        <f t="shared" si="228"/>
        <v>6.25</v>
      </c>
      <c r="BK166" s="62">
        <f t="shared" si="229"/>
        <v>33.333333333333329</v>
      </c>
      <c r="BL166" s="62">
        <f t="shared" si="230"/>
        <v>25</v>
      </c>
      <c r="BM166" s="62">
        <f t="shared" si="231"/>
        <v>50</v>
      </c>
      <c r="BN166" s="62">
        <f t="shared" si="232"/>
        <v>16.666666666666664</v>
      </c>
      <c r="BO166" s="62">
        <f t="shared" si="233"/>
        <v>0</v>
      </c>
      <c r="BP166" s="62">
        <f t="shared" si="234"/>
        <v>12.5</v>
      </c>
      <c r="BQ166" s="62">
        <f t="shared" si="235"/>
        <v>19.35483870967742</v>
      </c>
    </row>
    <row r="167" spans="1:69">
      <c r="A167" s="3">
        <v>164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6">
        <v>0</v>
      </c>
      <c r="W167" s="6">
        <v>0</v>
      </c>
      <c r="X167" s="6">
        <v>0</v>
      </c>
      <c r="Y167" s="6">
        <v>0</v>
      </c>
      <c r="Z167" s="6">
        <v>2</v>
      </c>
      <c r="AA167" s="6">
        <v>2</v>
      </c>
      <c r="AB167" s="6">
        <v>1</v>
      </c>
      <c r="AC167" s="6">
        <v>0</v>
      </c>
      <c r="AD167" s="6">
        <v>2</v>
      </c>
      <c r="AE167" s="6">
        <v>0</v>
      </c>
      <c r="AF167" s="6">
        <v>0</v>
      </c>
      <c r="AG167" s="6">
        <v>0</v>
      </c>
      <c r="AH167" s="6">
        <v>0</v>
      </c>
      <c r="AI167" s="6">
        <v>2</v>
      </c>
      <c r="AJ167" s="6">
        <v>1</v>
      </c>
      <c r="AK167" s="6">
        <v>0</v>
      </c>
      <c r="AL167" s="6">
        <v>0</v>
      </c>
      <c r="AM167" s="6">
        <v>1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2</v>
      </c>
      <c r="AT167" s="6">
        <v>0</v>
      </c>
      <c r="AU167" s="6">
        <v>2</v>
      </c>
      <c r="AV167" s="6">
        <v>1</v>
      </c>
      <c r="AW167" s="6">
        <v>1</v>
      </c>
      <c r="AX167" s="6">
        <v>1</v>
      </c>
      <c r="AY167" s="6">
        <v>3</v>
      </c>
      <c r="AZ167" s="6">
        <v>1</v>
      </c>
      <c r="BA167" s="3">
        <f t="shared" si="220"/>
        <v>3</v>
      </c>
      <c r="BB167" s="3">
        <f t="shared" si="221"/>
        <v>1</v>
      </c>
      <c r="BC167" s="3">
        <f t="shared" si="222"/>
        <v>1</v>
      </c>
      <c r="BD167" s="3">
        <f t="shared" si="223"/>
        <v>5</v>
      </c>
      <c r="BE167" s="3">
        <f t="shared" si="224"/>
        <v>7</v>
      </c>
      <c r="BF167" s="3">
        <f t="shared" si="225"/>
        <v>5</v>
      </c>
      <c r="BG167" s="3">
        <f t="shared" si="226"/>
        <v>0</v>
      </c>
      <c r="BH167" s="3">
        <f t="shared" si="227"/>
        <v>22</v>
      </c>
      <c r="BJ167" s="62">
        <f t="shared" si="228"/>
        <v>18.75</v>
      </c>
      <c r="BK167" s="62">
        <f t="shared" si="229"/>
        <v>8.3333333333333321</v>
      </c>
      <c r="BL167" s="62">
        <f t="shared" si="230"/>
        <v>5</v>
      </c>
      <c r="BM167" s="62">
        <f t="shared" si="231"/>
        <v>41.666666666666671</v>
      </c>
      <c r="BN167" s="62">
        <f t="shared" si="232"/>
        <v>19.444444444444446</v>
      </c>
      <c r="BO167" s="62">
        <f t="shared" si="233"/>
        <v>41.666666666666671</v>
      </c>
      <c r="BP167" s="62">
        <f t="shared" si="234"/>
        <v>0</v>
      </c>
      <c r="BQ167" s="62">
        <f t="shared" si="235"/>
        <v>17.741935483870968</v>
      </c>
    </row>
    <row r="168" spans="1:69">
      <c r="A168" s="3">
        <v>165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6">
        <v>0</v>
      </c>
      <c r="W168" s="6">
        <v>0</v>
      </c>
      <c r="X168" s="6">
        <v>0</v>
      </c>
      <c r="Y168" s="6">
        <v>0</v>
      </c>
      <c r="Z168" s="6">
        <v>2</v>
      </c>
      <c r="AA168" s="6">
        <v>2</v>
      </c>
      <c r="AB168" s="6">
        <v>2</v>
      </c>
      <c r="AC168" s="6">
        <v>3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6">
        <v>0</v>
      </c>
      <c r="AO168" s="6">
        <v>1</v>
      </c>
      <c r="AP168" s="6">
        <v>1</v>
      </c>
      <c r="AQ168" s="6">
        <v>1</v>
      </c>
      <c r="AR168" s="6">
        <v>1</v>
      </c>
      <c r="AS168" s="6">
        <v>0</v>
      </c>
      <c r="AT168" s="6">
        <v>0</v>
      </c>
      <c r="AU168" s="6">
        <v>0</v>
      </c>
      <c r="AV168" s="6">
        <v>1</v>
      </c>
      <c r="AW168" s="6">
        <v>0</v>
      </c>
      <c r="AX168" s="6">
        <v>0</v>
      </c>
      <c r="AY168" s="6">
        <v>0</v>
      </c>
      <c r="AZ168" s="6">
        <v>0</v>
      </c>
      <c r="BA168" s="3">
        <f t="shared" si="220"/>
        <v>2</v>
      </c>
      <c r="BB168" s="3">
        <f t="shared" si="221"/>
        <v>2</v>
      </c>
      <c r="BC168" s="3">
        <f t="shared" si="222"/>
        <v>3</v>
      </c>
      <c r="BD168" s="3">
        <f t="shared" si="223"/>
        <v>0</v>
      </c>
      <c r="BE168" s="3">
        <f t="shared" si="224"/>
        <v>9</v>
      </c>
      <c r="BF168" s="3">
        <f t="shared" si="225"/>
        <v>0</v>
      </c>
      <c r="BG168" s="3">
        <f t="shared" si="226"/>
        <v>0</v>
      </c>
      <c r="BH168" s="3">
        <f t="shared" si="227"/>
        <v>16</v>
      </c>
      <c r="BJ168" s="62">
        <f t="shared" si="228"/>
        <v>12.5</v>
      </c>
      <c r="BK168" s="62">
        <f t="shared" si="229"/>
        <v>16.666666666666664</v>
      </c>
      <c r="BL168" s="62">
        <f t="shared" si="230"/>
        <v>15</v>
      </c>
      <c r="BM168" s="62">
        <f t="shared" si="231"/>
        <v>0</v>
      </c>
      <c r="BN168" s="62">
        <f t="shared" si="232"/>
        <v>25</v>
      </c>
      <c r="BO168" s="62">
        <f t="shared" si="233"/>
        <v>0</v>
      </c>
      <c r="BP168" s="62">
        <f t="shared" si="234"/>
        <v>0</v>
      </c>
      <c r="BQ168" s="62">
        <f t="shared" si="235"/>
        <v>12.903225806451612</v>
      </c>
    </row>
    <row r="169" spans="1:69">
      <c r="A169" s="3">
        <v>166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1</v>
      </c>
      <c r="AB169" s="6">
        <v>2</v>
      </c>
      <c r="AC169" s="6">
        <v>1</v>
      </c>
      <c r="AD169" s="6">
        <v>1</v>
      </c>
      <c r="AE169" s="6">
        <v>1</v>
      </c>
      <c r="AF169" s="6">
        <v>0</v>
      </c>
      <c r="AG169" s="6">
        <v>0</v>
      </c>
      <c r="AH169" s="6">
        <v>0</v>
      </c>
      <c r="AI169" s="6">
        <v>2</v>
      </c>
      <c r="AJ169" s="6">
        <v>2</v>
      </c>
      <c r="AK169" s="6">
        <v>2</v>
      </c>
      <c r="AL169" s="6">
        <v>2</v>
      </c>
      <c r="AM169" s="6">
        <v>1</v>
      </c>
      <c r="AN169" s="6">
        <v>1</v>
      </c>
      <c r="AO169" s="6">
        <v>1</v>
      </c>
      <c r="AP169" s="6">
        <v>2</v>
      </c>
      <c r="AQ169" s="6">
        <v>1</v>
      </c>
      <c r="AR169" s="6">
        <v>1</v>
      </c>
      <c r="AS169" s="6">
        <v>2</v>
      </c>
      <c r="AT169" s="6">
        <v>0</v>
      </c>
      <c r="AU169" s="6">
        <v>0</v>
      </c>
      <c r="AV169" s="6">
        <v>1</v>
      </c>
      <c r="AW169" s="6">
        <v>0</v>
      </c>
      <c r="AX169" s="6">
        <v>1</v>
      </c>
      <c r="AY169" s="6">
        <v>3</v>
      </c>
      <c r="AZ169" s="6">
        <v>3</v>
      </c>
      <c r="BA169" s="3">
        <f t="shared" si="220"/>
        <v>8</v>
      </c>
      <c r="BB169" s="3">
        <f t="shared" si="221"/>
        <v>2</v>
      </c>
      <c r="BC169" s="3">
        <f t="shared" si="222"/>
        <v>6</v>
      </c>
      <c r="BD169" s="3">
        <f t="shared" si="223"/>
        <v>7</v>
      </c>
      <c r="BE169" s="3">
        <f t="shared" si="224"/>
        <v>6</v>
      </c>
      <c r="BF169" s="3">
        <f t="shared" si="225"/>
        <v>2</v>
      </c>
      <c r="BG169" s="3">
        <f t="shared" si="226"/>
        <v>0</v>
      </c>
      <c r="BH169" s="3">
        <f t="shared" si="227"/>
        <v>31</v>
      </c>
      <c r="BJ169" s="62">
        <f t="shared" si="228"/>
        <v>50</v>
      </c>
      <c r="BK169" s="62">
        <f t="shared" si="229"/>
        <v>16.666666666666664</v>
      </c>
      <c r="BL169" s="62">
        <f t="shared" si="230"/>
        <v>30</v>
      </c>
      <c r="BM169" s="62">
        <f t="shared" si="231"/>
        <v>58.333333333333336</v>
      </c>
      <c r="BN169" s="62">
        <f t="shared" si="232"/>
        <v>16.666666666666664</v>
      </c>
      <c r="BO169" s="62">
        <f t="shared" si="233"/>
        <v>16.666666666666664</v>
      </c>
      <c r="BP169" s="62">
        <f t="shared" si="234"/>
        <v>0</v>
      </c>
      <c r="BQ169" s="62">
        <f t="shared" si="235"/>
        <v>25</v>
      </c>
    </row>
    <row r="170" spans="1:69">
      <c r="A170" s="3">
        <v>167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6">
        <v>1</v>
      </c>
      <c r="W170" s="6">
        <v>0</v>
      </c>
      <c r="X170" s="6">
        <v>3</v>
      </c>
      <c r="Y170" s="6">
        <v>1</v>
      </c>
      <c r="Z170" s="6">
        <v>1</v>
      </c>
      <c r="AA170" s="6">
        <v>2</v>
      </c>
      <c r="AB170" s="6">
        <v>1</v>
      </c>
      <c r="AC170" s="6">
        <v>1</v>
      </c>
      <c r="AD170" s="6">
        <v>4</v>
      </c>
      <c r="AE170" s="6">
        <v>0</v>
      </c>
      <c r="AF170" s="6">
        <v>0</v>
      </c>
      <c r="AG170" s="6">
        <v>0</v>
      </c>
      <c r="AH170" s="6">
        <v>0</v>
      </c>
      <c r="AI170" s="6">
        <v>1</v>
      </c>
      <c r="AJ170" s="6">
        <v>1</v>
      </c>
      <c r="AK170" s="6">
        <v>0</v>
      </c>
      <c r="AL170" s="6">
        <v>0</v>
      </c>
      <c r="AM170" s="6">
        <v>0</v>
      </c>
      <c r="AN170" s="6">
        <v>0</v>
      </c>
      <c r="AO170" s="6">
        <v>1</v>
      </c>
      <c r="AP170" s="6">
        <v>4</v>
      </c>
      <c r="AQ170" s="6">
        <v>1</v>
      </c>
      <c r="AR170" s="6">
        <v>3</v>
      </c>
      <c r="AS170" s="6">
        <v>0</v>
      </c>
      <c r="AT170" s="6">
        <v>0</v>
      </c>
      <c r="AU170" s="6">
        <v>0</v>
      </c>
      <c r="AV170" s="6">
        <v>1</v>
      </c>
      <c r="AW170" s="6">
        <v>4</v>
      </c>
      <c r="AX170" s="6">
        <v>1</v>
      </c>
      <c r="AY170" s="6">
        <v>2</v>
      </c>
      <c r="AZ170" s="6">
        <v>1</v>
      </c>
      <c r="BA170" s="3">
        <f t="shared" si="220"/>
        <v>2</v>
      </c>
      <c r="BB170" s="3">
        <f t="shared" si="221"/>
        <v>2</v>
      </c>
      <c r="BC170" s="3">
        <f t="shared" si="222"/>
        <v>8</v>
      </c>
      <c r="BD170" s="3">
        <f t="shared" si="223"/>
        <v>4</v>
      </c>
      <c r="BE170" s="3">
        <f t="shared" si="224"/>
        <v>9</v>
      </c>
      <c r="BF170" s="3">
        <f t="shared" si="225"/>
        <v>4</v>
      </c>
      <c r="BG170" s="3">
        <f t="shared" si="226"/>
        <v>5</v>
      </c>
      <c r="BH170" s="3">
        <f t="shared" si="227"/>
        <v>34</v>
      </c>
      <c r="BJ170" s="62">
        <f t="shared" si="228"/>
        <v>12.5</v>
      </c>
      <c r="BK170" s="62">
        <f t="shared" si="229"/>
        <v>16.666666666666664</v>
      </c>
      <c r="BL170" s="62">
        <f t="shared" si="230"/>
        <v>40</v>
      </c>
      <c r="BM170" s="62">
        <f t="shared" si="231"/>
        <v>33.333333333333329</v>
      </c>
      <c r="BN170" s="62">
        <f t="shared" si="232"/>
        <v>25</v>
      </c>
      <c r="BO170" s="62">
        <f t="shared" si="233"/>
        <v>33.333333333333329</v>
      </c>
      <c r="BP170" s="62">
        <f t="shared" si="234"/>
        <v>31.25</v>
      </c>
      <c r="BQ170" s="62">
        <f t="shared" si="235"/>
        <v>27.419354838709676</v>
      </c>
    </row>
    <row r="171" spans="1:69">
      <c r="A171" s="3">
        <v>168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6">
        <v>0</v>
      </c>
      <c r="W171" s="6">
        <v>0</v>
      </c>
      <c r="X171" s="6">
        <v>1</v>
      </c>
      <c r="Y171" s="6">
        <v>1</v>
      </c>
      <c r="Z171" s="6">
        <v>1</v>
      </c>
      <c r="AA171" s="6">
        <v>2</v>
      </c>
      <c r="AB171" s="6">
        <v>0</v>
      </c>
      <c r="AC171" s="6">
        <v>2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1</v>
      </c>
      <c r="AJ171" s="6">
        <v>1</v>
      </c>
      <c r="AK171" s="6">
        <v>2</v>
      </c>
      <c r="AL171" s="6">
        <v>1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1</v>
      </c>
      <c r="AT171" s="6">
        <v>0</v>
      </c>
      <c r="AU171" s="6">
        <v>1</v>
      </c>
      <c r="AV171" s="6">
        <v>0</v>
      </c>
      <c r="AW171" s="6">
        <v>0</v>
      </c>
      <c r="AX171" s="6">
        <v>2</v>
      </c>
      <c r="AY171" s="6">
        <v>1</v>
      </c>
      <c r="AZ171" s="6">
        <v>1</v>
      </c>
      <c r="BA171" s="3">
        <f t="shared" si="220"/>
        <v>5</v>
      </c>
      <c r="BB171" s="3">
        <f t="shared" si="221"/>
        <v>0</v>
      </c>
      <c r="BC171" s="3">
        <f t="shared" si="222"/>
        <v>0</v>
      </c>
      <c r="BD171" s="3">
        <f t="shared" si="223"/>
        <v>4</v>
      </c>
      <c r="BE171" s="3">
        <f t="shared" si="224"/>
        <v>5</v>
      </c>
      <c r="BF171" s="3">
        <f t="shared" si="225"/>
        <v>2</v>
      </c>
      <c r="BG171" s="3">
        <f t="shared" si="226"/>
        <v>2</v>
      </c>
      <c r="BH171" s="3">
        <f t="shared" si="227"/>
        <v>18</v>
      </c>
      <c r="BJ171" s="62">
        <f t="shared" si="228"/>
        <v>31.25</v>
      </c>
      <c r="BK171" s="62">
        <f t="shared" si="229"/>
        <v>0</v>
      </c>
      <c r="BL171" s="62">
        <f t="shared" si="230"/>
        <v>0</v>
      </c>
      <c r="BM171" s="62">
        <f t="shared" si="231"/>
        <v>33.333333333333329</v>
      </c>
      <c r="BN171" s="62">
        <f t="shared" si="232"/>
        <v>13.888888888888889</v>
      </c>
      <c r="BO171" s="62">
        <f t="shared" si="233"/>
        <v>16.666666666666664</v>
      </c>
      <c r="BP171" s="62">
        <f t="shared" si="234"/>
        <v>12.5</v>
      </c>
      <c r="BQ171" s="62">
        <f t="shared" si="235"/>
        <v>14.516129032258066</v>
      </c>
    </row>
    <row r="172" spans="1:69">
      <c r="A172" s="3">
        <v>169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6">
        <v>0</v>
      </c>
      <c r="W172" s="6">
        <v>0</v>
      </c>
      <c r="X172" s="6">
        <v>0</v>
      </c>
      <c r="Y172" s="6">
        <v>0</v>
      </c>
      <c r="Z172" s="6">
        <v>1</v>
      </c>
      <c r="AA172" s="6">
        <v>2</v>
      </c>
      <c r="AB172" s="6">
        <v>1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1</v>
      </c>
      <c r="AJ172" s="6">
        <v>1</v>
      </c>
      <c r="AK172" s="6">
        <v>1</v>
      </c>
      <c r="AL172" s="6">
        <v>1</v>
      </c>
      <c r="AM172" s="6">
        <v>0</v>
      </c>
      <c r="AN172" s="6">
        <v>0</v>
      </c>
      <c r="AO172" s="6">
        <v>0</v>
      </c>
      <c r="AP172" s="6">
        <v>1</v>
      </c>
      <c r="AQ172" s="6">
        <v>1</v>
      </c>
      <c r="AR172" s="6">
        <v>2</v>
      </c>
      <c r="AS172" s="6">
        <v>2</v>
      </c>
      <c r="AT172" s="6">
        <v>0</v>
      </c>
      <c r="AU172" s="6">
        <v>1</v>
      </c>
      <c r="AV172" s="6">
        <v>1</v>
      </c>
      <c r="AW172" s="6">
        <v>1</v>
      </c>
      <c r="AX172" s="6">
        <v>0</v>
      </c>
      <c r="AY172" s="6">
        <v>1</v>
      </c>
      <c r="AZ172" s="6">
        <v>2</v>
      </c>
      <c r="BA172" s="3">
        <f t="shared" si="220"/>
        <v>4</v>
      </c>
      <c r="BB172" s="3">
        <f t="shared" si="221"/>
        <v>2</v>
      </c>
      <c r="BC172" s="3">
        <f t="shared" si="222"/>
        <v>3</v>
      </c>
      <c r="BD172" s="3">
        <f t="shared" si="223"/>
        <v>3</v>
      </c>
      <c r="BE172" s="3">
        <f t="shared" si="224"/>
        <v>4</v>
      </c>
      <c r="BF172" s="3">
        <f t="shared" si="225"/>
        <v>4</v>
      </c>
      <c r="BG172" s="3">
        <f t="shared" si="226"/>
        <v>0</v>
      </c>
      <c r="BH172" s="3">
        <f t="shared" si="227"/>
        <v>20</v>
      </c>
      <c r="BJ172" s="62">
        <f t="shared" si="228"/>
        <v>25</v>
      </c>
      <c r="BK172" s="62">
        <f t="shared" si="229"/>
        <v>16.666666666666664</v>
      </c>
      <c r="BL172" s="62">
        <f t="shared" si="230"/>
        <v>15</v>
      </c>
      <c r="BM172" s="62">
        <f t="shared" si="231"/>
        <v>25</v>
      </c>
      <c r="BN172" s="62">
        <f t="shared" si="232"/>
        <v>11.111111111111111</v>
      </c>
      <c r="BO172" s="62">
        <f t="shared" si="233"/>
        <v>33.333333333333329</v>
      </c>
      <c r="BP172" s="62">
        <f t="shared" si="234"/>
        <v>0</v>
      </c>
      <c r="BQ172" s="62">
        <f t="shared" si="235"/>
        <v>16.129032258064516</v>
      </c>
    </row>
    <row r="173" spans="1:69">
      <c r="A173" s="3">
        <v>170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6">
        <v>0</v>
      </c>
      <c r="W173" s="6">
        <v>1</v>
      </c>
      <c r="X173" s="6">
        <v>3</v>
      </c>
      <c r="Y173" s="6">
        <v>1</v>
      </c>
      <c r="Z173" s="6">
        <v>1</v>
      </c>
      <c r="AA173" s="6">
        <v>3</v>
      </c>
      <c r="AB173" s="6">
        <v>1</v>
      </c>
      <c r="AC173" s="6">
        <v>1</v>
      </c>
      <c r="AD173" s="6">
        <v>1</v>
      </c>
      <c r="AE173" s="6">
        <v>1</v>
      </c>
      <c r="AF173" s="6">
        <v>1</v>
      </c>
      <c r="AG173" s="6">
        <v>1</v>
      </c>
      <c r="AH173" s="6">
        <v>1</v>
      </c>
      <c r="AI173" s="6">
        <v>1</v>
      </c>
      <c r="AJ173" s="6">
        <v>1</v>
      </c>
      <c r="AK173" s="6">
        <v>1</v>
      </c>
      <c r="AL173" s="6">
        <v>1</v>
      </c>
      <c r="AM173" s="6">
        <v>1</v>
      </c>
      <c r="AN173" s="6">
        <v>1</v>
      </c>
      <c r="AO173" s="6">
        <v>1</v>
      </c>
      <c r="AP173" s="6">
        <v>1</v>
      </c>
      <c r="AQ173" s="6">
        <v>0</v>
      </c>
      <c r="AR173" s="6">
        <v>1</v>
      </c>
      <c r="AS173" s="6">
        <v>1</v>
      </c>
      <c r="AT173" s="6">
        <v>1</v>
      </c>
      <c r="AU173" s="6">
        <v>0</v>
      </c>
      <c r="AV173" s="6">
        <v>4</v>
      </c>
      <c r="AW173" s="6">
        <v>1</v>
      </c>
      <c r="AX173" s="6">
        <v>1</v>
      </c>
      <c r="AY173" s="6">
        <v>3</v>
      </c>
      <c r="AZ173" s="6">
        <v>1</v>
      </c>
      <c r="BA173" s="3">
        <f t="shared" si="220"/>
        <v>4</v>
      </c>
      <c r="BB173" s="3">
        <f t="shared" si="221"/>
        <v>5</v>
      </c>
      <c r="BC173" s="3">
        <f t="shared" si="222"/>
        <v>5</v>
      </c>
      <c r="BD173" s="3">
        <f t="shared" si="223"/>
        <v>5</v>
      </c>
      <c r="BE173" s="3">
        <f t="shared" si="224"/>
        <v>11</v>
      </c>
      <c r="BF173" s="3">
        <f t="shared" si="225"/>
        <v>2</v>
      </c>
      <c r="BG173" s="3">
        <f t="shared" si="226"/>
        <v>5</v>
      </c>
      <c r="BH173" s="3">
        <f t="shared" si="227"/>
        <v>37</v>
      </c>
      <c r="BJ173" s="62">
        <f t="shared" si="228"/>
        <v>25</v>
      </c>
      <c r="BK173" s="62">
        <f t="shared" si="229"/>
        <v>41.666666666666671</v>
      </c>
      <c r="BL173" s="62">
        <f t="shared" si="230"/>
        <v>25</v>
      </c>
      <c r="BM173" s="62">
        <f t="shared" si="231"/>
        <v>41.666666666666671</v>
      </c>
      <c r="BN173" s="62">
        <f t="shared" si="232"/>
        <v>30.555555555555557</v>
      </c>
      <c r="BO173" s="62">
        <f t="shared" si="233"/>
        <v>16.666666666666664</v>
      </c>
      <c r="BP173" s="62">
        <f t="shared" si="234"/>
        <v>31.25</v>
      </c>
      <c r="BQ173" s="62">
        <f t="shared" si="235"/>
        <v>29.838709677419356</v>
      </c>
    </row>
    <row r="174" spans="1:69">
      <c r="A174" s="3">
        <v>171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2</v>
      </c>
      <c r="AJ174" s="6">
        <v>3</v>
      </c>
      <c r="AK174" s="6">
        <v>3</v>
      </c>
      <c r="AL174" s="6">
        <v>3</v>
      </c>
      <c r="AM174" s="6">
        <v>0</v>
      </c>
      <c r="AN174" s="6">
        <v>0</v>
      </c>
      <c r="AO174" s="6">
        <v>2</v>
      </c>
      <c r="AP174" s="6">
        <v>2</v>
      </c>
      <c r="AQ174" s="6">
        <v>0</v>
      </c>
      <c r="AR174" s="6">
        <v>2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1</v>
      </c>
      <c r="AY174" s="6">
        <v>3</v>
      </c>
      <c r="AZ174" s="6">
        <v>0</v>
      </c>
      <c r="BA174" s="3">
        <f t="shared" si="220"/>
        <v>11</v>
      </c>
      <c r="BB174" s="3">
        <f t="shared" si="221"/>
        <v>0</v>
      </c>
      <c r="BC174" s="3">
        <f t="shared" si="222"/>
        <v>6</v>
      </c>
      <c r="BD174" s="3">
        <f t="shared" si="223"/>
        <v>4</v>
      </c>
      <c r="BE174" s="3">
        <f t="shared" si="224"/>
        <v>0</v>
      </c>
      <c r="BF174" s="3">
        <f t="shared" si="225"/>
        <v>0</v>
      </c>
      <c r="BG174" s="3">
        <f t="shared" si="226"/>
        <v>0</v>
      </c>
      <c r="BH174" s="3">
        <f t="shared" si="227"/>
        <v>21</v>
      </c>
      <c r="BJ174" s="62">
        <f t="shared" si="228"/>
        <v>68.75</v>
      </c>
      <c r="BK174" s="62">
        <f t="shared" si="229"/>
        <v>0</v>
      </c>
      <c r="BL174" s="62">
        <f t="shared" si="230"/>
        <v>30</v>
      </c>
      <c r="BM174" s="62">
        <f t="shared" si="231"/>
        <v>33.333333333333329</v>
      </c>
      <c r="BN174" s="62">
        <f t="shared" si="232"/>
        <v>0</v>
      </c>
      <c r="BO174" s="62">
        <f t="shared" si="233"/>
        <v>0</v>
      </c>
      <c r="BP174" s="62">
        <f t="shared" si="234"/>
        <v>0</v>
      </c>
      <c r="BQ174" s="62">
        <f t="shared" si="235"/>
        <v>16.93548387096774</v>
      </c>
    </row>
    <row r="175" spans="1:69">
      <c r="A175" s="3">
        <v>172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6">
        <v>2</v>
      </c>
      <c r="W175" s="6">
        <v>1</v>
      </c>
      <c r="X175" s="6">
        <v>2</v>
      </c>
      <c r="Y175" s="6">
        <v>1</v>
      </c>
      <c r="Z175" s="6">
        <v>1</v>
      </c>
      <c r="AA175" s="6">
        <v>2</v>
      </c>
      <c r="AB175" s="6">
        <v>1</v>
      </c>
      <c r="AC175" s="6">
        <v>1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1</v>
      </c>
      <c r="AJ175" s="6">
        <v>1</v>
      </c>
      <c r="AK175" s="6">
        <v>1</v>
      </c>
      <c r="AL175" s="6">
        <v>1</v>
      </c>
      <c r="AM175" s="6">
        <v>0</v>
      </c>
      <c r="AN175" s="6">
        <v>0</v>
      </c>
      <c r="AO175" s="6">
        <v>1</v>
      </c>
      <c r="AP175" s="6">
        <v>1</v>
      </c>
      <c r="AQ175" s="6">
        <v>0</v>
      </c>
      <c r="AR175" s="6">
        <v>1</v>
      </c>
      <c r="AS175" s="6">
        <v>1</v>
      </c>
      <c r="AT175" s="6">
        <v>0</v>
      </c>
      <c r="AU175" s="6">
        <v>1</v>
      </c>
      <c r="AV175" s="6"/>
      <c r="AW175" s="6">
        <v>1</v>
      </c>
      <c r="AX175" s="6">
        <v>0</v>
      </c>
      <c r="AY175" s="6">
        <v>1</v>
      </c>
      <c r="AZ175" s="6">
        <v>0</v>
      </c>
      <c r="BA175" s="3">
        <f t="shared" si="220"/>
        <v>4</v>
      </c>
      <c r="BB175" s="3">
        <f t="shared" si="221"/>
        <v>0</v>
      </c>
      <c r="BC175" s="3">
        <f t="shared" si="222"/>
        <v>3</v>
      </c>
      <c r="BD175" s="3">
        <f t="shared" si="223"/>
        <v>1</v>
      </c>
      <c r="BE175" s="3">
        <f t="shared" si="224"/>
        <v>7</v>
      </c>
      <c r="BF175" s="3">
        <f t="shared" si="225"/>
        <v>3</v>
      </c>
      <c r="BG175" s="3">
        <f t="shared" si="226"/>
        <v>6</v>
      </c>
      <c r="BH175" s="3">
        <f t="shared" si="227"/>
        <v>24</v>
      </c>
      <c r="BJ175" s="62">
        <f t="shared" si="228"/>
        <v>25</v>
      </c>
      <c r="BK175" s="62">
        <f t="shared" si="229"/>
        <v>0</v>
      </c>
      <c r="BL175" s="62">
        <f t="shared" si="230"/>
        <v>15</v>
      </c>
      <c r="BM175" s="62">
        <f t="shared" si="231"/>
        <v>8.3333333333333321</v>
      </c>
      <c r="BN175" s="62">
        <f t="shared" si="232"/>
        <v>19.444444444444446</v>
      </c>
      <c r="BO175" s="62">
        <f t="shared" si="233"/>
        <v>25</v>
      </c>
      <c r="BP175" s="62">
        <f t="shared" si="234"/>
        <v>37.5</v>
      </c>
      <c r="BQ175" s="62">
        <f t="shared" si="235"/>
        <v>19.35483870967742</v>
      </c>
    </row>
    <row r="176" spans="1:69">
      <c r="A176" s="3">
        <v>173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6">
        <v>1</v>
      </c>
      <c r="W176" s="6">
        <v>0</v>
      </c>
      <c r="X176" s="6">
        <v>0</v>
      </c>
      <c r="Y176" s="6">
        <v>0</v>
      </c>
      <c r="Z176" s="6">
        <v>0</v>
      </c>
      <c r="AA176" s="6">
        <v>2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1</v>
      </c>
      <c r="AY176" s="6">
        <v>3</v>
      </c>
      <c r="AZ176" s="6">
        <v>2</v>
      </c>
      <c r="BA176" s="3">
        <f t="shared" si="220"/>
        <v>0</v>
      </c>
      <c r="BB176" s="3">
        <f t="shared" si="221"/>
        <v>0</v>
      </c>
      <c r="BC176" s="3">
        <f t="shared" si="222"/>
        <v>0</v>
      </c>
      <c r="BD176" s="3">
        <f t="shared" si="223"/>
        <v>6</v>
      </c>
      <c r="BE176" s="3">
        <f t="shared" si="224"/>
        <v>2</v>
      </c>
      <c r="BF176" s="3">
        <f t="shared" si="225"/>
        <v>0</v>
      </c>
      <c r="BG176" s="3">
        <f t="shared" si="226"/>
        <v>1</v>
      </c>
      <c r="BH176" s="3">
        <f t="shared" si="227"/>
        <v>9</v>
      </c>
      <c r="BJ176" s="62">
        <f t="shared" si="228"/>
        <v>0</v>
      </c>
      <c r="BK176" s="62">
        <f t="shared" si="229"/>
        <v>0</v>
      </c>
      <c r="BL176" s="62">
        <f t="shared" si="230"/>
        <v>0</v>
      </c>
      <c r="BM176" s="62">
        <f t="shared" si="231"/>
        <v>50</v>
      </c>
      <c r="BN176" s="62">
        <f t="shared" si="232"/>
        <v>5.5555555555555554</v>
      </c>
      <c r="BO176" s="62">
        <f t="shared" si="233"/>
        <v>0</v>
      </c>
      <c r="BP176" s="62">
        <f t="shared" si="234"/>
        <v>6.25</v>
      </c>
      <c r="BQ176" s="62">
        <f t="shared" si="235"/>
        <v>7.2580645161290329</v>
      </c>
    </row>
    <row r="177" spans="1:69">
      <c r="A177" s="3">
        <v>174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6">
        <v>0</v>
      </c>
      <c r="W177" s="6">
        <v>0</v>
      </c>
      <c r="X177" s="6">
        <v>1</v>
      </c>
      <c r="Y177" s="6">
        <v>1</v>
      </c>
      <c r="Z177" s="6">
        <v>0</v>
      </c>
      <c r="AA177" s="6">
        <v>1</v>
      </c>
      <c r="AB177" s="6">
        <v>1</v>
      </c>
      <c r="AC177" s="6">
        <v>2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1</v>
      </c>
      <c r="AJ177" s="6">
        <v>1</v>
      </c>
      <c r="AK177" s="6">
        <v>1</v>
      </c>
      <c r="AL177" s="6">
        <v>1</v>
      </c>
      <c r="AM177" s="6">
        <v>1</v>
      </c>
      <c r="AN177" s="6">
        <v>1</v>
      </c>
      <c r="AO177" s="6">
        <v>1</v>
      </c>
      <c r="AP177" s="6">
        <v>1</v>
      </c>
      <c r="AQ177" s="6">
        <v>0</v>
      </c>
      <c r="AR177" s="6">
        <v>2</v>
      </c>
      <c r="AS177" s="6">
        <v>2</v>
      </c>
      <c r="AT177" s="6">
        <v>0</v>
      </c>
      <c r="AU177" s="6">
        <v>2</v>
      </c>
      <c r="AV177" s="6">
        <v>1</v>
      </c>
      <c r="AW177" s="6">
        <v>2</v>
      </c>
      <c r="AX177" s="6">
        <v>1</v>
      </c>
      <c r="AY177" s="6">
        <v>2</v>
      </c>
      <c r="AZ177" s="6">
        <v>2</v>
      </c>
      <c r="BA177" s="3">
        <f t="shared" si="220"/>
        <v>4</v>
      </c>
      <c r="BB177" s="3">
        <f t="shared" si="221"/>
        <v>1</v>
      </c>
      <c r="BC177" s="3">
        <f t="shared" si="222"/>
        <v>6</v>
      </c>
      <c r="BD177" s="3">
        <f t="shared" si="223"/>
        <v>5</v>
      </c>
      <c r="BE177" s="3">
        <f t="shared" si="224"/>
        <v>4</v>
      </c>
      <c r="BF177" s="3">
        <f t="shared" si="225"/>
        <v>6</v>
      </c>
      <c r="BG177" s="3">
        <f t="shared" si="226"/>
        <v>2</v>
      </c>
      <c r="BH177" s="3">
        <f t="shared" si="227"/>
        <v>28</v>
      </c>
      <c r="BJ177" s="62">
        <f t="shared" si="228"/>
        <v>25</v>
      </c>
      <c r="BK177" s="62">
        <f t="shared" si="229"/>
        <v>8.3333333333333321</v>
      </c>
      <c r="BL177" s="62">
        <f t="shared" si="230"/>
        <v>30</v>
      </c>
      <c r="BM177" s="62">
        <f t="shared" si="231"/>
        <v>41.666666666666671</v>
      </c>
      <c r="BN177" s="62">
        <f t="shared" si="232"/>
        <v>11.111111111111111</v>
      </c>
      <c r="BO177" s="62">
        <f t="shared" si="233"/>
        <v>50</v>
      </c>
      <c r="BP177" s="62">
        <f t="shared" si="234"/>
        <v>12.5</v>
      </c>
      <c r="BQ177" s="62">
        <f t="shared" si="235"/>
        <v>22.58064516129032</v>
      </c>
    </row>
    <row r="178" spans="1:69">
      <c r="A178" s="3">
        <v>175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6">
        <v>0</v>
      </c>
      <c r="W178" s="6">
        <v>0</v>
      </c>
      <c r="X178" s="6">
        <v>0</v>
      </c>
      <c r="Y178" s="6">
        <v>0</v>
      </c>
      <c r="Z178" s="6">
        <v>1</v>
      </c>
      <c r="AA178" s="6">
        <v>1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2</v>
      </c>
      <c r="AJ178" s="6">
        <v>3</v>
      </c>
      <c r="AK178" s="6">
        <v>2</v>
      </c>
      <c r="AL178" s="6">
        <v>2</v>
      </c>
      <c r="AM178" s="6">
        <v>0</v>
      </c>
      <c r="AN178" s="6">
        <v>0</v>
      </c>
      <c r="AO178" s="6">
        <v>1</v>
      </c>
      <c r="AP178" s="6">
        <v>1</v>
      </c>
      <c r="AQ178" s="6">
        <v>0</v>
      </c>
      <c r="AR178" s="6">
        <v>0</v>
      </c>
      <c r="AS178" s="6">
        <v>1</v>
      </c>
      <c r="AT178" s="6">
        <v>0</v>
      </c>
      <c r="AU178" s="6">
        <v>1</v>
      </c>
      <c r="AV178" s="6">
        <v>1</v>
      </c>
      <c r="AW178" s="6">
        <v>1</v>
      </c>
      <c r="AX178" s="6">
        <v>0</v>
      </c>
      <c r="AY178" s="6">
        <v>2</v>
      </c>
      <c r="AZ178" s="6">
        <v>1</v>
      </c>
      <c r="BA178" s="3">
        <f t="shared" si="220"/>
        <v>9</v>
      </c>
      <c r="BB178" s="3">
        <f t="shared" si="221"/>
        <v>1</v>
      </c>
      <c r="BC178" s="3">
        <f t="shared" si="222"/>
        <v>2</v>
      </c>
      <c r="BD178" s="3">
        <f t="shared" si="223"/>
        <v>3</v>
      </c>
      <c r="BE178" s="3">
        <f t="shared" si="224"/>
        <v>2</v>
      </c>
      <c r="BF178" s="3">
        <f t="shared" si="225"/>
        <v>3</v>
      </c>
      <c r="BG178" s="3">
        <f t="shared" si="226"/>
        <v>0</v>
      </c>
      <c r="BH178" s="3">
        <f t="shared" si="227"/>
        <v>20</v>
      </c>
      <c r="BJ178" s="62">
        <f t="shared" si="228"/>
        <v>56.25</v>
      </c>
      <c r="BK178" s="62">
        <f t="shared" si="229"/>
        <v>8.3333333333333321</v>
      </c>
      <c r="BL178" s="62">
        <f t="shared" si="230"/>
        <v>10</v>
      </c>
      <c r="BM178" s="62">
        <f t="shared" si="231"/>
        <v>25</v>
      </c>
      <c r="BN178" s="62">
        <f t="shared" si="232"/>
        <v>5.5555555555555554</v>
      </c>
      <c r="BO178" s="62">
        <f t="shared" si="233"/>
        <v>25</v>
      </c>
      <c r="BP178" s="62">
        <f t="shared" si="234"/>
        <v>0</v>
      </c>
      <c r="BQ178" s="62">
        <f t="shared" si="235"/>
        <v>16.129032258064516</v>
      </c>
    </row>
    <row r="179" spans="1:69">
      <c r="A179" s="3">
        <v>176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1</v>
      </c>
      <c r="AB179" s="6">
        <v>2</v>
      </c>
      <c r="AC179" s="6">
        <v>2</v>
      </c>
      <c r="AD179" s="6">
        <v>1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1</v>
      </c>
      <c r="AN179" s="6">
        <v>0</v>
      </c>
      <c r="AO179" s="6">
        <v>1</v>
      </c>
      <c r="AP179" s="6">
        <v>1</v>
      </c>
      <c r="AQ179" s="6">
        <v>0</v>
      </c>
      <c r="AR179" s="6">
        <v>0</v>
      </c>
      <c r="AS179" s="6">
        <v>2</v>
      </c>
      <c r="AT179" s="6">
        <v>0</v>
      </c>
      <c r="AU179" s="6">
        <v>1</v>
      </c>
      <c r="AV179" s="6">
        <v>0</v>
      </c>
      <c r="AW179" s="6">
        <v>0</v>
      </c>
      <c r="AX179" s="6">
        <v>0</v>
      </c>
      <c r="AY179" s="6">
        <v>2</v>
      </c>
      <c r="AZ179" s="6">
        <v>1</v>
      </c>
      <c r="BA179" s="3">
        <f t="shared" si="220"/>
        <v>0</v>
      </c>
      <c r="BB179" s="3">
        <f t="shared" si="221"/>
        <v>0</v>
      </c>
      <c r="BC179" s="3">
        <f t="shared" si="222"/>
        <v>3</v>
      </c>
      <c r="BD179" s="3">
        <f t="shared" si="223"/>
        <v>3</v>
      </c>
      <c r="BE179" s="3">
        <f t="shared" si="224"/>
        <v>7</v>
      </c>
      <c r="BF179" s="3">
        <f t="shared" si="225"/>
        <v>3</v>
      </c>
      <c r="BG179" s="3">
        <f t="shared" si="226"/>
        <v>0</v>
      </c>
      <c r="BH179" s="3">
        <f t="shared" si="227"/>
        <v>16</v>
      </c>
      <c r="BJ179" s="62">
        <f t="shared" si="228"/>
        <v>0</v>
      </c>
      <c r="BK179" s="62">
        <f t="shared" si="229"/>
        <v>0</v>
      </c>
      <c r="BL179" s="62">
        <f t="shared" si="230"/>
        <v>15</v>
      </c>
      <c r="BM179" s="62">
        <f t="shared" si="231"/>
        <v>25</v>
      </c>
      <c r="BN179" s="62">
        <f t="shared" si="232"/>
        <v>19.444444444444446</v>
      </c>
      <c r="BO179" s="62">
        <f t="shared" si="233"/>
        <v>25</v>
      </c>
      <c r="BP179" s="62">
        <f t="shared" si="234"/>
        <v>0</v>
      </c>
      <c r="BQ179" s="62">
        <f t="shared" si="235"/>
        <v>12.903225806451612</v>
      </c>
    </row>
    <row r="180" spans="1:69">
      <c r="A180" s="3">
        <v>177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6">
        <v>0</v>
      </c>
      <c r="W180" s="6">
        <v>0</v>
      </c>
      <c r="X180" s="6">
        <v>0</v>
      </c>
      <c r="Y180" s="6">
        <v>0</v>
      </c>
      <c r="Z180" s="6">
        <v>1</v>
      </c>
      <c r="AA180" s="6">
        <v>1</v>
      </c>
      <c r="AB180" s="6">
        <v>0</v>
      </c>
      <c r="AC180" s="6">
        <v>1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3">
        <f t="shared" si="220"/>
        <v>0</v>
      </c>
      <c r="BB180" s="3">
        <f t="shared" si="221"/>
        <v>0</v>
      </c>
      <c r="BC180" s="3">
        <f t="shared" si="222"/>
        <v>0</v>
      </c>
      <c r="BD180" s="3">
        <f t="shared" si="223"/>
        <v>0</v>
      </c>
      <c r="BE180" s="3">
        <f t="shared" si="224"/>
        <v>3</v>
      </c>
      <c r="BF180" s="3">
        <f t="shared" si="225"/>
        <v>0</v>
      </c>
      <c r="BG180" s="3">
        <f t="shared" si="226"/>
        <v>0</v>
      </c>
      <c r="BH180" s="3">
        <f t="shared" si="227"/>
        <v>3</v>
      </c>
      <c r="BJ180" s="62">
        <f t="shared" si="228"/>
        <v>0</v>
      </c>
      <c r="BK180" s="62">
        <f t="shared" si="229"/>
        <v>0</v>
      </c>
      <c r="BL180" s="62">
        <f t="shared" si="230"/>
        <v>0</v>
      </c>
      <c r="BM180" s="62">
        <f t="shared" si="231"/>
        <v>0</v>
      </c>
      <c r="BN180" s="62">
        <f t="shared" si="232"/>
        <v>8.3333333333333321</v>
      </c>
      <c r="BO180" s="62">
        <f t="shared" si="233"/>
        <v>0</v>
      </c>
      <c r="BP180" s="62">
        <f t="shared" si="234"/>
        <v>0</v>
      </c>
      <c r="BQ180" s="62">
        <f t="shared" si="235"/>
        <v>2.4193548387096775</v>
      </c>
    </row>
    <row r="181" spans="1:69">
      <c r="A181" s="3">
        <v>178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6">
        <v>1</v>
      </c>
      <c r="W181" s="6">
        <v>0</v>
      </c>
      <c r="X181" s="6">
        <v>2</v>
      </c>
      <c r="Y181" s="6">
        <v>1</v>
      </c>
      <c r="Z181" s="6">
        <v>3</v>
      </c>
      <c r="AA181" s="6">
        <v>0</v>
      </c>
      <c r="AB181" s="6">
        <v>1</v>
      </c>
      <c r="AC181" s="6">
        <v>2</v>
      </c>
      <c r="AD181" s="6">
        <v>2</v>
      </c>
      <c r="AE181" s="6">
        <v>1</v>
      </c>
      <c r="AF181" s="6">
        <v>0</v>
      </c>
      <c r="AG181" s="6">
        <v>0</v>
      </c>
      <c r="AH181" s="6">
        <v>0</v>
      </c>
      <c r="AI181" s="6">
        <v>2</v>
      </c>
      <c r="AJ181" s="6">
        <v>2</v>
      </c>
      <c r="AK181" s="6">
        <v>1</v>
      </c>
      <c r="AL181" s="6">
        <v>1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1</v>
      </c>
      <c r="AT181" s="6">
        <v>0</v>
      </c>
      <c r="AU181" s="6">
        <v>1</v>
      </c>
      <c r="AV181" s="6">
        <v>0</v>
      </c>
      <c r="AW181" s="6">
        <v>0</v>
      </c>
      <c r="AX181" s="6">
        <v>2</v>
      </c>
      <c r="AY181" s="6">
        <v>1</v>
      </c>
      <c r="AZ181" s="6">
        <v>2</v>
      </c>
      <c r="BA181" s="3">
        <f t="shared" si="220"/>
        <v>6</v>
      </c>
      <c r="BB181" s="3">
        <f t="shared" si="221"/>
        <v>0</v>
      </c>
      <c r="BC181" s="3">
        <f t="shared" si="222"/>
        <v>0</v>
      </c>
      <c r="BD181" s="3">
        <f t="shared" si="223"/>
        <v>5</v>
      </c>
      <c r="BE181" s="3">
        <f t="shared" si="224"/>
        <v>9</v>
      </c>
      <c r="BF181" s="3">
        <f t="shared" si="225"/>
        <v>2</v>
      </c>
      <c r="BG181" s="3">
        <f t="shared" si="226"/>
        <v>4</v>
      </c>
      <c r="BH181" s="3">
        <f t="shared" si="227"/>
        <v>26</v>
      </c>
      <c r="BJ181" s="62">
        <f t="shared" si="228"/>
        <v>37.5</v>
      </c>
      <c r="BK181" s="62">
        <f t="shared" si="229"/>
        <v>0</v>
      </c>
      <c r="BL181" s="62">
        <f t="shared" si="230"/>
        <v>0</v>
      </c>
      <c r="BM181" s="62">
        <f t="shared" si="231"/>
        <v>41.666666666666671</v>
      </c>
      <c r="BN181" s="62">
        <f t="shared" si="232"/>
        <v>25</v>
      </c>
      <c r="BO181" s="62">
        <f t="shared" si="233"/>
        <v>16.666666666666664</v>
      </c>
      <c r="BP181" s="62">
        <f t="shared" si="234"/>
        <v>25</v>
      </c>
      <c r="BQ181" s="62">
        <f t="shared" si="235"/>
        <v>20.967741935483872</v>
      </c>
    </row>
    <row r="182" spans="1:69">
      <c r="A182" s="3">
        <v>179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6">
        <v>1</v>
      </c>
      <c r="W182" s="6">
        <v>1</v>
      </c>
      <c r="X182" s="6">
        <v>2</v>
      </c>
      <c r="Y182" s="6">
        <v>1</v>
      </c>
      <c r="Z182" s="6">
        <v>1</v>
      </c>
      <c r="AA182" s="6">
        <v>2</v>
      </c>
      <c r="AB182" s="6">
        <v>1</v>
      </c>
      <c r="AC182" s="6">
        <v>2</v>
      </c>
      <c r="AD182" s="6">
        <v>0</v>
      </c>
      <c r="AE182" s="6">
        <v>1</v>
      </c>
      <c r="AF182" s="6">
        <v>0</v>
      </c>
      <c r="AG182" s="6">
        <v>1</v>
      </c>
      <c r="AH182" s="6">
        <v>0</v>
      </c>
      <c r="AI182" s="6">
        <v>1</v>
      </c>
      <c r="AJ182" s="6">
        <v>0</v>
      </c>
      <c r="AK182" s="6">
        <v>0</v>
      </c>
      <c r="AL182" s="6">
        <v>0</v>
      </c>
      <c r="AM182" s="6">
        <v>0</v>
      </c>
      <c r="AN182" s="6">
        <v>1</v>
      </c>
      <c r="AO182" s="6">
        <v>1</v>
      </c>
      <c r="AP182" s="6">
        <v>1</v>
      </c>
      <c r="AQ182" s="6">
        <v>0</v>
      </c>
      <c r="AR182" s="6">
        <v>2</v>
      </c>
      <c r="AS182" s="6">
        <v>1</v>
      </c>
      <c r="AT182" s="6">
        <v>0</v>
      </c>
      <c r="AU182" s="6">
        <v>1</v>
      </c>
      <c r="AV182" s="6">
        <v>1</v>
      </c>
      <c r="AW182" s="6">
        <v>1</v>
      </c>
      <c r="AX182" s="6">
        <v>1</v>
      </c>
      <c r="AY182" s="6">
        <v>1</v>
      </c>
      <c r="AZ182" s="6">
        <v>1</v>
      </c>
      <c r="BA182" s="3">
        <f t="shared" si="220"/>
        <v>1</v>
      </c>
      <c r="BB182" s="3">
        <f t="shared" si="221"/>
        <v>1</v>
      </c>
      <c r="BC182" s="3">
        <f t="shared" si="222"/>
        <v>5</v>
      </c>
      <c r="BD182" s="3">
        <f t="shared" si="223"/>
        <v>3</v>
      </c>
      <c r="BE182" s="3">
        <f t="shared" si="224"/>
        <v>8</v>
      </c>
      <c r="BF182" s="3">
        <f t="shared" si="225"/>
        <v>3</v>
      </c>
      <c r="BG182" s="3">
        <f t="shared" si="226"/>
        <v>5</v>
      </c>
      <c r="BH182" s="3">
        <f t="shared" si="227"/>
        <v>26</v>
      </c>
      <c r="BJ182" s="62">
        <f t="shared" si="228"/>
        <v>6.25</v>
      </c>
      <c r="BK182" s="62">
        <f t="shared" si="229"/>
        <v>8.3333333333333321</v>
      </c>
      <c r="BL182" s="62">
        <f t="shared" si="230"/>
        <v>25</v>
      </c>
      <c r="BM182" s="62">
        <f t="shared" si="231"/>
        <v>25</v>
      </c>
      <c r="BN182" s="62">
        <f t="shared" si="232"/>
        <v>22.222222222222221</v>
      </c>
      <c r="BO182" s="62">
        <f t="shared" si="233"/>
        <v>25</v>
      </c>
      <c r="BP182" s="62">
        <f t="shared" si="234"/>
        <v>31.25</v>
      </c>
      <c r="BQ182" s="62">
        <f t="shared" si="235"/>
        <v>20.967741935483872</v>
      </c>
    </row>
    <row r="183" spans="1:69">
      <c r="A183" s="3">
        <v>180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6">
        <v>0</v>
      </c>
      <c r="W183" s="6">
        <v>0</v>
      </c>
      <c r="X183" s="6">
        <v>0</v>
      </c>
      <c r="Y183" s="6">
        <v>2</v>
      </c>
      <c r="Z183" s="6">
        <v>1</v>
      </c>
      <c r="AA183" s="6">
        <v>2</v>
      </c>
      <c r="AB183" s="6">
        <v>1</v>
      </c>
      <c r="AC183" s="6">
        <v>0</v>
      </c>
      <c r="AD183" s="6">
        <v>1</v>
      </c>
      <c r="AE183" s="6">
        <v>1</v>
      </c>
      <c r="AF183" s="6">
        <v>0</v>
      </c>
      <c r="AG183" s="6">
        <v>0</v>
      </c>
      <c r="AH183" s="6">
        <v>1</v>
      </c>
      <c r="AI183" s="6">
        <v>2</v>
      </c>
      <c r="AJ183" s="6">
        <v>2</v>
      </c>
      <c r="AK183" s="6">
        <v>2</v>
      </c>
      <c r="AL183" s="6">
        <v>2</v>
      </c>
      <c r="AM183" s="6">
        <v>1</v>
      </c>
      <c r="AN183" s="6">
        <v>0</v>
      </c>
      <c r="AO183" s="6">
        <v>1</v>
      </c>
      <c r="AP183" s="6">
        <v>1</v>
      </c>
      <c r="AQ183" s="6">
        <v>0</v>
      </c>
      <c r="AR183" s="6">
        <v>2</v>
      </c>
      <c r="AS183" s="6">
        <v>1</v>
      </c>
      <c r="AT183" s="6">
        <v>0</v>
      </c>
      <c r="AU183" s="6">
        <v>2</v>
      </c>
      <c r="AV183" s="6">
        <v>0</v>
      </c>
      <c r="AW183" s="6">
        <v>0</v>
      </c>
      <c r="AX183" s="6">
        <v>0</v>
      </c>
      <c r="AY183" s="6">
        <v>2</v>
      </c>
      <c r="AZ183" s="6">
        <v>0</v>
      </c>
      <c r="BA183" s="3">
        <f t="shared" ref="BA183:BA212" si="236">SUM(AI183:AL183)</f>
        <v>8</v>
      </c>
      <c r="BB183" s="3">
        <f t="shared" ref="BB183:BB212" si="237">SUM(AQ183+AT183+AV183)</f>
        <v>0</v>
      </c>
      <c r="BC183" s="3">
        <f t="shared" ref="BC183:BC212" si="238">SUM(AM183+AN183+AO183+AP183+AR183)</f>
        <v>5</v>
      </c>
      <c r="BD183" s="3">
        <f t="shared" ref="BD183:BD212" si="239">SUM(AX183+AY183+AZ183)</f>
        <v>2</v>
      </c>
      <c r="BE183" s="3">
        <f t="shared" ref="BE183:BE212" si="240">SUM(Z183:AH183)</f>
        <v>7</v>
      </c>
      <c r="BF183" s="3">
        <f t="shared" ref="BF183:BF212" si="241">SUM(AS183+AU183+AW183)</f>
        <v>3</v>
      </c>
      <c r="BG183" s="3">
        <f t="shared" ref="BG183:BG212" si="242">SUM(V183:Y183)</f>
        <v>2</v>
      </c>
      <c r="BH183" s="3">
        <f t="shared" ref="BH183:BH212" si="243">SUM(BA183:BG183)</f>
        <v>27</v>
      </c>
      <c r="BJ183" s="62">
        <f t="shared" ref="BJ183:BJ212" si="244">SUM(BA183/16)*100</f>
        <v>50</v>
      </c>
      <c r="BK183" s="62">
        <f t="shared" ref="BK183:BK212" si="245">SUM(BB183/12)*100</f>
        <v>0</v>
      </c>
      <c r="BL183" s="62">
        <f t="shared" ref="BL183:BL212" si="246">SUM(BC183/20)*100</f>
        <v>25</v>
      </c>
      <c r="BM183" s="62">
        <f t="shared" ref="BM183:BM212" si="247">SUM(BD183/12)*100</f>
        <v>16.666666666666664</v>
      </c>
      <c r="BN183" s="62">
        <f t="shared" ref="BN183:BN212" si="248">SUM(BE183/36)*100</f>
        <v>19.444444444444446</v>
      </c>
      <c r="BO183" s="62">
        <f t="shared" ref="BO183:BO212" si="249">SUM(BF183/12)*100</f>
        <v>25</v>
      </c>
      <c r="BP183" s="62">
        <f t="shared" ref="BP183:BP212" si="250">SUM(BG183/16)*100</f>
        <v>12.5</v>
      </c>
      <c r="BQ183" s="62">
        <f t="shared" ref="BQ183:BQ212" si="251">SUM(BH183/124)*100</f>
        <v>21.774193548387096</v>
      </c>
    </row>
    <row r="184" spans="1:69">
      <c r="A184" s="3">
        <v>181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6">
        <v>2</v>
      </c>
      <c r="W184" s="6">
        <v>3</v>
      </c>
      <c r="X184" s="6">
        <v>4</v>
      </c>
      <c r="Y184" s="6">
        <v>0</v>
      </c>
      <c r="Z184" s="6">
        <v>0</v>
      </c>
      <c r="AA184" s="6">
        <v>0</v>
      </c>
      <c r="AB184" s="6">
        <v>2</v>
      </c>
      <c r="AC184" s="6">
        <v>2</v>
      </c>
      <c r="AD184" s="6">
        <v>1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3">
        <f t="shared" si="236"/>
        <v>0</v>
      </c>
      <c r="BB184" s="3">
        <f t="shared" si="237"/>
        <v>0</v>
      </c>
      <c r="BC184" s="3">
        <f t="shared" si="238"/>
        <v>0</v>
      </c>
      <c r="BD184" s="3">
        <f t="shared" si="239"/>
        <v>0</v>
      </c>
      <c r="BE184" s="3">
        <f t="shared" si="240"/>
        <v>5</v>
      </c>
      <c r="BF184" s="3">
        <f t="shared" si="241"/>
        <v>0</v>
      </c>
      <c r="BG184" s="3">
        <f t="shared" si="242"/>
        <v>9</v>
      </c>
      <c r="BH184" s="3">
        <f t="shared" si="243"/>
        <v>14</v>
      </c>
      <c r="BJ184" s="62">
        <f t="shared" si="244"/>
        <v>0</v>
      </c>
      <c r="BK184" s="62">
        <f t="shared" si="245"/>
        <v>0</v>
      </c>
      <c r="BL184" s="62">
        <f t="shared" si="246"/>
        <v>0</v>
      </c>
      <c r="BM184" s="62">
        <f t="shared" si="247"/>
        <v>0</v>
      </c>
      <c r="BN184" s="62">
        <f t="shared" si="248"/>
        <v>13.888888888888889</v>
      </c>
      <c r="BO184" s="62">
        <f t="shared" si="249"/>
        <v>0</v>
      </c>
      <c r="BP184" s="62">
        <f t="shared" si="250"/>
        <v>56.25</v>
      </c>
      <c r="BQ184" s="62">
        <f t="shared" si="251"/>
        <v>11.29032258064516</v>
      </c>
    </row>
    <row r="185" spans="1:69">
      <c r="A185" s="3">
        <v>182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6">
        <v>0</v>
      </c>
      <c r="W185" s="6">
        <v>0</v>
      </c>
      <c r="X185" s="6">
        <v>0</v>
      </c>
      <c r="Y185" s="6">
        <v>0</v>
      </c>
      <c r="Z185" s="6">
        <v>2</v>
      </c>
      <c r="AA185" s="6">
        <v>2</v>
      </c>
      <c r="AB185" s="6">
        <v>0</v>
      </c>
      <c r="AC185" s="6">
        <v>1</v>
      </c>
      <c r="AD185" s="6">
        <v>1</v>
      </c>
      <c r="AE185" s="6">
        <v>0</v>
      </c>
      <c r="AF185" s="6">
        <v>0</v>
      </c>
      <c r="AG185" s="6">
        <v>0</v>
      </c>
      <c r="AH185" s="6">
        <v>0</v>
      </c>
      <c r="AI185" s="6">
        <v>2</v>
      </c>
      <c r="AJ185" s="6">
        <v>0</v>
      </c>
      <c r="AK185" s="6">
        <v>1</v>
      </c>
      <c r="AL185" s="6">
        <v>1</v>
      </c>
      <c r="AM185" s="6">
        <v>0</v>
      </c>
      <c r="AN185" s="6">
        <v>0</v>
      </c>
      <c r="AO185" s="6">
        <v>1</v>
      </c>
      <c r="AP185" s="6">
        <v>1</v>
      </c>
      <c r="AQ185" s="6">
        <v>0</v>
      </c>
      <c r="AR185" s="6">
        <v>1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3">
        <f t="shared" si="236"/>
        <v>4</v>
      </c>
      <c r="BB185" s="3">
        <f t="shared" si="237"/>
        <v>0</v>
      </c>
      <c r="BC185" s="3">
        <f t="shared" si="238"/>
        <v>3</v>
      </c>
      <c r="BD185" s="3">
        <f t="shared" si="239"/>
        <v>0</v>
      </c>
      <c r="BE185" s="3">
        <f t="shared" si="240"/>
        <v>6</v>
      </c>
      <c r="BF185" s="3">
        <f t="shared" si="241"/>
        <v>0</v>
      </c>
      <c r="BG185" s="3">
        <f t="shared" si="242"/>
        <v>0</v>
      </c>
      <c r="BH185" s="3">
        <f t="shared" si="243"/>
        <v>13</v>
      </c>
      <c r="BJ185" s="62">
        <f t="shared" si="244"/>
        <v>25</v>
      </c>
      <c r="BK185" s="62">
        <f t="shared" si="245"/>
        <v>0</v>
      </c>
      <c r="BL185" s="62">
        <f t="shared" si="246"/>
        <v>15</v>
      </c>
      <c r="BM185" s="62">
        <f t="shared" si="247"/>
        <v>0</v>
      </c>
      <c r="BN185" s="62">
        <f t="shared" si="248"/>
        <v>16.666666666666664</v>
      </c>
      <c r="BO185" s="62">
        <f t="shared" si="249"/>
        <v>0</v>
      </c>
      <c r="BP185" s="62">
        <f t="shared" si="250"/>
        <v>0</v>
      </c>
      <c r="BQ185" s="62">
        <f t="shared" si="251"/>
        <v>10.483870967741936</v>
      </c>
    </row>
    <row r="186" spans="1:69">
      <c r="A186" s="3">
        <v>183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6">
        <v>0</v>
      </c>
      <c r="W186" s="6">
        <v>0</v>
      </c>
      <c r="X186" s="6">
        <v>1</v>
      </c>
      <c r="Y186" s="6">
        <v>0</v>
      </c>
      <c r="Z186" s="6">
        <v>0</v>
      </c>
      <c r="AA186" s="6">
        <v>2</v>
      </c>
      <c r="AB186" s="6">
        <v>0</v>
      </c>
      <c r="AC186" s="6">
        <v>3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1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1</v>
      </c>
      <c r="AT186" s="6">
        <v>0</v>
      </c>
      <c r="AU186" s="6">
        <v>1</v>
      </c>
      <c r="AV186" s="6">
        <v>0</v>
      </c>
      <c r="AW186" s="6">
        <v>0</v>
      </c>
      <c r="AX186" s="6">
        <v>0</v>
      </c>
      <c r="AY186" s="6">
        <v>1</v>
      </c>
      <c r="AZ186" s="6">
        <v>0</v>
      </c>
      <c r="BA186" s="3">
        <f t="shared" si="236"/>
        <v>1</v>
      </c>
      <c r="BB186" s="3">
        <f t="shared" si="237"/>
        <v>0</v>
      </c>
      <c r="BC186" s="3">
        <f t="shared" si="238"/>
        <v>0</v>
      </c>
      <c r="BD186" s="3">
        <f t="shared" si="239"/>
        <v>1</v>
      </c>
      <c r="BE186" s="3">
        <f t="shared" si="240"/>
        <v>5</v>
      </c>
      <c r="BF186" s="3">
        <f t="shared" si="241"/>
        <v>2</v>
      </c>
      <c r="BG186" s="3">
        <f t="shared" si="242"/>
        <v>1</v>
      </c>
      <c r="BH186" s="3">
        <f t="shared" si="243"/>
        <v>10</v>
      </c>
      <c r="BJ186" s="62">
        <f t="shared" si="244"/>
        <v>6.25</v>
      </c>
      <c r="BK186" s="62">
        <f t="shared" si="245"/>
        <v>0</v>
      </c>
      <c r="BL186" s="62">
        <f t="shared" si="246"/>
        <v>0</v>
      </c>
      <c r="BM186" s="62">
        <f t="shared" si="247"/>
        <v>8.3333333333333321</v>
      </c>
      <c r="BN186" s="62">
        <f t="shared" si="248"/>
        <v>13.888888888888889</v>
      </c>
      <c r="BO186" s="62">
        <f t="shared" si="249"/>
        <v>16.666666666666664</v>
      </c>
      <c r="BP186" s="62">
        <f t="shared" si="250"/>
        <v>6.25</v>
      </c>
      <c r="BQ186" s="62">
        <f t="shared" si="251"/>
        <v>8.064516129032258</v>
      </c>
    </row>
    <row r="187" spans="1:69">
      <c r="A187" s="3">
        <v>184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73">
        <v>1</v>
      </c>
      <c r="W187" s="73">
        <v>1</v>
      </c>
      <c r="X187" s="73">
        <v>1</v>
      </c>
      <c r="Y187" s="6">
        <v>0</v>
      </c>
      <c r="Z187" s="6">
        <v>1</v>
      </c>
      <c r="AA187" s="6">
        <v>1</v>
      </c>
      <c r="AB187" s="6">
        <v>2</v>
      </c>
      <c r="AC187" s="6">
        <v>2</v>
      </c>
      <c r="AD187" s="6">
        <v>0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1</v>
      </c>
      <c r="AK187" s="6">
        <v>1</v>
      </c>
      <c r="AL187" s="6">
        <v>1</v>
      </c>
      <c r="AM187" s="6">
        <v>1</v>
      </c>
      <c r="AN187" s="6">
        <v>0</v>
      </c>
      <c r="AO187" s="6">
        <v>1</v>
      </c>
      <c r="AP187" s="6">
        <v>1</v>
      </c>
      <c r="AQ187" s="6">
        <v>0</v>
      </c>
      <c r="AR187" s="6">
        <v>1</v>
      </c>
      <c r="AS187" s="6">
        <v>0</v>
      </c>
      <c r="AT187" s="6">
        <v>1</v>
      </c>
      <c r="AU187" s="6">
        <v>0</v>
      </c>
      <c r="AV187" s="6">
        <v>1</v>
      </c>
      <c r="AW187" s="6">
        <v>0</v>
      </c>
      <c r="AX187" s="6">
        <v>1</v>
      </c>
      <c r="AY187" s="6">
        <v>1</v>
      </c>
      <c r="AZ187" s="6">
        <v>0</v>
      </c>
      <c r="BA187" s="3">
        <f t="shared" si="236"/>
        <v>3</v>
      </c>
      <c r="BB187" s="3">
        <f t="shared" si="237"/>
        <v>2</v>
      </c>
      <c r="BC187" s="3">
        <f t="shared" si="238"/>
        <v>4</v>
      </c>
      <c r="BD187" s="3">
        <f t="shared" si="239"/>
        <v>2</v>
      </c>
      <c r="BE187" s="3">
        <f t="shared" si="240"/>
        <v>7</v>
      </c>
      <c r="BF187" s="3">
        <f t="shared" si="241"/>
        <v>0</v>
      </c>
      <c r="BG187" s="3">
        <f t="shared" si="242"/>
        <v>3</v>
      </c>
      <c r="BH187" s="3">
        <f t="shared" si="243"/>
        <v>21</v>
      </c>
      <c r="BJ187" s="62">
        <f t="shared" si="244"/>
        <v>18.75</v>
      </c>
      <c r="BK187" s="62">
        <f t="shared" si="245"/>
        <v>16.666666666666664</v>
      </c>
      <c r="BL187" s="62">
        <f t="shared" si="246"/>
        <v>20</v>
      </c>
      <c r="BM187" s="62">
        <f t="shared" si="247"/>
        <v>16.666666666666664</v>
      </c>
      <c r="BN187" s="62">
        <f t="shared" si="248"/>
        <v>19.444444444444446</v>
      </c>
      <c r="BO187" s="62">
        <f t="shared" si="249"/>
        <v>0</v>
      </c>
      <c r="BP187" s="62">
        <f t="shared" si="250"/>
        <v>18.75</v>
      </c>
      <c r="BQ187" s="62">
        <f t="shared" si="251"/>
        <v>16.93548387096774</v>
      </c>
    </row>
    <row r="188" spans="1:69">
      <c r="A188" s="3">
        <v>185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6">
        <v>1</v>
      </c>
      <c r="W188" s="6">
        <v>1</v>
      </c>
      <c r="X188" s="6">
        <v>3</v>
      </c>
      <c r="Y188" s="6">
        <v>1</v>
      </c>
      <c r="Z188" s="6">
        <v>1</v>
      </c>
      <c r="AA188" s="6">
        <v>2</v>
      </c>
      <c r="AB188" s="6">
        <v>2</v>
      </c>
      <c r="AC188" s="6">
        <v>1</v>
      </c>
      <c r="AD188" s="6">
        <v>3</v>
      </c>
      <c r="AE188" s="6">
        <v>0</v>
      </c>
      <c r="AF188" s="6">
        <v>0</v>
      </c>
      <c r="AG188" s="6">
        <v>0</v>
      </c>
      <c r="AH188" s="6">
        <v>0</v>
      </c>
      <c r="AI188" s="6">
        <v>2</v>
      </c>
      <c r="AJ188" s="6">
        <v>2</v>
      </c>
      <c r="AK188" s="6">
        <v>2</v>
      </c>
      <c r="AL188" s="6">
        <v>2</v>
      </c>
      <c r="AM188" s="6">
        <v>1</v>
      </c>
      <c r="AN188" s="6">
        <v>0</v>
      </c>
      <c r="AO188" s="6">
        <v>0</v>
      </c>
      <c r="AP188" s="6">
        <v>0</v>
      </c>
      <c r="AQ188" s="6">
        <v>2</v>
      </c>
      <c r="AR188" s="6">
        <v>2</v>
      </c>
      <c r="AS188" s="6">
        <v>0</v>
      </c>
      <c r="AT188" s="6">
        <v>1</v>
      </c>
      <c r="AU188" s="6">
        <v>0</v>
      </c>
      <c r="AV188" s="6">
        <v>0</v>
      </c>
      <c r="AW188" s="6">
        <v>0</v>
      </c>
      <c r="AX188" s="6">
        <v>0</v>
      </c>
      <c r="AY188" s="6">
        <v>2</v>
      </c>
      <c r="AZ188" s="6">
        <v>0</v>
      </c>
      <c r="BA188" s="3">
        <f t="shared" si="236"/>
        <v>8</v>
      </c>
      <c r="BB188" s="3">
        <f t="shared" si="237"/>
        <v>3</v>
      </c>
      <c r="BC188" s="3">
        <f t="shared" si="238"/>
        <v>3</v>
      </c>
      <c r="BD188" s="3">
        <f t="shared" si="239"/>
        <v>2</v>
      </c>
      <c r="BE188" s="3">
        <f t="shared" si="240"/>
        <v>9</v>
      </c>
      <c r="BF188" s="3">
        <f t="shared" si="241"/>
        <v>0</v>
      </c>
      <c r="BG188" s="3">
        <f t="shared" si="242"/>
        <v>6</v>
      </c>
      <c r="BH188" s="3">
        <f t="shared" si="243"/>
        <v>31</v>
      </c>
      <c r="BJ188" s="62">
        <f t="shared" si="244"/>
        <v>50</v>
      </c>
      <c r="BK188" s="62">
        <f t="shared" si="245"/>
        <v>25</v>
      </c>
      <c r="BL188" s="62">
        <f t="shared" si="246"/>
        <v>15</v>
      </c>
      <c r="BM188" s="62">
        <f t="shared" si="247"/>
        <v>16.666666666666664</v>
      </c>
      <c r="BN188" s="62">
        <f t="shared" si="248"/>
        <v>25</v>
      </c>
      <c r="BO188" s="62">
        <f t="shared" si="249"/>
        <v>0</v>
      </c>
      <c r="BP188" s="62">
        <f t="shared" si="250"/>
        <v>37.5</v>
      </c>
      <c r="BQ188" s="62">
        <f t="shared" si="251"/>
        <v>25</v>
      </c>
    </row>
    <row r="189" spans="1:69">
      <c r="A189" s="3">
        <v>186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6">
        <v>0</v>
      </c>
      <c r="W189" s="6">
        <v>0</v>
      </c>
      <c r="X189" s="6">
        <v>0</v>
      </c>
      <c r="Y189" s="6">
        <v>1</v>
      </c>
      <c r="Z189" s="6">
        <v>1</v>
      </c>
      <c r="AA189" s="6">
        <v>0</v>
      </c>
      <c r="AB189" s="6">
        <v>2</v>
      </c>
      <c r="AC189" s="6">
        <v>0</v>
      </c>
      <c r="AD189" s="6">
        <v>2</v>
      </c>
      <c r="AE189" s="6">
        <v>0</v>
      </c>
      <c r="AF189" s="6">
        <v>0</v>
      </c>
      <c r="AG189" s="6">
        <v>1</v>
      </c>
      <c r="AH189" s="6">
        <v>0</v>
      </c>
      <c r="AI189" s="6">
        <v>1</v>
      </c>
      <c r="AJ189" s="6">
        <v>1</v>
      </c>
      <c r="AK189" s="6">
        <v>1</v>
      </c>
      <c r="AL189" s="6">
        <v>1</v>
      </c>
      <c r="AM189" s="6">
        <v>1</v>
      </c>
      <c r="AN189" s="6">
        <v>0</v>
      </c>
      <c r="AO189" s="6">
        <v>1</v>
      </c>
      <c r="AP189" s="6">
        <v>1</v>
      </c>
      <c r="AQ189" s="6">
        <v>2</v>
      </c>
      <c r="AR189" s="6">
        <v>1</v>
      </c>
      <c r="AS189" s="6">
        <v>0</v>
      </c>
      <c r="AT189" s="6">
        <v>2</v>
      </c>
      <c r="AU189" s="6">
        <v>2</v>
      </c>
      <c r="AV189" s="6">
        <v>1</v>
      </c>
      <c r="AW189" s="6">
        <v>2</v>
      </c>
      <c r="AX189" s="6">
        <v>1</v>
      </c>
      <c r="AY189" s="6">
        <v>1</v>
      </c>
      <c r="AZ189" s="6">
        <v>3</v>
      </c>
      <c r="BA189" s="3">
        <f t="shared" si="236"/>
        <v>4</v>
      </c>
      <c r="BB189" s="3">
        <f t="shared" si="237"/>
        <v>5</v>
      </c>
      <c r="BC189" s="3">
        <f t="shared" si="238"/>
        <v>4</v>
      </c>
      <c r="BD189" s="3">
        <f t="shared" si="239"/>
        <v>5</v>
      </c>
      <c r="BE189" s="3">
        <f t="shared" si="240"/>
        <v>6</v>
      </c>
      <c r="BF189" s="3">
        <f t="shared" si="241"/>
        <v>4</v>
      </c>
      <c r="BG189" s="3">
        <f t="shared" si="242"/>
        <v>1</v>
      </c>
      <c r="BH189" s="3">
        <f t="shared" si="243"/>
        <v>29</v>
      </c>
      <c r="BJ189" s="62">
        <f t="shared" si="244"/>
        <v>25</v>
      </c>
      <c r="BK189" s="62">
        <f t="shared" si="245"/>
        <v>41.666666666666671</v>
      </c>
      <c r="BL189" s="62">
        <f t="shared" si="246"/>
        <v>20</v>
      </c>
      <c r="BM189" s="62">
        <f t="shared" si="247"/>
        <v>41.666666666666671</v>
      </c>
      <c r="BN189" s="62">
        <f t="shared" si="248"/>
        <v>16.666666666666664</v>
      </c>
      <c r="BO189" s="62">
        <f t="shared" si="249"/>
        <v>33.333333333333329</v>
      </c>
      <c r="BP189" s="62">
        <f t="shared" si="250"/>
        <v>6.25</v>
      </c>
      <c r="BQ189" s="62">
        <f t="shared" si="251"/>
        <v>23.387096774193548</v>
      </c>
    </row>
    <row r="190" spans="1:69">
      <c r="A190" s="3">
        <v>187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52">
        <v>0</v>
      </c>
      <c r="V190" s="6">
        <v>0</v>
      </c>
      <c r="W190" s="6">
        <v>0</v>
      </c>
      <c r="X190" s="6">
        <v>0</v>
      </c>
      <c r="Y190" s="6">
        <v>0</v>
      </c>
      <c r="Z190" s="6">
        <v>1</v>
      </c>
      <c r="AA190" s="6">
        <v>2</v>
      </c>
      <c r="AB190" s="6">
        <v>1</v>
      </c>
      <c r="AC190" s="6">
        <v>1</v>
      </c>
      <c r="AD190" s="6">
        <v>3</v>
      </c>
      <c r="AE190" s="6">
        <v>1</v>
      </c>
      <c r="AF190" s="6">
        <v>3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1</v>
      </c>
      <c r="AQ190" s="6">
        <v>1</v>
      </c>
      <c r="AR190" s="6">
        <v>2</v>
      </c>
      <c r="AS190" s="6">
        <v>1</v>
      </c>
      <c r="AT190" s="6">
        <v>0</v>
      </c>
      <c r="AU190" s="6">
        <v>1</v>
      </c>
      <c r="AV190" s="6">
        <v>1</v>
      </c>
      <c r="AW190" s="6">
        <v>1</v>
      </c>
      <c r="AX190" s="6">
        <v>2</v>
      </c>
      <c r="AY190" s="6">
        <v>1</v>
      </c>
      <c r="AZ190" s="6">
        <v>0</v>
      </c>
      <c r="BA190" s="3">
        <f t="shared" si="236"/>
        <v>0</v>
      </c>
      <c r="BB190" s="3">
        <f t="shared" si="237"/>
        <v>2</v>
      </c>
      <c r="BC190" s="3">
        <f t="shared" si="238"/>
        <v>3</v>
      </c>
      <c r="BD190" s="3">
        <f t="shared" si="239"/>
        <v>3</v>
      </c>
      <c r="BE190" s="3">
        <f t="shared" si="240"/>
        <v>12</v>
      </c>
      <c r="BF190" s="3">
        <f t="shared" si="241"/>
        <v>3</v>
      </c>
      <c r="BG190" s="3">
        <f t="shared" si="242"/>
        <v>0</v>
      </c>
      <c r="BH190" s="3">
        <f t="shared" si="243"/>
        <v>23</v>
      </c>
      <c r="BJ190" s="62">
        <f t="shared" si="244"/>
        <v>0</v>
      </c>
      <c r="BK190" s="62">
        <f t="shared" si="245"/>
        <v>16.666666666666664</v>
      </c>
      <c r="BL190" s="62">
        <f t="shared" si="246"/>
        <v>15</v>
      </c>
      <c r="BM190" s="62">
        <f t="shared" si="247"/>
        <v>25</v>
      </c>
      <c r="BN190" s="62">
        <f t="shared" si="248"/>
        <v>33.333333333333329</v>
      </c>
      <c r="BO190" s="62">
        <f t="shared" si="249"/>
        <v>25</v>
      </c>
      <c r="BP190" s="62">
        <f t="shared" si="250"/>
        <v>0</v>
      </c>
      <c r="BQ190" s="62">
        <f t="shared" si="251"/>
        <v>18.548387096774192</v>
      </c>
    </row>
    <row r="191" spans="1:69">
      <c r="A191" s="3">
        <v>188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6">
        <v>4</v>
      </c>
      <c r="W191" s="6">
        <v>0</v>
      </c>
      <c r="X191" s="6">
        <v>1</v>
      </c>
      <c r="Y191" s="6">
        <v>0</v>
      </c>
      <c r="Z191" s="6">
        <v>2</v>
      </c>
      <c r="AA191" s="6">
        <v>1</v>
      </c>
      <c r="AB191" s="6">
        <v>1</v>
      </c>
      <c r="AC191" s="6">
        <v>1</v>
      </c>
      <c r="AD191" s="6">
        <v>1</v>
      </c>
      <c r="AE191" s="6">
        <v>0</v>
      </c>
      <c r="AF191" s="6">
        <v>0</v>
      </c>
      <c r="AG191" s="6">
        <v>0</v>
      </c>
      <c r="AH191" s="6">
        <v>0</v>
      </c>
      <c r="AI191" s="6">
        <v>1</v>
      </c>
      <c r="AJ191" s="6">
        <v>1</v>
      </c>
      <c r="AK191" s="6">
        <v>1</v>
      </c>
      <c r="AL191" s="6">
        <v>1</v>
      </c>
      <c r="AM191" s="6">
        <v>1</v>
      </c>
      <c r="AN191" s="6">
        <v>1</v>
      </c>
      <c r="AO191" s="6">
        <v>1</v>
      </c>
      <c r="AP191" s="6">
        <v>2</v>
      </c>
      <c r="AQ191" s="6">
        <v>1</v>
      </c>
      <c r="AR191" s="6">
        <v>2</v>
      </c>
      <c r="AS191" s="6">
        <v>0</v>
      </c>
      <c r="AT191" s="6">
        <v>1</v>
      </c>
      <c r="AU191" s="6">
        <v>1</v>
      </c>
      <c r="AV191" s="6">
        <v>0</v>
      </c>
      <c r="AW191" s="6">
        <v>1</v>
      </c>
      <c r="AX191" s="6">
        <v>1</v>
      </c>
      <c r="AY191" s="6">
        <v>1</v>
      </c>
      <c r="AZ191" s="6">
        <v>1</v>
      </c>
      <c r="BA191" s="3">
        <f t="shared" si="236"/>
        <v>4</v>
      </c>
      <c r="BB191" s="3">
        <f t="shared" si="237"/>
        <v>2</v>
      </c>
      <c r="BC191" s="3">
        <f t="shared" si="238"/>
        <v>7</v>
      </c>
      <c r="BD191" s="3">
        <f t="shared" si="239"/>
        <v>3</v>
      </c>
      <c r="BE191" s="3">
        <f t="shared" si="240"/>
        <v>6</v>
      </c>
      <c r="BF191" s="3">
        <f t="shared" si="241"/>
        <v>2</v>
      </c>
      <c r="BG191" s="3">
        <f t="shared" si="242"/>
        <v>5</v>
      </c>
      <c r="BH191" s="3">
        <f t="shared" si="243"/>
        <v>29</v>
      </c>
      <c r="BJ191" s="62">
        <f t="shared" si="244"/>
        <v>25</v>
      </c>
      <c r="BK191" s="62">
        <f t="shared" si="245"/>
        <v>16.666666666666664</v>
      </c>
      <c r="BL191" s="62">
        <f t="shared" si="246"/>
        <v>35</v>
      </c>
      <c r="BM191" s="62">
        <f t="shared" si="247"/>
        <v>25</v>
      </c>
      <c r="BN191" s="62">
        <f t="shared" si="248"/>
        <v>16.666666666666664</v>
      </c>
      <c r="BO191" s="62">
        <f t="shared" si="249"/>
        <v>16.666666666666664</v>
      </c>
      <c r="BP191" s="62">
        <f t="shared" si="250"/>
        <v>31.25</v>
      </c>
      <c r="BQ191" s="62">
        <f t="shared" si="251"/>
        <v>23.387096774193548</v>
      </c>
    </row>
    <row r="192" spans="1:69">
      <c r="A192" s="3">
        <v>189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52">
        <v>0</v>
      </c>
      <c r="V192" s="6">
        <v>0</v>
      </c>
      <c r="W192" s="6">
        <v>0</v>
      </c>
      <c r="X192" s="6">
        <v>0</v>
      </c>
      <c r="Y192" s="6">
        <v>0</v>
      </c>
      <c r="Z192" s="6">
        <v>1</v>
      </c>
      <c r="AA192" s="6">
        <v>1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1</v>
      </c>
      <c r="AJ192" s="6">
        <v>0</v>
      </c>
      <c r="AK192" s="6">
        <v>1</v>
      </c>
      <c r="AL192" s="6">
        <v>1</v>
      </c>
      <c r="AM192" s="6">
        <v>0</v>
      </c>
      <c r="AN192" s="6">
        <v>0</v>
      </c>
      <c r="AO192" s="6">
        <v>0</v>
      </c>
      <c r="AP192" s="6">
        <v>1</v>
      </c>
      <c r="AQ192" s="6">
        <v>0</v>
      </c>
      <c r="AR192" s="6">
        <v>1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3">
        <f t="shared" si="236"/>
        <v>3</v>
      </c>
      <c r="BB192" s="3">
        <f t="shared" si="237"/>
        <v>0</v>
      </c>
      <c r="BC192" s="3">
        <f t="shared" si="238"/>
        <v>2</v>
      </c>
      <c r="BD192" s="3">
        <f t="shared" si="239"/>
        <v>0</v>
      </c>
      <c r="BE192" s="3">
        <f t="shared" si="240"/>
        <v>2</v>
      </c>
      <c r="BF192" s="3">
        <f t="shared" si="241"/>
        <v>0</v>
      </c>
      <c r="BG192" s="3">
        <f t="shared" si="242"/>
        <v>0</v>
      </c>
      <c r="BH192" s="3">
        <f t="shared" si="243"/>
        <v>7</v>
      </c>
      <c r="BJ192" s="62">
        <f t="shared" si="244"/>
        <v>18.75</v>
      </c>
      <c r="BK192" s="62">
        <f t="shared" si="245"/>
        <v>0</v>
      </c>
      <c r="BL192" s="62">
        <f t="shared" si="246"/>
        <v>10</v>
      </c>
      <c r="BM192" s="62">
        <f t="shared" si="247"/>
        <v>0</v>
      </c>
      <c r="BN192" s="62">
        <f t="shared" si="248"/>
        <v>5.5555555555555554</v>
      </c>
      <c r="BO192" s="62">
        <f t="shared" si="249"/>
        <v>0</v>
      </c>
      <c r="BP192" s="62">
        <f t="shared" si="250"/>
        <v>0</v>
      </c>
      <c r="BQ192" s="62">
        <f t="shared" si="251"/>
        <v>5.6451612903225801</v>
      </c>
    </row>
    <row r="193" spans="1:69">
      <c r="A193" s="3">
        <v>190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52">
        <v>0</v>
      </c>
      <c r="V193" s="6">
        <v>0</v>
      </c>
      <c r="W193" s="6">
        <v>0</v>
      </c>
      <c r="X193" s="6">
        <v>0</v>
      </c>
      <c r="Y193" s="6">
        <v>0</v>
      </c>
      <c r="Z193" s="6">
        <v>1</v>
      </c>
      <c r="AA193" s="6">
        <v>2</v>
      </c>
      <c r="AB193" s="6">
        <v>0</v>
      </c>
      <c r="AC193" s="6">
        <v>2</v>
      </c>
      <c r="AD193" s="6">
        <v>1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1</v>
      </c>
      <c r="AL193" s="6">
        <v>0</v>
      </c>
      <c r="AM193" s="6">
        <v>1</v>
      </c>
      <c r="AN193" s="6">
        <v>0</v>
      </c>
      <c r="AO193" s="6">
        <v>1</v>
      </c>
      <c r="AP193" s="6">
        <v>1</v>
      </c>
      <c r="AQ193" s="6">
        <v>1</v>
      </c>
      <c r="AR193" s="6">
        <v>0</v>
      </c>
      <c r="AS193" s="6">
        <v>2</v>
      </c>
      <c r="AT193" s="6">
        <v>1</v>
      </c>
      <c r="AU193" s="6">
        <v>1</v>
      </c>
      <c r="AV193" s="6">
        <v>1</v>
      </c>
      <c r="AW193" s="6">
        <v>0</v>
      </c>
      <c r="AX193" s="6">
        <v>1</v>
      </c>
      <c r="AY193" s="6">
        <v>2</v>
      </c>
      <c r="AZ193" s="6">
        <v>1</v>
      </c>
      <c r="BA193" s="3">
        <f t="shared" si="236"/>
        <v>1</v>
      </c>
      <c r="BB193" s="3">
        <f t="shared" si="237"/>
        <v>3</v>
      </c>
      <c r="BC193" s="3">
        <f t="shared" si="238"/>
        <v>3</v>
      </c>
      <c r="BD193" s="3">
        <f t="shared" si="239"/>
        <v>4</v>
      </c>
      <c r="BE193" s="3">
        <f t="shared" si="240"/>
        <v>6</v>
      </c>
      <c r="BF193" s="3">
        <f t="shared" si="241"/>
        <v>3</v>
      </c>
      <c r="BG193" s="3">
        <f t="shared" si="242"/>
        <v>0</v>
      </c>
      <c r="BH193" s="3">
        <f t="shared" si="243"/>
        <v>20</v>
      </c>
      <c r="BJ193" s="62">
        <f t="shared" si="244"/>
        <v>6.25</v>
      </c>
      <c r="BK193" s="62">
        <f t="shared" si="245"/>
        <v>25</v>
      </c>
      <c r="BL193" s="62">
        <f t="shared" si="246"/>
        <v>15</v>
      </c>
      <c r="BM193" s="62">
        <f t="shared" si="247"/>
        <v>33.333333333333329</v>
      </c>
      <c r="BN193" s="62">
        <f t="shared" si="248"/>
        <v>16.666666666666664</v>
      </c>
      <c r="BO193" s="62">
        <f t="shared" si="249"/>
        <v>25</v>
      </c>
      <c r="BP193" s="62">
        <f t="shared" si="250"/>
        <v>0</v>
      </c>
      <c r="BQ193" s="62">
        <f t="shared" si="251"/>
        <v>16.129032258064516</v>
      </c>
    </row>
    <row r="194" spans="1:69">
      <c r="A194" s="3">
        <v>191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93">
        <v>0</v>
      </c>
      <c r="V194" s="6">
        <v>0</v>
      </c>
      <c r="W194" s="6">
        <v>0</v>
      </c>
      <c r="X194" s="6">
        <v>2</v>
      </c>
      <c r="Y194" s="6">
        <v>0</v>
      </c>
      <c r="Z194" s="6">
        <v>0</v>
      </c>
      <c r="AA194" s="6">
        <v>0</v>
      </c>
      <c r="AB194" s="6">
        <v>1</v>
      </c>
      <c r="AC194" s="6">
        <v>0</v>
      </c>
      <c r="AD194" s="6">
        <v>2</v>
      </c>
      <c r="AE194" s="6">
        <v>0</v>
      </c>
      <c r="AF194" s="6">
        <v>0</v>
      </c>
      <c r="AG194" s="6">
        <v>0</v>
      </c>
      <c r="AH194" s="6">
        <v>0</v>
      </c>
      <c r="AI194" s="6">
        <v>1</v>
      </c>
      <c r="AJ194" s="6">
        <v>0</v>
      </c>
      <c r="AK194" s="6">
        <v>0</v>
      </c>
      <c r="AL194" s="6">
        <v>0</v>
      </c>
      <c r="AM194" s="6">
        <v>1</v>
      </c>
      <c r="AN194" s="6">
        <v>0</v>
      </c>
      <c r="AO194" s="6">
        <v>2</v>
      </c>
      <c r="AP194" s="6">
        <v>2</v>
      </c>
      <c r="AQ194" s="6">
        <v>0</v>
      </c>
      <c r="AR194" s="6">
        <v>0</v>
      </c>
      <c r="AS194" s="6">
        <v>2</v>
      </c>
      <c r="AT194" s="6">
        <v>0</v>
      </c>
      <c r="AU194" s="6">
        <v>0</v>
      </c>
      <c r="AV194" s="6">
        <v>0</v>
      </c>
      <c r="AW194" s="6">
        <v>4</v>
      </c>
      <c r="AX194" s="6">
        <v>0</v>
      </c>
      <c r="AY194" s="6">
        <v>2</v>
      </c>
      <c r="AZ194" s="6">
        <v>0</v>
      </c>
      <c r="BA194" s="3">
        <f t="shared" si="236"/>
        <v>1</v>
      </c>
      <c r="BB194" s="3">
        <f t="shared" si="237"/>
        <v>0</v>
      </c>
      <c r="BC194" s="3">
        <f t="shared" si="238"/>
        <v>5</v>
      </c>
      <c r="BD194" s="3">
        <f t="shared" si="239"/>
        <v>2</v>
      </c>
      <c r="BE194" s="3">
        <f t="shared" si="240"/>
        <v>3</v>
      </c>
      <c r="BF194" s="3">
        <f t="shared" si="241"/>
        <v>6</v>
      </c>
      <c r="BG194" s="3">
        <f t="shared" si="242"/>
        <v>2</v>
      </c>
      <c r="BH194" s="3">
        <f t="shared" si="243"/>
        <v>19</v>
      </c>
      <c r="BJ194" s="62">
        <f t="shared" si="244"/>
        <v>6.25</v>
      </c>
      <c r="BK194" s="62">
        <f t="shared" si="245"/>
        <v>0</v>
      </c>
      <c r="BL194" s="62">
        <f t="shared" si="246"/>
        <v>25</v>
      </c>
      <c r="BM194" s="62">
        <f t="shared" si="247"/>
        <v>16.666666666666664</v>
      </c>
      <c r="BN194" s="62">
        <f t="shared" si="248"/>
        <v>8.3333333333333321</v>
      </c>
      <c r="BO194" s="62">
        <f t="shared" si="249"/>
        <v>50</v>
      </c>
      <c r="BP194" s="62">
        <f t="shared" si="250"/>
        <v>12.5</v>
      </c>
      <c r="BQ194" s="62">
        <f t="shared" si="251"/>
        <v>15.32258064516129</v>
      </c>
    </row>
    <row r="195" spans="1:69">
      <c r="A195" s="3">
        <v>192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4</v>
      </c>
      <c r="AD195" s="6">
        <v>4</v>
      </c>
      <c r="AE195" s="6">
        <v>1</v>
      </c>
      <c r="AF195" s="6">
        <v>0</v>
      </c>
      <c r="AG195" s="6">
        <v>0</v>
      </c>
      <c r="AH195" s="6">
        <v>0</v>
      </c>
      <c r="AI195" s="6">
        <v>2</v>
      </c>
      <c r="AJ195" s="6">
        <v>0</v>
      </c>
      <c r="AK195" s="6">
        <v>0</v>
      </c>
      <c r="AL195" s="6">
        <v>0</v>
      </c>
      <c r="AM195" s="6">
        <v>1</v>
      </c>
      <c r="AN195" s="6">
        <v>1</v>
      </c>
      <c r="AO195" s="6">
        <v>0</v>
      </c>
      <c r="AP195" s="6">
        <v>1</v>
      </c>
      <c r="AQ195" s="6">
        <v>0</v>
      </c>
      <c r="AR195" s="6">
        <v>0</v>
      </c>
      <c r="AS195" s="6">
        <v>0</v>
      </c>
      <c r="AT195" s="6">
        <v>0</v>
      </c>
      <c r="AU195" s="6">
        <v>2</v>
      </c>
      <c r="AV195" s="6">
        <v>0</v>
      </c>
      <c r="AW195" s="6">
        <v>2</v>
      </c>
      <c r="AX195" s="6">
        <v>0</v>
      </c>
      <c r="AY195" s="6">
        <v>2</v>
      </c>
      <c r="AZ195" s="6">
        <v>4</v>
      </c>
      <c r="BA195" s="3">
        <f t="shared" si="236"/>
        <v>2</v>
      </c>
      <c r="BB195" s="3">
        <f t="shared" si="237"/>
        <v>0</v>
      </c>
      <c r="BC195" s="3">
        <f t="shared" si="238"/>
        <v>3</v>
      </c>
      <c r="BD195" s="3">
        <f t="shared" si="239"/>
        <v>6</v>
      </c>
      <c r="BE195" s="3">
        <f t="shared" si="240"/>
        <v>9</v>
      </c>
      <c r="BF195" s="3">
        <f t="shared" si="241"/>
        <v>4</v>
      </c>
      <c r="BG195" s="3">
        <f t="shared" si="242"/>
        <v>0</v>
      </c>
      <c r="BH195" s="3">
        <f t="shared" si="243"/>
        <v>24</v>
      </c>
      <c r="BJ195" s="62">
        <f t="shared" si="244"/>
        <v>12.5</v>
      </c>
      <c r="BK195" s="62">
        <f t="shared" si="245"/>
        <v>0</v>
      </c>
      <c r="BL195" s="62">
        <f t="shared" si="246"/>
        <v>15</v>
      </c>
      <c r="BM195" s="62">
        <f t="shared" si="247"/>
        <v>50</v>
      </c>
      <c r="BN195" s="62">
        <f t="shared" si="248"/>
        <v>25</v>
      </c>
      <c r="BO195" s="62">
        <f t="shared" si="249"/>
        <v>33.333333333333329</v>
      </c>
      <c r="BP195" s="62">
        <f t="shared" si="250"/>
        <v>0</v>
      </c>
      <c r="BQ195" s="62">
        <f t="shared" si="251"/>
        <v>19.35483870967742</v>
      </c>
    </row>
    <row r="196" spans="1:69">
      <c r="A196" s="3">
        <v>193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3">
        <f t="shared" si="236"/>
        <v>0</v>
      </c>
      <c r="BB196" s="3">
        <f t="shared" si="237"/>
        <v>0</v>
      </c>
      <c r="BC196" s="3">
        <f t="shared" si="238"/>
        <v>0</v>
      </c>
      <c r="BD196" s="3">
        <f t="shared" si="239"/>
        <v>0</v>
      </c>
      <c r="BE196" s="3">
        <f t="shared" si="240"/>
        <v>0</v>
      </c>
      <c r="BF196" s="3">
        <f t="shared" si="241"/>
        <v>0</v>
      </c>
      <c r="BG196" s="3">
        <f t="shared" si="242"/>
        <v>0</v>
      </c>
      <c r="BH196" s="3">
        <f t="shared" si="243"/>
        <v>0</v>
      </c>
      <c r="BJ196" s="62">
        <f t="shared" si="244"/>
        <v>0</v>
      </c>
      <c r="BK196" s="62">
        <f t="shared" si="245"/>
        <v>0</v>
      </c>
      <c r="BL196" s="62">
        <f t="shared" si="246"/>
        <v>0</v>
      </c>
      <c r="BM196" s="62">
        <f t="shared" si="247"/>
        <v>0</v>
      </c>
      <c r="BN196" s="62">
        <f t="shared" si="248"/>
        <v>0</v>
      </c>
      <c r="BO196" s="62">
        <f t="shared" si="249"/>
        <v>0</v>
      </c>
      <c r="BP196" s="62">
        <f t="shared" si="250"/>
        <v>0</v>
      </c>
      <c r="BQ196" s="62">
        <f t="shared" si="251"/>
        <v>0</v>
      </c>
    </row>
    <row r="197" spans="1:69">
      <c r="A197" s="3">
        <v>194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3">
        <f t="shared" si="236"/>
        <v>0</v>
      </c>
      <c r="BB197" s="3">
        <f t="shared" si="237"/>
        <v>0</v>
      </c>
      <c r="BC197" s="3">
        <f t="shared" si="238"/>
        <v>0</v>
      </c>
      <c r="BD197" s="3">
        <f t="shared" si="239"/>
        <v>0</v>
      </c>
      <c r="BE197" s="3">
        <f t="shared" si="240"/>
        <v>0</v>
      </c>
      <c r="BF197" s="3">
        <f t="shared" si="241"/>
        <v>0</v>
      </c>
      <c r="BG197" s="3">
        <f t="shared" si="242"/>
        <v>0</v>
      </c>
      <c r="BH197" s="3">
        <f t="shared" si="243"/>
        <v>0</v>
      </c>
      <c r="BJ197" s="62">
        <f t="shared" si="244"/>
        <v>0</v>
      </c>
      <c r="BK197" s="62">
        <f t="shared" si="245"/>
        <v>0</v>
      </c>
      <c r="BL197" s="62">
        <f t="shared" si="246"/>
        <v>0</v>
      </c>
      <c r="BM197" s="62">
        <f t="shared" si="247"/>
        <v>0</v>
      </c>
      <c r="BN197" s="62">
        <f t="shared" si="248"/>
        <v>0</v>
      </c>
      <c r="BO197" s="62">
        <f t="shared" si="249"/>
        <v>0</v>
      </c>
      <c r="BP197" s="62">
        <f t="shared" si="250"/>
        <v>0</v>
      </c>
      <c r="BQ197" s="62">
        <f t="shared" si="251"/>
        <v>0</v>
      </c>
    </row>
    <row r="198" spans="1:69">
      <c r="A198" s="3">
        <v>195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3">
        <f t="shared" si="236"/>
        <v>0</v>
      </c>
      <c r="BB198" s="3">
        <f t="shared" si="237"/>
        <v>0</v>
      </c>
      <c r="BC198" s="3">
        <f t="shared" si="238"/>
        <v>0</v>
      </c>
      <c r="BD198" s="3">
        <f t="shared" si="239"/>
        <v>0</v>
      </c>
      <c r="BE198" s="3">
        <f t="shared" si="240"/>
        <v>0</v>
      </c>
      <c r="BF198" s="3">
        <f t="shared" si="241"/>
        <v>0</v>
      </c>
      <c r="BG198" s="3">
        <f t="shared" si="242"/>
        <v>0</v>
      </c>
      <c r="BH198" s="3">
        <f t="shared" si="243"/>
        <v>0</v>
      </c>
      <c r="BJ198" s="62">
        <f t="shared" si="244"/>
        <v>0</v>
      </c>
      <c r="BK198" s="62">
        <f t="shared" si="245"/>
        <v>0</v>
      </c>
      <c r="BL198" s="62">
        <f t="shared" si="246"/>
        <v>0</v>
      </c>
      <c r="BM198" s="62">
        <f t="shared" si="247"/>
        <v>0</v>
      </c>
      <c r="BN198" s="62">
        <f t="shared" si="248"/>
        <v>0</v>
      </c>
      <c r="BO198" s="62">
        <f t="shared" si="249"/>
        <v>0</v>
      </c>
      <c r="BP198" s="62">
        <f t="shared" si="250"/>
        <v>0</v>
      </c>
      <c r="BQ198" s="62">
        <f t="shared" si="251"/>
        <v>0</v>
      </c>
    </row>
    <row r="199" spans="1:69">
      <c r="A199" s="3">
        <v>196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3">
        <f t="shared" si="236"/>
        <v>0</v>
      </c>
      <c r="BB199" s="3">
        <f t="shared" si="237"/>
        <v>0</v>
      </c>
      <c r="BC199" s="3">
        <f t="shared" si="238"/>
        <v>0</v>
      </c>
      <c r="BD199" s="3">
        <f t="shared" si="239"/>
        <v>0</v>
      </c>
      <c r="BE199" s="3">
        <f t="shared" si="240"/>
        <v>0</v>
      </c>
      <c r="BF199" s="3">
        <f t="shared" si="241"/>
        <v>0</v>
      </c>
      <c r="BG199" s="3">
        <f t="shared" si="242"/>
        <v>0</v>
      </c>
      <c r="BH199" s="3">
        <f t="shared" si="243"/>
        <v>0</v>
      </c>
      <c r="BJ199" s="62">
        <f t="shared" si="244"/>
        <v>0</v>
      </c>
      <c r="BK199" s="62">
        <f t="shared" si="245"/>
        <v>0</v>
      </c>
      <c r="BL199" s="62">
        <f t="shared" si="246"/>
        <v>0</v>
      </c>
      <c r="BM199" s="62">
        <f t="shared" si="247"/>
        <v>0</v>
      </c>
      <c r="BN199" s="62">
        <f t="shared" si="248"/>
        <v>0</v>
      </c>
      <c r="BO199" s="62">
        <f t="shared" si="249"/>
        <v>0</v>
      </c>
      <c r="BP199" s="62">
        <f t="shared" si="250"/>
        <v>0</v>
      </c>
      <c r="BQ199" s="62">
        <f t="shared" si="251"/>
        <v>0</v>
      </c>
    </row>
    <row r="200" spans="1:69">
      <c r="A200" s="3">
        <v>197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3">
        <f t="shared" si="236"/>
        <v>0</v>
      </c>
      <c r="BB200" s="3">
        <f t="shared" si="237"/>
        <v>0</v>
      </c>
      <c r="BC200" s="3">
        <f t="shared" si="238"/>
        <v>0</v>
      </c>
      <c r="BD200" s="3">
        <f t="shared" si="239"/>
        <v>0</v>
      </c>
      <c r="BE200" s="3">
        <f t="shared" si="240"/>
        <v>0</v>
      </c>
      <c r="BF200" s="3">
        <f t="shared" si="241"/>
        <v>0</v>
      </c>
      <c r="BG200" s="3">
        <f t="shared" si="242"/>
        <v>0</v>
      </c>
      <c r="BH200" s="3">
        <f t="shared" si="243"/>
        <v>0</v>
      </c>
      <c r="BJ200" s="62">
        <f t="shared" si="244"/>
        <v>0</v>
      </c>
      <c r="BK200" s="62">
        <f t="shared" si="245"/>
        <v>0</v>
      </c>
      <c r="BL200" s="62">
        <f t="shared" si="246"/>
        <v>0</v>
      </c>
      <c r="BM200" s="62">
        <f t="shared" si="247"/>
        <v>0</v>
      </c>
      <c r="BN200" s="62">
        <f t="shared" si="248"/>
        <v>0</v>
      </c>
      <c r="BO200" s="62">
        <f t="shared" si="249"/>
        <v>0</v>
      </c>
      <c r="BP200" s="62">
        <f t="shared" si="250"/>
        <v>0</v>
      </c>
      <c r="BQ200" s="62">
        <f t="shared" si="251"/>
        <v>0</v>
      </c>
    </row>
    <row r="201" spans="1:69">
      <c r="A201" s="3">
        <v>198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3">
        <f t="shared" si="236"/>
        <v>0</v>
      </c>
      <c r="BB201" s="3">
        <f t="shared" si="237"/>
        <v>0</v>
      </c>
      <c r="BC201" s="3">
        <f t="shared" si="238"/>
        <v>0</v>
      </c>
      <c r="BD201" s="3">
        <f t="shared" si="239"/>
        <v>0</v>
      </c>
      <c r="BE201" s="3">
        <f t="shared" si="240"/>
        <v>0</v>
      </c>
      <c r="BF201" s="3">
        <f t="shared" si="241"/>
        <v>0</v>
      </c>
      <c r="BG201" s="3">
        <f t="shared" si="242"/>
        <v>0</v>
      </c>
      <c r="BH201" s="3">
        <f t="shared" si="243"/>
        <v>0</v>
      </c>
      <c r="BJ201" s="62">
        <f t="shared" si="244"/>
        <v>0</v>
      </c>
      <c r="BK201" s="62">
        <f t="shared" si="245"/>
        <v>0</v>
      </c>
      <c r="BL201" s="62">
        <f t="shared" si="246"/>
        <v>0</v>
      </c>
      <c r="BM201" s="62">
        <f t="shared" si="247"/>
        <v>0</v>
      </c>
      <c r="BN201" s="62">
        <f t="shared" si="248"/>
        <v>0</v>
      </c>
      <c r="BO201" s="62">
        <f t="shared" si="249"/>
        <v>0</v>
      </c>
      <c r="BP201" s="62">
        <f t="shared" si="250"/>
        <v>0</v>
      </c>
      <c r="BQ201" s="62">
        <f t="shared" si="251"/>
        <v>0</v>
      </c>
    </row>
    <row r="202" spans="1:69">
      <c r="A202" s="3">
        <v>199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3">
        <f t="shared" si="236"/>
        <v>0</v>
      </c>
      <c r="BB202" s="3">
        <f t="shared" si="237"/>
        <v>0</v>
      </c>
      <c r="BC202" s="3">
        <f t="shared" si="238"/>
        <v>0</v>
      </c>
      <c r="BD202" s="3">
        <f t="shared" si="239"/>
        <v>0</v>
      </c>
      <c r="BE202" s="3">
        <f t="shared" si="240"/>
        <v>0</v>
      </c>
      <c r="BF202" s="3">
        <f t="shared" si="241"/>
        <v>0</v>
      </c>
      <c r="BG202" s="3">
        <f t="shared" si="242"/>
        <v>0</v>
      </c>
      <c r="BH202" s="3">
        <f t="shared" si="243"/>
        <v>0</v>
      </c>
      <c r="BJ202" s="62">
        <f t="shared" si="244"/>
        <v>0</v>
      </c>
      <c r="BK202" s="62">
        <f t="shared" si="245"/>
        <v>0</v>
      </c>
      <c r="BL202" s="62">
        <f t="shared" si="246"/>
        <v>0</v>
      </c>
      <c r="BM202" s="62">
        <f t="shared" si="247"/>
        <v>0</v>
      </c>
      <c r="BN202" s="62">
        <f t="shared" si="248"/>
        <v>0</v>
      </c>
      <c r="BO202" s="62">
        <f t="shared" si="249"/>
        <v>0</v>
      </c>
      <c r="BP202" s="62">
        <f t="shared" si="250"/>
        <v>0</v>
      </c>
      <c r="BQ202" s="62">
        <f t="shared" si="251"/>
        <v>0</v>
      </c>
    </row>
    <row r="203" spans="1:69">
      <c r="A203" s="3">
        <v>200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3">
        <f t="shared" si="236"/>
        <v>0</v>
      </c>
      <c r="BB203" s="3">
        <f t="shared" si="237"/>
        <v>0</v>
      </c>
      <c r="BC203" s="3">
        <f t="shared" si="238"/>
        <v>0</v>
      </c>
      <c r="BD203" s="3">
        <f t="shared" si="239"/>
        <v>0</v>
      </c>
      <c r="BE203" s="3">
        <f t="shared" si="240"/>
        <v>0</v>
      </c>
      <c r="BF203" s="3">
        <f t="shared" si="241"/>
        <v>0</v>
      </c>
      <c r="BG203" s="3">
        <f t="shared" si="242"/>
        <v>0</v>
      </c>
      <c r="BH203" s="3">
        <f t="shared" si="243"/>
        <v>0</v>
      </c>
      <c r="BJ203" s="62">
        <f t="shared" si="244"/>
        <v>0</v>
      </c>
      <c r="BK203" s="62">
        <f t="shared" si="245"/>
        <v>0</v>
      </c>
      <c r="BL203" s="62">
        <f t="shared" si="246"/>
        <v>0</v>
      </c>
      <c r="BM203" s="62">
        <f t="shared" si="247"/>
        <v>0</v>
      </c>
      <c r="BN203" s="62">
        <f t="shared" si="248"/>
        <v>0</v>
      </c>
      <c r="BO203" s="62">
        <f t="shared" si="249"/>
        <v>0</v>
      </c>
      <c r="BP203" s="62">
        <f t="shared" si="250"/>
        <v>0</v>
      </c>
      <c r="BQ203" s="62">
        <f t="shared" si="251"/>
        <v>0</v>
      </c>
    </row>
    <row r="204" spans="1:69">
      <c r="A204" s="3">
        <v>201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3">
        <f t="shared" si="236"/>
        <v>0</v>
      </c>
      <c r="BB204" s="3">
        <f t="shared" si="237"/>
        <v>0</v>
      </c>
      <c r="BC204" s="3">
        <f t="shared" si="238"/>
        <v>0</v>
      </c>
      <c r="BD204" s="3">
        <f t="shared" si="239"/>
        <v>0</v>
      </c>
      <c r="BE204" s="3">
        <f t="shared" si="240"/>
        <v>0</v>
      </c>
      <c r="BF204" s="3">
        <f t="shared" si="241"/>
        <v>0</v>
      </c>
      <c r="BG204" s="3">
        <f t="shared" si="242"/>
        <v>0</v>
      </c>
      <c r="BH204" s="3">
        <f t="shared" si="243"/>
        <v>0</v>
      </c>
      <c r="BJ204" s="62">
        <f t="shared" si="244"/>
        <v>0</v>
      </c>
      <c r="BK204" s="62">
        <f t="shared" si="245"/>
        <v>0</v>
      </c>
      <c r="BL204" s="62">
        <f t="shared" si="246"/>
        <v>0</v>
      </c>
      <c r="BM204" s="62">
        <f t="shared" si="247"/>
        <v>0</v>
      </c>
      <c r="BN204" s="62">
        <f t="shared" si="248"/>
        <v>0</v>
      </c>
      <c r="BO204" s="62">
        <f t="shared" si="249"/>
        <v>0</v>
      </c>
      <c r="BP204" s="62">
        <f t="shared" si="250"/>
        <v>0</v>
      </c>
      <c r="BQ204" s="62">
        <f t="shared" si="251"/>
        <v>0</v>
      </c>
    </row>
    <row r="205" spans="1:69">
      <c r="A205" s="3">
        <v>202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3">
        <f t="shared" si="236"/>
        <v>0</v>
      </c>
      <c r="BB205" s="3">
        <f t="shared" si="237"/>
        <v>0</v>
      </c>
      <c r="BC205" s="3">
        <f t="shared" si="238"/>
        <v>0</v>
      </c>
      <c r="BD205" s="3">
        <f t="shared" si="239"/>
        <v>0</v>
      </c>
      <c r="BE205" s="3">
        <f t="shared" si="240"/>
        <v>0</v>
      </c>
      <c r="BF205" s="3">
        <f t="shared" si="241"/>
        <v>0</v>
      </c>
      <c r="BG205" s="3">
        <f t="shared" si="242"/>
        <v>0</v>
      </c>
      <c r="BH205" s="3">
        <f t="shared" si="243"/>
        <v>0</v>
      </c>
      <c r="BJ205" s="62">
        <f t="shared" si="244"/>
        <v>0</v>
      </c>
      <c r="BK205" s="62">
        <f t="shared" si="245"/>
        <v>0</v>
      </c>
      <c r="BL205" s="62">
        <f t="shared" si="246"/>
        <v>0</v>
      </c>
      <c r="BM205" s="62">
        <f t="shared" si="247"/>
        <v>0</v>
      </c>
      <c r="BN205" s="62">
        <f t="shared" si="248"/>
        <v>0</v>
      </c>
      <c r="BO205" s="62">
        <f t="shared" si="249"/>
        <v>0</v>
      </c>
      <c r="BP205" s="62">
        <f t="shared" si="250"/>
        <v>0</v>
      </c>
      <c r="BQ205" s="62">
        <f t="shared" si="251"/>
        <v>0</v>
      </c>
    </row>
    <row r="206" spans="1:69">
      <c r="A206" s="3">
        <v>203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3">
        <f t="shared" si="236"/>
        <v>0</v>
      </c>
      <c r="BB206" s="3">
        <f t="shared" si="237"/>
        <v>0</v>
      </c>
      <c r="BC206" s="3">
        <f t="shared" si="238"/>
        <v>0</v>
      </c>
      <c r="BD206" s="3">
        <f t="shared" si="239"/>
        <v>0</v>
      </c>
      <c r="BE206" s="3">
        <f t="shared" si="240"/>
        <v>0</v>
      </c>
      <c r="BF206" s="3">
        <f t="shared" si="241"/>
        <v>0</v>
      </c>
      <c r="BG206" s="3">
        <f t="shared" si="242"/>
        <v>0</v>
      </c>
      <c r="BH206" s="3">
        <f t="shared" si="243"/>
        <v>0</v>
      </c>
      <c r="BJ206" s="62">
        <f t="shared" si="244"/>
        <v>0</v>
      </c>
      <c r="BK206" s="62">
        <f t="shared" si="245"/>
        <v>0</v>
      </c>
      <c r="BL206" s="62">
        <f t="shared" si="246"/>
        <v>0</v>
      </c>
      <c r="BM206" s="62">
        <f t="shared" si="247"/>
        <v>0</v>
      </c>
      <c r="BN206" s="62">
        <f t="shared" si="248"/>
        <v>0</v>
      </c>
      <c r="BO206" s="62">
        <f t="shared" si="249"/>
        <v>0</v>
      </c>
      <c r="BP206" s="62">
        <f t="shared" si="250"/>
        <v>0</v>
      </c>
      <c r="BQ206" s="62">
        <f t="shared" si="251"/>
        <v>0</v>
      </c>
    </row>
    <row r="207" spans="1:69">
      <c r="A207" s="3">
        <v>204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3">
        <f t="shared" si="236"/>
        <v>0</v>
      </c>
      <c r="BB207" s="3">
        <f t="shared" si="237"/>
        <v>0</v>
      </c>
      <c r="BC207" s="3">
        <f t="shared" si="238"/>
        <v>0</v>
      </c>
      <c r="BD207" s="3">
        <f t="shared" si="239"/>
        <v>0</v>
      </c>
      <c r="BE207" s="3">
        <f t="shared" si="240"/>
        <v>0</v>
      </c>
      <c r="BF207" s="3">
        <f t="shared" si="241"/>
        <v>0</v>
      </c>
      <c r="BG207" s="3">
        <f t="shared" si="242"/>
        <v>0</v>
      </c>
      <c r="BH207" s="3">
        <f t="shared" si="243"/>
        <v>0</v>
      </c>
      <c r="BJ207" s="62">
        <f t="shared" si="244"/>
        <v>0</v>
      </c>
      <c r="BK207" s="62">
        <f t="shared" si="245"/>
        <v>0</v>
      </c>
      <c r="BL207" s="62">
        <f t="shared" si="246"/>
        <v>0</v>
      </c>
      <c r="BM207" s="62">
        <f t="shared" si="247"/>
        <v>0</v>
      </c>
      <c r="BN207" s="62">
        <f t="shared" si="248"/>
        <v>0</v>
      </c>
      <c r="BO207" s="62">
        <f t="shared" si="249"/>
        <v>0</v>
      </c>
      <c r="BP207" s="62">
        <f t="shared" si="250"/>
        <v>0</v>
      </c>
      <c r="BQ207" s="62">
        <f t="shared" si="251"/>
        <v>0</v>
      </c>
    </row>
    <row r="208" spans="1:69">
      <c r="A208" s="3">
        <v>205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3">
        <f t="shared" si="236"/>
        <v>0</v>
      </c>
      <c r="BB208" s="3">
        <f t="shared" si="237"/>
        <v>0</v>
      </c>
      <c r="BC208" s="3">
        <f t="shared" si="238"/>
        <v>0</v>
      </c>
      <c r="BD208" s="3">
        <f t="shared" si="239"/>
        <v>0</v>
      </c>
      <c r="BE208" s="3">
        <f t="shared" si="240"/>
        <v>0</v>
      </c>
      <c r="BF208" s="3">
        <f t="shared" si="241"/>
        <v>0</v>
      </c>
      <c r="BG208" s="3">
        <f t="shared" si="242"/>
        <v>0</v>
      </c>
      <c r="BH208" s="3">
        <f t="shared" si="243"/>
        <v>0</v>
      </c>
      <c r="BJ208" s="62">
        <f t="shared" si="244"/>
        <v>0</v>
      </c>
      <c r="BK208" s="62">
        <f t="shared" si="245"/>
        <v>0</v>
      </c>
      <c r="BL208" s="62">
        <f t="shared" si="246"/>
        <v>0</v>
      </c>
      <c r="BM208" s="62">
        <f t="shared" si="247"/>
        <v>0</v>
      </c>
      <c r="BN208" s="62">
        <f t="shared" si="248"/>
        <v>0</v>
      </c>
      <c r="BO208" s="62">
        <f t="shared" si="249"/>
        <v>0</v>
      </c>
      <c r="BP208" s="62">
        <f t="shared" si="250"/>
        <v>0</v>
      </c>
      <c r="BQ208" s="62">
        <f t="shared" si="251"/>
        <v>0</v>
      </c>
    </row>
    <row r="209" spans="1:69">
      <c r="A209" s="3">
        <v>206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3">
        <f t="shared" si="236"/>
        <v>0</v>
      </c>
      <c r="BB209" s="3">
        <f t="shared" si="237"/>
        <v>0</v>
      </c>
      <c r="BC209" s="3">
        <f t="shared" si="238"/>
        <v>0</v>
      </c>
      <c r="BD209" s="3">
        <f t="shared" si="239"/>
        <v>0</v>
      </c>
      <c r="BE209" s="3">
        <f t="shared" si="240"/>
        <v>0</v>
      </c>
      <c r="BF209" s="3">
        <f t="shared" si="241"/>
        <v>0</v>
      </c>
      <c r="BG209" s="3">
        <f t="shared" si="242"/>
        <v>0</v>
      </c>
      <c r="BH209" s="3">
        <f t="shared" si="243"/>
        <v>0</v>
      </c>
      <c r="BJ209" s="62">
        <f t="shared" si="244"/>
        <v>0</v>
      </c>
      <c r="BK209" s="62">
        <f t="shared" si="245"/>
        <v>0</v>
      </c>
      <c r="BL209" s="62">
        <f t="shared" si="246"/>
        <v>0</v>
      </c>
      <c r="BM209" s="62">
        <f t="shared" si="247"/>
        <v>0</v>
      </c>
      <c r="BN209" s="62">
        <f t="shared" si="248"/>
        <v>0</v>
      </c>
      <c r="BO209" s="62">
        <f t="shared" si="249"/>
        <v>0</v>
      </c>
      <c r="BP209" s="62">
        <f t="shared" si="250"/>
        <v>0</v>
      </c>
      <c r="BQ209" s="62">
        <f t="shared" si="251"/>
        <v>0</v>
      </c>
    </row>
    <row r="210" spans="1:69">
      <c r="A210" s="3">
        <v>207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3">
        <f t="shared" si="236"/>
        <v>0</v>
      </c>
      <c r="BB210" s="3">
        <f t="shared" si="237"/>
        <v>0</v>
      </c>
      <c r="BC210" s="3">
        <f t="shared" si="238"/>
        <v>0</v>
      </c>
      <c r="BD210" s="3">
        <f t="shared" si="239"/>
        <v>0</v>
      </c>
      <c r="BE210" s="3">
        <f t="shared" si="240"/>
        <v>0</v>
      </c>
      <c r="BF210" s="3">
        <f t="shared" si="241"/>
        <v>0</v>
      </c>
      <c r="BG210" s="3">
        <f t="shared" si="242"/>
        <v>0</v>
      </c>
      <c r="BH210" s="3">
        <f t="shared" si="243"/>
        <v>0</v>
      </c>
      <c r="BJ210" s="62">
        <f t="shared" si="244"/>
        <v>0</v>
      </c>
      <c r="BK210" s="62">
        <f t="shared" si="245"/>
        <v>0</v>
      </c>
      <c r="BL210" s="62">
        <f t="shared" si="246"/>
        <v>0</v>
      </c>
      <c r="BM210" s="62">
        <f t="shared" si="247"/>
        <v>0</v>
      </c>
      <c r="BN210" s="62">
        <f t="shared" si="248"/>
        <v>0</v>
      </c>
      <c r="BO210" s="62">
        <f t="shared" si="249"/>
        <v>0</v>
      </c>
      <c r="BP210" s="62">
        <f t="shared" si="250"/>
        <v>0</v>
      </c>
      <c r="BQ210" s="62">
        <f t="shared" si="251"/>
        <v>0</v>
      </c>
    </row>
    <row r="211" spans="1:69">
      <c r="A211" s="3">
        <v>208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3">
        <f t="shared" si="236"/>
        <v>0</v>
      </c>
      <c r="BB211" s="3">
        <f t="shared" si="237"/>
        <v>0</v>
      </c>
      <c r="BC211" s="3">
        <f t="shared" si="238"/>
        <v>0</v>
      </c>
      <c r="BD211" s="3">
        <f t="shared" si="239"/>
        <v>0</v>
      </c>
      <c r="BE211" s="3">
        <f t="shared" si="240"/>
        <v>0</v>
      </c>
      <c r="BF211" s="3">
        <f t="shared" si="241"/>
        <v>0</v>
      </c>
      <c r="BG211" s="3">
        <f t="shared" si="242"/>
        <v>0</v>
      </c>
      <c r="BH211" s="3">
        <f t="shared" si="243"/>
        <v>0</v>
      </c>
      <c r="BJ211" s="62">
        <f t="shared" si="244"/>
        <v>0</v>
      </c>
      <c r="BK211" s="62">
        <f t="shared" si="245"/>
        <v>0</v>
      </c>
      <c r="BL211" s="62">
        <f t="shared" si="246"/>
        <v>0</v>
      </c>
      <c r="BM211" s="62">
        <f t="shared" si="247"/>
        <v>0</v>
      </c>
      <c r="BN211" s="62">
        <f t="shared" si="248"/>
        <v>0</v>
      </c>
      <c r="BO211" s="62">
        <f t="shared" si="249"/>
        <v>0</v>
      </c>
      <c r="BP211" s="62">
        <f t="shared" si="250"/>
        <v>0</v>
      </c>
      <c r="BQ211" s="62">
        <f t="shared" si="251"/>
        <v>0</v>
      </c>
    </row>
    <row r="212" spans="1:69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3">
        <f t="shared" si="236"/>
        <v>0</v>
      </c>
      <c r="BB212" s="3">
        <f t="shared" si="237"/>
        <v>0</v>
      </c>
      <c r="BC212" s="3">
        <f t="shared" si="238"/>
        <v>0</v>
      </c>
      <c r="BD212" s="3">
        <f t="shared" si="239"/>
        <v>0</v>
      </c>
      <c r="BE212" s="3">
        <f t="shared" si="240"/>
        <v>0</v>
      </c>
      <c r="BF212" s="3">
        <f t="shared" si="241"/>
        <v>0</v>
      </c>
      <c r="BG212" s="3">
        <f t="shared" si="242"/>
        <v>0</v>
      </c>
      <c r="BH212" s="3">
        <f t="shared" si="243"/>
        <v>0</v>
      </c>
      <c r="BJ212" s="62">
        <f t="shared" si="244"/>
        <v>0</v>
      </c>
      <c r="BK212" s="62">
        <f t="shared" si="245"/>
        <v>0</v>
      </c>
      <c r="BL212" s="62">
        <f t="shared" si="246"/>
        <v>0</v>
      </c>
      <c r="BM212" s="62">
        <f t="shared" si="247"/>
        <v>0</v>
      </c>
      <c r="BN212" s="62">
        <f t="shared" si="248"/>
        <v>0</v>
      </c>
      <c r="BO212" s="62">
        <f t="shared" si="249"/>
        <v>0</v>
      </c>
      <c r="BP212" s="62">
        <f t="shared" si="250"/>
        <v>0</v>
      </c>
      <c r="BQ212" s="62">
        <f t="shared" si="251"/>
        <v>0</v>
      </c>
    </row>
    <row r="213" spans="1:69">
      <c r="BJ213" s="63">
        <f t="shared" ref="BJ213:BQ213" si="252">AVERAGE(BJ4:BJ212)</f>
        <v>24.252392344497608</v>
      </c>
      <c r="BK213" s="81">
        <f t="shared" si="252"/>
        <v>10.765550239234448</v>
      </c>
      <c r="BL213" s="63">
        <f t="shared" si="252"/>
        <v>15.789473684210526</v>
      </c>
      <c r="BM213" s="63">
        <f t="shared" si="252"/>
        <v>25.71770334928231</v>
      </c>
      <c r="BN213" s="63">
        <f t="shared" si="252"/>
        <v>17.969165337586389</v>
      </c>
      <c r="BO213" s="63">
        <f t="shared" si="252"/>
        <v>23.763955342902708</v>
      </c>
      <c r="BP213" s="63">
        <f t="shared" si="252"/>
        <v>16.716507177033492</v>
      </c>
      <c r="BQ213" s="63">
        <f t="shared" si="252"/>
        <v>18.88022843031332</v>
      </c>
    </row>
  </sheetData>
  <mergeCells count="6">
    <mergeCell ref="BQ1:BQ3"/>
    <mergeCell ref="A1:U2"/>
    <mergeCell ref="V1:AZ2"/>
    <mergeCell ref="BA1:BG2"/>
    <mergeCell ref="BH1:BH3"/>
    <mergeCell ref="BJ1:BP2"/>
  </mergeCells>
  <conditionalFormatting sqref="BJ213">
    <cfRule type="cellIs" dxfId="44" priority="40" operator="between">
      <formula>0</formula>
      <formula>6.3</formula>
    </cfRule>
    <cfRule type="cellIs" dxfId="43" priority="39" operator="between">
      <formula>6.4</formula>
      <formula>25</formula>
    </cfRule>
    <cfRule type="cellIs" dxfId="42" priority="38" operator="between">
      <formula>25.1</formula>
      <formula>37.5</formula>
    </cfRule>
    <cfRule type="cellIs" dxfId="41" priority="37" operator="between">
      <formula>37.6</formula>
      <formula>50</formula>
    </cfRule>
    <cfRule type="cellIs" dxfId="40" priority="36" operator="between">
      <formula>50.1</formula>
      <formula>100</formula>
    </cfRule>
  </conditionalFormatting>
  <conditionalFormatting sqref="BK213">
    <cfRule type="cellIs" dxfId="39" priority="35" operator="between">
      <formula>0</formula>
      <formula>0.9</formula>
    </cfRule>
    <cfRule type="cellIs" dxfId="38" priority="34" operator="between">
      <formula>1</formula>
      <formula>8.3</formula>
    </cfRule>
    <cfRule type="cellIs" dxfId="37" priority="33" operator="between">
      <formula>8.4</formula>
      <formula>25</formula>
    </cfRule>
    <cfRule type="cellIs" dxfId="36" priority="32" operator="between">
      <formula>25.1</formula>
      <formula>33.3</formula>
    </cfRule>
    <cfRule type="cellIs" dxfId="35" priority="31" operator="between">
      <formula>33.4</formula>
      <formula>100</formula>
    </cfRule>
  </conditionalFormatting>
  <conditionalFormatting sqref="BL213">
    <cfRule type="cellIs" dxfId="34" priority="30" operator="between">
      <formula>0</formula>
      <formula>5</formula>
    </cfRule>
    <cfRule type="cellIs" dxfId="33" priority="29" operator="between">
      <formula>5.1</formula>
      <formula>15</formula>
    </cfRule>
    <cfRule type="cellIs" dxfId="32" priority="28" operator="between">
      <formula>15.1</formula>
      <formula>25</formula>
    </cfRule>
    <cfRule type="cellIs" dxfId="31" priority="27" operator="between">
      <formula>25.1</formula>
      <formula>35</formula>
    </cfRule>
    <cfRule type="cellIs" dxfId="30" priority="26" operator="between">
      <formula>35.1</formula>
      <formula>100</formula>
    </cfRule>
  </conditionalFormatting>
  <conditionalFormatting sqref="BM213">
    <cfRule type="cellIs" dxfId="29" priority="21" operator="between">
      <formula>50.1</formula>
      <formula>100</formula>
    </cfRule>
    <cfRule type="cellIs" dxfId="28" priority="22" operator="between">
      <formula>41.8</formula>
      <formula>50</formula>
    </cfRule>
    <cfRule type="cellIs" dxfId="27" priority="23" operator="between">
      <formula>25.1</formula>
      <formula>41.7</formula>
    </cfRule>
    <cfRule type="cellIs" dxfId="26" priority="24" operator="between">
      <formula>16.8</formula>
      <formula>25</formula>
    </cfRule>
    <cfRule type="cellIs" dxfId="25" priority="25" operator="between">
      <formula>0</formula>
      <formula>16.7</formula>
    </cfRule>
  </conditionalFormatting>
  <conditionalFormatting sqref="BN213">
    <cfRule type="cellIs" dxfId="24" priority="20" operator="between">
      <formula>0</formula>
      <formula>5.6</formula>
    </cfRule>
    <cfRule type="cellIs" dxfId="23" priority="19" operator="between">
      <formula>5.7</formula>
      <formula>11.1</formula>
    </cfRule>
    <cfRule type="cellIs" dxfId="22" priority="18" operator="between">
      <formula>11.2</formula>
      <formula>16.7</formula>
    </cfRule>
    <cfRule type="cellIs" dxfId="21" priority="17" operator="between">
      <formula>16.8</formula>
      <formula>27.8</formula>
    </cfRule>
    <cfRule type="cellIs" dxfId="20" priority="16" operator="between">
      <formula>27.9</formula>
      <formula>100</formula>
    </cfRule>
  </conditionalFormatting>
  <conditionalFormatting sqref="BO213">
    <cfRule type="cellIs" dxfId="19" priority="15" operator="between">
      <formula>0</formula>
      <formula>0.9</formula>
    </cfRule>
    <cfRule type="cellIs" dxfId="18" priority="14" operator="between">
      <formula>1</formula>
      <formula>16.7</formula>
    </cfRule>
    <cfRule type="cellIs" dxfId="17" priority="13" operator="between">
      <formula>16.8</formula>
      <formula>25</formula>
    </cfRule>
    <cfRule type="cellIs" dxfId="16" priority="12" operator="between">
      <formula>25.1</formula>
      <formula>41.7</formula>
    </cfRule>
    <cfRule type="cellIs" dxfId="15" priority="11" operator="between">
      <formula>41.8</formula>
      <formula>100</formula>
    </cfRule>
  </conditionalFormatting>
  <conditionalFormatting sqref="BP213">
    <cfRule type="cellIs" dxfId="14" priority="6" operator="between">
      <formula>43.9</formula>
      <formula>100</formula>
    </cfRule>
    <cfRule type="cellIs" dxfId="13" priority="10" operator="between">
      <formula>0</formula>
      <formula>0.9</formula>
    </cfRule>
    <cfRule type="cellIs" dxfId="12" priority="9" operator="between">
      <formula>1</formula>
      <formula>12.5</formula>
    </cfRule>
    <cfRule type="cellIs" dxfId="11" priority="8" operator="between">
      <formula>12.6</formula>
      <formula>25</formula>
    </cfRule>
    <cfRule type="cellIs" dxfId="10" priority="7" operator="between">
      <formula>25.1</formula>
      <formula>43.8</formula>
    </cfRule>
  </conditionalFormatting>
  <conditionalFormatting sqref="BQ213">
    <cfRule type="cellIs" dxfId="9" priority="2" operator="between">
      <formula>24.3</formula>
      <formula>32.3</formula>
    </cfRule>
    <cfRule type="cellIs" dxfId="8" priority="3" operator="between">
      <formula>17.8</formula>
      <formula>24.2</formula>
    </cfRule>
    <cfRule type="cellIs" dxfId="7" priority="4" operator="between">
      <formula>13</formula>
      <formula>17.7</formula>
    </cfRule>
    <cfRule type="cellIs" dxfId="6" priority="5" operator="between">
      <formula>0</formula>
      <formula>12.9</formula>
    </cfRule>
    <cfRule type="cellIs" dxfId="5" priority="1" operator="between">
      <formula>32.4</formula>
      <formula>100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38"/>
  <sheetViews>
    <sheetView zoomScale="110" zoomScaleNormal="110" zoomScaleSheetLayoutView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E18" sqref="BE18"/>
    </sheetView>
  </sheetViews>
  <sheetFormatPr baseColWidth="10" defaultRowHeight="14.5"/>
  <cols>
    <col min="1" max="1" width="6.81640625" style="69" customWidth="1"/>
    <col min="2" max="2" width="27.26953125" style="69" customWidth="1"/>
    <col min="3" max="3" width="13.1796875" style="69" customWidth="1"/>
    <col min="4" max="4" width="9.453125" style="69" customWidth="1"/>
    <col min="5" max="6" width="10.81640625" style="69"/>
    <col min="7" max="7" width="30.453125" style="69" customWidth="1"/>
    <col min="8" max="8" width="31.81640625" style="69" customWidth="1"/>
    <col min="9" max="9" width="15.453125" style="69" customWidth="1"/>
    <col min="10" max="13" width="10.81640625" style="69"/>
    <col min="14" max="14" width="15.453125" style="69" customWidth="1"/>
    <col min="15" max="15" width="30.54296875" style="69" customWidth="1"/>
    <col min="16" max="16" width="41.1796875" style="69" customWidth="1"/>
    <col min="17" max="17" width="15.54296875" style="69" customWidth="1"/>
    <col min="18" max="18" width="24.7265625" style="69" customWidth="1"/>
    <col min="19" max="19" width="25.7265625" style="69" customWidth="1"/>
    <col min="20" max="20" width="16.1796875" style="69" customWidth="1"/>
    <col min="21" max="21" width="10.81640625" style="69"/>
    <col min="22" max="52" width="3.81640625" customWidth="1"/>
    <col min="57" max="57" width="21" customWidth="1"/>
    <col min="58" max="58" width="23.54296875" customWidth="1"/>
  </cols>
  <sheetData>
    <row r="1" spans="1:58" ht="15" thickBot="1">
      <c r="A1" s="158" t="s">
        <v>78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76"/>
      <c r="V1" s="168" t="s">
        <v>6</v>
      </c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69"/>
      <c r="AJ1" s="169"/>
      <c r="AK1" s="169"/>
      <c r="AL1" s="169"/>
      <c r="AM1" s="169"/>
      <c r="AN1" s="169"/>
      <c r="AO1" s="169"/>
      <c r="AP1" s="169"/>
      <c r="AQ1" s="169"/>
      <c r="AR1" s="169"/>
      <c r="AS1" s="169"/>
      <c r="AT1" s="169"/>
      <c r="AU1" s="169"/>
      <c r="AV1" s="169"/>
      <c r="AW1" s="169"/>
      <c r="AX1" s="169"/>
      <c r="AY1" s="169"/>
      <c r="AZ1" s="170"/>
      <c r="BA1" s="215" t="s">
        <v>84</v>
      </c>
      <c r="BB1" s="216"/>
      <c r="BC1" s="216"/>
      <c r="BD1" s="217"/>
      <c r="BE1" s="174" t="s">
        <v>5</v>
      </c>
      <c r="BF1" s="175"/>
    </row>
    <row r="2" spans="1:58" ht="55" customHeight="1">
      <c r="A2" s="64" t="s">
        <v>36</v>
      </c>
      <c r="B2" s="65" t="str">
        <f>'INTRA LABORAL A'!B4</f>
        <v>Nombre</v>
      </c>
      <c r="C2" s="65" t="str">
        <f>'INTRA LABORAL A'!C4</f>
        <v>Identificacion</v>
      </c>
      <c r="D2" s="65" t="str">
        <f>'INTRA LABORAL A'!D4</f>
        <v>Sexo</v>
      </c>
      <c r="E2" s="65" t="str">
        <f>'INTRA LABORAL A'!E4</f>
        <v>Año Nacimiento</v>
      </c>
      <c r="F2" s="65" t="str">
        <f>'INTRA LABORAL A'!F4</f>
        <v>Estado Civil</v>
      </c>
      <c r="G2" s="65" t="str">
        <f>'INTRA LABORAL A'!G4</f>
        <v>Ultimo nivel de estudio</v>
      </c>
      <c r="H2" s="65" t="str">
        <f>'INTRA LABORAL A'!H4</f>
        <v>Ocupacion/Profesion</v>
      </c>
      <c r="I2" s="65" t="str">
        <f>'INTRA LABORAL A'!I4</f>
        <v>Lugar de Residencia</v>
      </c>
      <c r="J2" s="65" t="str">
        <f>'INTRA LABORAL A'!J4</f>
        <v>Estrato</v>
      </c>
      <c r="K2" s="65" t="str">
        <f>'INTRA LABORAL A'!K4</f>
        <v>Tipo de Vivienda</v>
      </c>
      <c r="L2" s="65" t="str">
        <f>'INTRA LABORAL A'!L4</f>
        <v>Numero de personas a cargo</v>
      </c>
      <c r="M2" s="65" t="str">
        <f>'INTRA LABORAL A'!M4</f>
        <v>Lugar donde trabaja actualmente</v>
      </c>
      <c r="N2" s="65" t="str">
        <f>'INTRA LABORAL A'!N4</f>
        <v>Tiempo de trabajo en la empresa</v>
      </c>
      <c r="O2" s="65" t="str">
        <f>'INTRA LABORAL A'!O4</f>
        <v>Cargo actual</v>
      </c>
      <c r="P2" s="65" t="str">
        <f>'INTRA LABORAL A'!P4</f>
        <v>Seleccione el tipo de cargo</v>
      </c>
      <c r="Q2" s="65" t="str">
        <f>'INTRA LABORAL A'!Q4</f>
        <v>Hace cuantos años que desempeña el cargo u oficio en la empresa</v>
      </c>
      <c r="R2" s="65" t="str">
        <f>'INTRA LABORAL A'!R4</f>
        <v>Nombre del area o seccion de la empresa en el que trabaja</v>
      </c>
      <c r="S2" s="65" t="str">
        <f>'INTRA LABORAL A'!S4</f>
        <v>Tipo de contrato</v>
      </c>
      <c r="T2" s="65" t="str">
        <f>'INTRA LABORAL A'!T4</f>
        <v>Horas diarias de trabajo al dia</v>
      </c>
      <c r="U2" s="65" t="str">
        <f>'INTRA LABORAL A'!U4</f>
        <v>Tipo de salario que recibe</v>
      </c>
      <c r="V2" s="66">
        <v>1</v>
      </c>
      <c r="W2" s="66">
        <v>2</v>
      </c>
      <c r="X2" s="66">
        <v>3</v>
      </c>
      <c r="Y2" s="66">
        <v>4</v>
      </c>
      <c r="Z2" s="66">
        <v>5</v>
      </c>
      <c r="AA2" s="66">
        <v>6</v>
      </c>
      <c r="AB2" s="66">
        <v>7</v>
      </c>
      <c r="AC2" s="66">
        <v>8</v>
      </c>
      <c r="AD2" s="66">
        <v>9</v>
      </c>
      <c r="AE2" s="66">
        <v>10</v>
      </c>
      <c r="AF2" s="66">
        <v>11</v>
      </c>
      <c r="AG2" s="66">
        <v>12</v>
      </c>
      <c r="AH2" s="66">
        <v>13</v>
      </c>
      <c r="AI2" s="66">
        <v>14</v>
      </c>
      <c r="AJ2" s="66">
        <v>15</v>
      </c>
      <c r="AK2" s="66">
        <v>16</v>
      </c>
      <c r="AL2" s="66">
        <v>17</v>
      </c>
      <c r="AM2" s="66">
        <v>18</v>
      </c>
      <c r="AN2" s="66">
        <v>19</v>
      </c>
      <c r="AO2" s="66">
        <v>20</v>
      </c>
      <c r="AP2" s="66">
        <v>21</v>
      </c>
      <c r="AQ2" s="66">
        <v>22</v>
      </c>
      <c r="AR2" s="66">
        <v>23</v>
      </c>
      <c r="AS2" s="66">
        <v>24</v>
      </c>
      <c r="AT2" s="66">
        <v>25</v>
      </c>
      <c r="AU2" s="66">
        <v>26</v>
      </c>
      <c r="AV2" s="66">
        <v>27</v>
      </c>
      <c r="AW2" s="66">
        <v>28</v>
      </c>
      <c r="AX2" s="66">
        <v>29</v>
      </c>
      <c r="AY2" s="66">
        <v>30</v>
      </c>
      <c r="AZ2" s="66">
        <v>31</v>
      </c>
      <c r="BA2" s="76" t="s">
        <v>90</v>
      </c>
      <c r="BB2" s="76" t="s">
        <v>91</v>
      </c>
      <c r="BC2" s="76" t="s">
        <v>92</v>
      </c>
      <c r="BD2" s="76" t="s">
        <v>93</v>
      </c>
      <c r="BE2" s="70" t="s">
        <v>83</v>
      </c>
      <c r="BF2" s="72" t="s">
        <v>82</v>
      </c>
    </row>
    <row r="3" spans="1:58">
      <c r="A3" s="24" cm="1">
        <f t="array" ref="A3:U210">'INTRA LABORAL B'!A4:U211</f>
        <v>1</v>
      </c>
      <c r="B3" s="24" t="str">
        <v xml:space="preserve">ALEJANDRA TATIANA MURCIA ORBE </v>
      </c>
      <c r="C3" s="24">
        <v>1080933847</v>
      </c>
      <c r="D3" s="24" t="str">
        <v>f</v>
      </c>
      <c r="E3" s="24">
        <v>1992</v>
      </c>
      <c r="F3" s="24" t="str">
        <v>Soltero (a)</v>
      </c>
      <c r="G3" s="24" t="str">
        <v xml:space="preserve">PROFESIONAL </v>
      </c>
      <c r="H3" s="24" t="str">
        <v xml:space="preserve">INGENIERO ELECTRONICO </v>
      </c>
      <c r="I3" s="24" t="str">
        <v>Neiva - Huila</v>
      </c>
      <c r="J3" s="24">
        <v>2</v>
      </c>
      <c r="K3" s="24" t="str">
        <v>En arriendo</v>
      </c>
      <c r="L3" s="24">
        <v>0</v>
      </c>
      <c r="M3" s="24" t="str">
        <v>Neiva - Huila</v>
      </c>
      <c r="N3" s="24" t="str">
        <v>Menos de 1 año</v>
      </c>
      <c r="O3" s="24" t="str">
        <v xml:space="preserve">ingeniero de mantenimiento  biomedico </v>
      </c>
      <c r="P3" s="24" t="str">
        <v>Profesional, analista, técnico, tecnólogo</v>
      </c>
      <c r="Q3" s="24" t="str">
        <v>Menos de 1 año</v>
      </c>
      <c r="R3" s="24" t="str">
        <v xml:space="preserve">ingenieria </v>
      </c>
      <c r="S3" s="24" t="str">
        <v>Temporal de menos de 1 año</v>
      </c>
      <c r="T3" s="24">
        <v>8</v>
      </c>
      <c r="U3" s="24" t="str">
        <v>Fijo</v>
      </c>
      <c r="V3" s="6">
        <v>3</v>
      </c>
      <c r="W3" s="6">
        <v>3</v>
      </c>
      <c r="X3" s="6">
        <v>0</v>
      </c>
      <c r="Y3" s="6">
        <v>2</v>
      </c>
      <c r="Z3" s="6">
        <v>2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3</v>
      </c>
      <c r="AI3" s="6">
        <v>3</v>
      </c>
      <c r="AJ3" s="6">
        <v>0</v>
      </c>
      <c r="AK3" s="6">
        <v>0</v>
      </c>
      <c r="AL3" s="6">
        <v>2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2</v>
      </c>
      <c r="AX3" s="6">
        <v>0</v>
      </c>
      <c r="AY3" s="6">
        <v>0</v>
      </c>
      <c r="AZ3" s="6">
        <v>0</v>
      </c>
      <c r="BA3" s="67">
        <f>AVERAGE(V3:AC3)*4</f>
        <v>5</v>
      </c>
      <c r="BB3" s="68">
        <f t="shared" ref="BB3" si="0">AVERAGE(AD3:AG3)*3</f>
        <v>0</v>
      </c>
      <c r="BC3" s="68">
        <f t="shared" ref="BC3" si="1">AVERAGE(AH3:AQ3)*2</f>
        <v>1.6</v>
      </c>
      <c r="BD3" s="68">
        <f t="shared" ref="BD3" si="2">AVERAGE(AR3:AZ3)*1</f>
        <v>0.22222222222222221</v>
      </c>
      <c r="BE3" s="68">
        <f>SUM(BA3:BD3)</f>
        <v>6.822222222222222</v>
      </c>
      <c r="BF3" s="71">
        <f>(BE3/61.16)*100</f>
        <v>11.154712593561515</v>
      </c>
    </row>
    <row r="4" spans="1:58">
      <c r="A4" s="24">
        <v>2</v>
      </c>
      <c r="B4" s="24" t="str">
        <v xml:space="preserve">FRANCISCO JAVIER COLLAZOS </v>
      </c>
      <c r="C4" s="24">
        <v>1081156257</v>
      </c>
      <c r="D4" s="24" t="str">
        <v>m</v>
      </c>
      <c r="E4" s="24">
        <v>1989</v>
      </c>
      <c r="F4" s="24" t="str">
        <v>Union Libre</v>
      </c>
      <c r="G4" s="24" t="str">
        <v xml:space="preserve">TECNICO / TECNOLOGICO COMPLETO </v>
      </c>
      <c r="H4" s="24" t="str">
        <v>MANTENIMIENTO BIOMEDICO</v>
      </c>
      <c r="I4" s="24" t="str">
        <v>Neiva - Huila</v>
      </c>
      <c r="J4" s="24">
        <v>2</v>
      </c>
      <c r="K4" s="24" t="str">
        <v>En arriendo</v>
      </c>
      <c r="L4" s="24">
        <v>4</v>
      </c>
      <c r="M4" s="24" t="str">
        <v>Neiva - Huila</v>
      </c>
      <c r="N4" s="24" t="str">
        <v xml:space="preserve">Temporal de 1 año o mas </v>
      </c>
      <c r="O4" s="24" t="str">
        <v xml:space="preserve">Mantenimiento Biomedico </v>
      </c>
      <c r="P4" s="24" t="str">
        <v xml:space="preserve">Operario Operador , ayudante, servicios generales </v>
      </c>
      <c r="Q4" s="24" t="str">
        <v xml:space="preserve">2 años </v>
      </c>
      <c r="R4" s="24" t="str">
        <v xml:space="preserve">ingenieria </v>
      </c>
      <c r="S4" s="24" t="str">
        <v>Temporal de menos de 1 año</v>
      </c>
      <c r="T4" s="24">
        <v>9</v>
      </c>
      <c r="U4" s="24" t="str">
        <v>Fijo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2</v>
      </c>
      <c r="AX4" s="6">
        <v>0</v>
      </c>
      <c r="AY4" s="6">
        <v>0</v>
      </c>
      <c r="AZ4" s="6">
        <v>0</v>
      </c>
      <c r="BA4" s="67">
        <f t="shared" ref="BA4" si="3">AVERAGE(V4:AC4)*4</f>
        <v>0</v>
      </c>
      <c r="BB4" s="68">
        <f t="shared" ref="BB4:BB5" si="4">AVERAGE(AD4:AG4)*3</f>
        <v>0</v>
      </c>
      <c r="BC4" s="68">
        <f t="shared" ref="BC4:BC5" si="5">AVERAGE(AH4:AQ4)*2</f>
        <v>0</v>
      </c>
      <c r="BD4" s="68">
        <f t="shared" ref="BD4:BD5" si="6">AVERAGE(AR4:AZ4)*1</f>
        <v>0.22222222222222221</v>
      </c>
      <c r="BE4" s="68">
        <f t="shared" ref="BE4" si="7">SUM(BA4:BD4)</f>
        <v>0.22222222222222221</v>
      </c>
      <c r="BF4" s="71">
        <f t="shared" ref="BF4" si="8">(BE4/61.16)*100</f>
        <v>0.36334568708669429</v>
      </c>
    </row>
    <row r="5" spans="1:58">
      <c r="A5" s="24">
        <v>3</v>
      </c>
      <c r="B5" s="24" t="str">
        <v xml:space="preserve">sandra yadira parada </v>
      </c>
      <c r="C5" s="24">
        <v>1090381143</v>
      </c>
      <c r="D5" s="24" t="str">
        <v>f</v>
      </c>
      <c r="E5" s="24">
        <v>1972</v>
      </c>
      <c r="F5" s="24" t="str">
        <v>Viudo (a)</v>
      </c>
      <c r="G5" s="24" t="str">
        <v xml:space="preserve">TECNICO / TECNOLOGICO COMPLETO </v>
      </c>
      <c r="H5" s="24" t="str">
        <v xml:space="preserve">REGENCIA DE FARMACIA </v>
      </c>
      <c r="I5" s="24" t="str">
        <v>Neiva - Huila</v>
      </c>
      <c r="J5" s="24">
        <v>3</v>
      </c>
      <c r="K5" s="24" t="str">
        <v>Propia</v>
      </c>
      <c r="L5" s="24">
        <v>2</v>
      </c>
      <c r="M5" s="24" t="str">
        <v>Neiva - Huila</v>
      </c>
      <c r="N5" s="24" t="str">
        <v>Menos de 1 año</v>
      </c>
      <c r="O5" s="24" t="str">
        <v xml:space="preserve">Regente de Farmacia </v>
      </c>
      <c r="P5" s="24" t="str">
        <v>Profesional, analista, tecnico, tecnologo</v>
      </c>
      <c r="Q5" s="24" t="str">
        <v>Menos de 1 año</v>
      </c>
      <c r="R5" s="24" t="str">
        <v xml:space="preserve">Almacen </v>
      </c>
      <c r="S5" s="24" t="str">
        <v>Temporal de menos de 1 año</v>
      </c>
      <c r="T5" s="24">
        <v>8</v>
      </c>
      <c r="U5" s="24" t="str">
        <v>Fijo</v>
      </c>
      <c r="V5" s="6">
        <v>6</v>
      </c>
      <c r="W5" s="6">
        <v>9</v>
      </c>
      <c r="X5" s="6">
        <v>2</v>
      </c>
      <c r="Y5" s="6">
        <v>4</v>
      </c>
      <c r="Z5" s="6">
        <v>2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1</v>
      </c>
      <c r="AH5" s="6">
        <v>3</v>
      </c>
      <c r="AI5" s="6">
        <v>3</v>
      </c>
      <c r="AJ5" s="6">
        <v>0</v>
      </c>
      <c r="AK5" s="6">
        <v>0</v>
      </c>
      <c r="AL5" s="6">
        <v>2</v>
      </c>
      <c r="AM5" s="6">
        <v>2</v>
      </c>
      <c r="AN5" s="6">
        <v>2</v>
      </c>
      <c r="AO5" s="6">
        <v>0</v>
      </c>
      <c r="AP5" s="6">
        <v>0</v>
      </c>
      <c r="AQ5" s="6">
        <v>1</v>
      </c>
      <c r="AR5" s="6">
        <v>3</v>
      </c>
      <c r="AS5" s="6">
        <v>3</v>
      </c>
      <c r="AT5" s="6">
        <v>4</v>
      </c>
      <c r="AU5" s="6">
        <v>0</v>
      </c>
      <c r="AV5" s="6">
        <v>0</v>
      </c>
      <c r="AW5" s="6">
        <v>2</v>
      </c>
      <c r="AX5" s="6">
        <v>0</v>
      </c>
      <c r="AY5" s="6">
        <v>0</v>
      </c>
      <c r="AZ5" s="6">
        <v>0</v>
      </c>
      <c r="BA5" s="67">
        <f>AVERAGE(V5:AC5)*4</f>
        <v>11.5</v>
      </c>
      <c r="BB5" s="68">
        <f t="shared" si="4"/>
        <v>0.75</v>
      </c>
      <c r="BC5" s="68">
        <f t="shared" si="5"/>
        <v>2.6</v>
      </c>
      <c r="BD5" s="68">
        <f t="shared" si="6"/>
        <v>1.3333333333333333</v>
      </c>
      <c r="BE5" s="68">
        <f>SUM(BA5:BD5)</f>
        <v>16.183333333333334</v>
      </c>
      <c r="BF5" s="71">
        <f>(BE5/61.16)*100</f>
        <v>26.460649662088514</v>
      </c>
    </row>
    <row r="6" spans="1:58">
      <c r="A6" s="24">
        <v>4</v>
      </c>
      <c r="B6" s="24" t="str">
        <v xml:space="preserve">Ever toledo ramon </v>
      </c>
      <c r="C6" s="24">
        <v>7703284</v>
      </c>
      <c r="D6" s="24" t="str">
        <v>m</v>
      </c>
      <c r="E6" s="24">
        <v>1976</v>
      </c>
      <c r="F6" s="24" t="str">
        <v>Union Libre</v>
      </c>
      <c r="G6" s="24" t="str">
        <v xml:space="preserve">BACHILLERATO COMPLETO </v>
      </c>
      <c r="H6" s="24" t="str">
        <v xml:space="preserve">CONDUCTOR </v>
      </c>
      <c r="I6" s="24" t="str">
        <v>Neiva - Huila</v>
      </c>
      <c r="J6" s="24">
        <v>2</v>
      </c>
      <c r="K6" s="24" t="str">
        <v>En arriendo</v>
      </c>
      <c r="L6" s="24">
        <v>4</v>
      </c>
      <c r="M6" s="24" t="str">
        <v>Neiva - Huila</v>
      </c>
      <c r="N6" s="24" t="str">
        <v>Mas de 1 año</v>
      </c>
      <c r="O6" s="24" t="str">
        <v xml:space="preserve">Conductor /Mensajero </v>
      </c>
      <c r="P6" s="24" t="str">
        <v xml:space="preserve">Operario Operador , ayudante, servicios generales </v>
      </c>
      <c r="Q6" s="24" t="str">
        <v xml:space="preserve">10 años </v>
      </c>
      <c r="R6" s="24" t="str">
        <v xml:space="preserve">Almacen </v>
      </c>
      <c r="S6" s="24" t="str">
        <v>Prestacion de servicios</v>
      </c>
      <c r="T6" s="24">
        <v>8</v>
      </c>
      <c r="U6" s="24" t="str">
        <v>Fijo</v>
      </c>
      <c r="V6" s="6">
        <v>3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3</v>
      </c>
      <c r="AE6" s="6">
        <v>0</v>
      </c>
      <c r="AF6" s="6">
        <v>0</v>
      </c>
      <c r="AG6" s="6">
        <v>1</v>
      </c>
      <c r="AH6" s="6">
        <v>0</v>
      </c>
      <c r="AI6" s="6">
        <v>3</v>
      </c>
      <c r="AJ6" s="6">
        <v>0</v>
      </c>
      <c r="AK6" s="6">
        <v>2</v>
      </c>
      <c r="AL6" s="6">
        <v>0</v>
      </c>
      <c r="AM6" s="6">
        <v>0</v>
      </c>
      <c r="AN6" s="6">
        <v>0</v>
      </c>
      <c r="AO6" s="6">
        <v>0</v>
      </c>
      <c r="AP6" s="6">
        <v>1</v>
      </c>
      <c r="AQ6" s="6">
        <v>0</v>
      </c>
      <c r="AR6" s="6">
        <v>3</v>
      </c>
      <c r="AS6" s="6">
        <v>0</v>
      </c>
      <c r="AT6" s="6">
        <v>2</v>
      </c>
      <c r="AU6" s="6">
        <v>0</v>
      </c>
      <c r="AV6" s="6">
        <v>0</v>
      </c>
      <c r="AW6" s="6">
        <v>6</v>
      </c>
      <c r="AX6" s="6">
        <v>0</v>
      </c>
      <c r="AY6" s="6">
        <v>0</v>
      </c>
      <c r="AZ6" s="6">
        <v>1</v>
      </c>
      <c r="BA6" s="67">
        <f t="shared" ref="BA6:BA69" si="9">AVERAGE(V6:AC6)*4</f>
        <v>1.5</v>
      </c>
      <c r="BB6" s="68">
        <f t="shared" ref="BB6:BB69" si="10">AVERAGE(AD6:AG6)*3</f>
        <v>3</v>
      </c>
      <c r="BC6" s="68">
        <f t="shared" ref="BC6:BC69" si="11">AVERAGE(AH6:AQ6)*2</f>
        <v>1.2</v>
      </c>
      <c r="BD6" s="68">
        <f t="shared" ref="BD6:BD69" si="12">AVERAGE(AR6:AZ6)*1</f>
        <v>1.3333333333333333</v>
      </c>
      <c r="BE6" s="68">
        <f t="shared" ref="BE6:BE69" si="13">SUM(BA6:BD6)</f>
        <v>7.0333333333333332</v>
      </c>
      <c r="BF6" s="71">
        <f t="shared" ref="BF6:BF69" si="14">(BE6/61.16)*100</f>
        <v>11.499890996293875</v>
      </c>
    </row>
    <row r="7" spans="1:58">
      <c r="A7" s="24">
        <v>4</v>
      </c>
      <c r="B7" s="24" t="str">
        <v xml:space="preserve">Deicy Cleves  Mora </v>
      </c>
      <c r="C7" s="24">
        <v>36310138</v>
      </c>
      <c r="D7" s="24" t="str">
        <v>f</v>
      </c>
      <c r="E7" s="24">
        <v>1983</v>
      </c>
      <c r="F7" s="24" t="str">
        <v>Casado (a)</v>
      </c>
      <c r="G7" s="24" t="str">
        <v xml:space="preserve">TECNICO / TECNOLOGICO COMPLETO </v>
      </c>
      <c r="H7" s="24" t="str">
        <v xml:space="preserve">EMPLEADA </v>
      </c>
      <c r="I7" s="24" t="str">
        <v>Neiva - Huila</v>
      </c>
      <c r="J7" s="24">
        <v>2</v>
      </c>
      <c r="K7" s="24" t="str">
        <v>Familiar</v>
      </c>
      <c r="L7" s="24">
        <v>1</v>
      </c>
      <c r="M7" s="24" t="str">
        <v>Neiva - Huila</v>
      </c>
      <c r="N7" s="24" t="str">
        <v xml:space="preserve">Temporal de 1 año o mas </v>
      </c>
      <c r="O7" s="24" t="str">
        <v xml:space="preserve">Asistente Administrativa y Comercial </v>
      </c>
      <c r="P7" s="24" t="str">
        <v xml:space="preserve">Auxiliar, asistente , administrativo, asistente tecnico </v>
      </c>
      <c r="Q7" s="24" t="str">
        <v>Temporal  de 1 año o mas</v>
      </c>
      <c r="R7" s="24" t="str">
        <v xml:space="preserve">Area comercial y administrativa </v>
      </c>
      <c r="S7" s="24" t="str">
        <v xml:space="preserve">Temporal de 1 año o mas </v>
      </c>
      <c r="T7" s="24">
        <v>8</v>
      </c>
      <c r="U7" s="24" t="str">
        <v>Fijo</v>
      </c>
      <c r="V7" s="6">
        <v>6</v>
      </c>
      <c r="W7" s="6">
        <v>6</v>
      </c>
      <c r="X7" s="6">
        <v>3</v>
      </c>
      <c r="Y7" s="6">
        <v>2</v>
      </c>
      <c r="Z7" s="6">
        <v>2</v>
      </c>
      <c r="AA7" s="6">
        <v>2</v>
      </c>
      <c r="AB7" s="6">
        <v>0</v>
      </c>
      <c r="AC7" s="6">
        <v>1</v>
      </c>
      <c r="AD7" s="6">
        <v>3</v>
      </c>
      <c r="AE7" s="6">
        <v>2</v>
      </c>
      <c r="AF7" s="6">
        <v>2</v>
      </c>
      <c r="AG7" s="6">
        <v>1</v>
      </c>
      <c r="AH7" s="6">
        <v>3</v>
      </c>
      <c r="AI7" s="6">
        <v>3</v>
      </c>
      <c r="AJ7" s="6">
        <v>0</v>
      </c>
      <c r="AK7" s="6">
        <v>2</v>
      </c>
      <c r="AL7" s="6">
        <v>2</v>
      </c>
      <c r="AM7" s="6">
        <v>2</v>
      </c>
      <c r="AN7" s="6">
        <v>2</v>
      </c>
      <c r="AO7" s="6">
        <v>1</v>
      </c>
      <c r="AP7" s="6">
        <v>1</v>
      </c>
      <c r="AQ7" s="6">
        <v>0</v>
      </c>
      <c r="AR7" s="6">
        <v>3</v>
      </c>
      <c r="AS7" s="6">
        <v>3</v>
      </c>
      <c r="AT7" s="6">
        <v>2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7">
        <f t="shared" si="9"/>
        <v>11</v>
      </c>
      <c r="BB7" s="68">
        <f t="shared" si="10"/>
        <v>6</v>
      </c>
      <c r="BC7" s="68">
        <f t="shared" si="11"/>
        <v>3.2</v>
      </c>
      <c r="BD7" s="68">
        <f t="shared" si="12"/>
        <v>0.88888888888888884</v>
      </c>
      <c r="BE7" s="68">
        <f t="shared" si="13"/>
        <v>21.088888888888889</v>
      </c>
      <c r="BF7" s="71">
        <f t="shared" si="14"/>
        <v>34.481505704527287</v>
      </c>
    </row>
    <row r="8" spans="1:58">
      <c r="A8" s="24">
        <v>6</v>
      </c>
      <c r="B8" s="24" t="str">
        <v xml:space="preserve">juan Carlos Lopez Gutierrez </v>
      </c>
      <c r="C8" s="24">
        <v>7713088</v>
      </c>
      <c r="D8" s="24" t="str">
        <v>m</v>
      </c>
      <c r="E8" s="24">
        <v>1980</v>
      </c>
      <c r="F8" s="24" t="str">
        <v>Casado (a)</v>
      </c>
      <c r="G8" s="24" t="str">
        <v xml:space="preserve">TECNICO / TECNOLOGICO COMPLETO </v>
      </c>
      <c r="H8" s="24" t="str">
        <v xml:space="preserve">EMPLEADA </v>
      </c>
      <c r="I8" s="24" t="str">
        <v>Neiva - Huila</v>
      </c>
      <c r="J8" s="24">
        <v>2</v>
      </c>
      <c r="K8" s="24" t="str">
        <v>Propia</v>
      </c>
      <c r="L8" s="24">
        <v>2</v>
      </c>
      <c r="M8" s="24" t="str">
        <v>Neiva - Huila</v>
      </c>
      <c r="N8" s="24" t="str">
        <v xml:space="preserve">3 años </v>
      </c>
      <c r="O8" s="24" t="str">
        <v xml:space="preserve">Auxiliar de almacen  y conductor </v>
      </c>
      <c r="P8" s="24" t="str">
        <v xml:space="preserve">Operario Operador , ayudante, servicios generales </v>
      </c>
      <c r="Q8" s="24" t="str">
        <v xml:space="preserve">3 años </v>
      </c>
      <c r="R8" s="24" t="str">
        <v xml:space="preserve">Almacen </v>
      </c>
      <c r="S8" s="24" t="str">
        <v xml:space="preserve">Temporal de 1 año o mas </v>
      </c>
      <c r="T8" s="24">
        <v>8</v>
      </c>
      <c r="U8" s="24" t="str">
        <v>Fijo</v>
      </c>
      <c r="V8" s="6">
        <v>3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3</v>
      </c>
      <c r="AE8" s="6">
        <v>0</v>
      </c>
      <c r="AF8" s="6">
        <v>0</v>
      </c>
      <c r="AG8" s="6">
        <v>0</v>
      </c>
      <c r="AH8" s="6">
        <v>3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2</v>
      </c>
      <c r="AX8" s="6">
        <v>0</v>
      </c>
      <c r="AY8" s="6">
        <v>0</v>
      </c>
      <c r="AZ8" s="6">
        <v>0</v>
      </c>
      <c r="BA8" s="67">
        <f t="shared" si="9"/>
        <v>1.5</v>
      </c>
      <c r="BB8" s="68">
        <f t="shared" si="10"/>
        <v>2.25</v>
      </c>
      <c r="BC8" s="68">
        <f t="shared" si="11"/>
        <v>1</v>
      </c>
      <c r="BD8" s="68">
        <f t="shared" si="12"/>
        <v>0.22222222222222221</v>
      </c>
      <c r="BE8" s="68">
        <f t="shared" si="13"/>
        <v>4.9722222222222223</v>
      </c>
      <c r="BF8" s="71">
        <f t="shared" si="14"/>
        <v>8.129859748564785</v>
      </c>
    </row>
    <row r="9" spans="1:58">
      <c r="A9" s="24">
        <v>7</v>
      </c>
      <c r="B9" s="24" t="str">
        <v xml:space="preserve">Jorge Enrique Tovar Ortiz </v>
      </c>
      <c r="C9" s="24">
        <v>7690408</v>
      </c>
      <c r="D9" s="24" t="str">
        <v>m</v>
      </c>
      <c r="E9" s="24">
        <v>1971</v>
      </c>
      <c r="F9" s="24" t="str">
        <v>Casado (a)</v>
      </c>
      <c r="G9" s="24" t="str">
        <v xml:space="preserve">TECNICO / TECNOLOGICO COMPLETO </v>
      </c>
      <c r="H9" s="24" t="str">
        <v xml:space="preserve">TECNICO EN SERVICIOS FARMACEUTICOS </v>
      </c>
      <c r="I9" s="24" t="str">
        <v>Neiva - Huila</v>
      </c>
      <c r="J9" s="24">
        <v>2</v>
      </c>
      <c r="K9" s="24" t="str">
        <v>En arriendo</v>
      </c>
      <c r="L9" s="24">
        <v>2</v>
      </c>
      <c r="M9" s="24" t="str">
        <v>Neiva - Huila</v>
      </c>
      <c r="N9" s="24" t="str">
        <v xml:space="preserve">2 años </v>
      </c>
      <c r="O9" s="24" t="str">
        <v xml:space="preserve">Auxiliar de almacen </v>
      </c>
      <c r="P9" s="24" t="str">
        <v xml:space="preserve">Auxiliar, asistente , administrativo, asistente tecnico </v>
      </c>
      <c r="Q9" s="24" t="str">
        <v xml:space="preserve">2 años </v>
      </c>
      <c r="R9" s="24" t="str">
        <v xml:space="preserve">Almacen </v>
      </c>
      <c r="S9" s="24" t="str">
        <v>Termino Indefinido</v>
      </c>
      <c r="T9" s="24">
        <v>8</v>
      </c>
      <c r="U9" s="24" t="str">
        <v>Fijo</v>
      </c>
      <c r="V9" s="6">
        <v>3</v>
      </c>
      <c r="W9" s="6">
        <v>0</v>
      </c>
      <c r="X9" s="6">
        <v>0</v>
      </c>
      <c r="Y9" s="6">
        <v>2</v>
      </c>
      <c r="Z9" s="6">
        <v>2</v>
      </c>
      <c r="AA9" s="6">
        <v>0</v>
      </c>
      <c r="AB9" s="6">
        <v>0</v>
      </c>
      <c r="AC9" s="6">
        <v>0</v>
      </c>
      <c r="AD9" s="6">
        <v>3</v>
      </c>
      <c r="AE9" s="6">
        <v>0</v>
      </c>
      <c r="AF9" s="6">
        <v>2</v>
      </c>
      <c r="AG9" s="6">
        <v>0</v>
      </c>
      <c r="AH9" s="6">
        <v>3</v>
      </c>
      <c r="AI9" s="6">
        <v>0</v>
      </c>
      <c r="AJ9" s="6">
        <v>0</v>
      </c>
      <c r="AK9" s="6">
        <v>2</v>
      </c>
      <c r="AL9" s="6">
        <v>2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2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7">
        <f t="shared" si="9"/>
        <v>3.5</v>
      </c>
      <c r="BB9" s="68">
        <f t="shared" si="10"/>
        <v>3.75</v>
      </c>
      <c r="BC9" s="68">
        <f t="shared" si="11"/>
        <v>1.4</v>
      </c>
      <c r="BD9" s="68">
        <f t="shared" si="12"/>
        <v>0.22222222222222221</v>
      </c>
      <c r="BE9" s="68">
        <f t="shared" si="13"/>
        <v>8.8722222222222218</v>
      </c>
      <c r="BF9" s="71">
        <f t="shared" si="14"/>
        <v>14.506576556936269</v>
      </c>
    </row>
    <row r="10" spans="1:58">
      <c r="A10" s="24">
        <v>8</v>
      </c>
      <c r="B10" s="24" t="str">
        <v xml:space="preserve">Viviana Lozano </v>
      </c>
      <c r="C10" s="24">
        <v>1075233572</v>
      </c>
      <c r="D10" s="24" t="str">
        <v>f</v>
      </c>
      <c r="E10" s="24">
        <v>1989</v>
      </c>
      <c r="F10" s="24" t="str">
        <v>Soltero (a)</v>
      </c>
      <c r="G10" s="24" t="str">
        <v xml:space="preserve">tECNICO / TECNOLOGICO COMPLETO </v>
      </c>
      <c r="H10" s="24" t="str">
        <v xml:space="preserve">ALMACENISTA </v>
      </c>
      <c r="I10" s="24" t="str">
        <v>Neiva - Huila</v>
      </c>
      <c r="J10" s="24">
        <v>2</v>
      </c>
      <c r="K10" s="24" t="str">
        <v>Propia</v>
      </c>
      <c r="L10" s="24">
        <v>1</v>
      </c>
      <c r="M10" s="24" t="str">
        <v>Neiva - Huila</v>
      </c>
      <c r="N10" s="24" t="str">
        <v xml:space="preserve">Temporal de 1 año o mas </v>
      </c>
      <c r="O10" s="24" t="str">
        <v xml:space="preserve">Almacenista </v>
      </c>
      <c r="P10" s="24" t="str">
        <v xml:space="preserve">Auxiliar, asistente , administrativo, asistente tecnico </v>
      </c>
      <c r="Q10" s="24" t="str">
        <v>Mas de 1 año</v>
      </c>
      <c r="R10" s="24" t="str">
        <v xml:space="preserve">Almacen </v>
      </c>
      <c r="S10" s="24" t="str">
        <v xml:space="preserve">Temporal de 1 año o mas </v>
      </c>
      <c r="T10" s="24">
        <v>8</v>
      </c>
      <c r="U10" s="24" t="str">
        <v>Fijo</v>
      </c>
      <c r="V10" s="6">
        <v>3</v>
      </c>
      <c r="W10" s="6">
        <v>0</v>
      </c>
      <c r="X10" s="6">
        <v>3</v>
      </c>
      <c r="Y10" s="6">
        <v>2</v>
      </c>
      <c r="Z10" s="6">
        <v>2</v>
      </c>
      <c r="AA10" s="6">
        <v>0</v>
      </c>
      <c r="AB10" s="6">
        <v>0</v>
      </c>
      <c r="AC10" s="6">
        <v>0</v>
      </c>
      <c r="AD10" s="6">
        <v>2</v>
      </c>
      <c r="AE10" s="6">
        <v>0</v>
      </c>
      <c r="AF10" s="6">
        <v>2</v>
      </c>
      <c r="AG10" s="6">
        <v>0</v>
      </c>
      <c r="AH10" s="6">
        <v>3</v>
      </c>
      <c r="AI10" s="6">
        <v>3</v>
      </c>
      <c r="AJ10" s="6">
        <v>0</v>
      </c>
      <c r="AK10" s="6">
        <v>0</v>
      </c>
      <c r="AL10" s="6">
        <v>2</v>
      </c>
      <c r="AM10" s="6">
        <v>2</v>
      </c>
      <c r="AN10" s="6">
        <v>2</v>
      </c>
      <c r="AO10" s="6">
        <v>0</v>
      </c>
      <c r="AP10" s="6">
        <v>1</v>
      </c>
      <c r="AQ10" s="6">
        <v>0</v>
      </c>
      <c r="AR10" s="6">
        <v>0</v>
      </c>
      <c r="AS10" s="6">
        <v>3</v>
      </c>
      <c r="AT10" s="6">
        <v>2</v>
      </c>
      <c r="AU10" s="6">
        <v>0</v>
      </c>
      <c r="AV10" s="6">
        <v>0</v>
      </c>
      <c r="AW10" s="6">
        <v>2</v>
      </c>
      <c r="AX10" s="6">
        <v>0</v>
      </c>
      <c r="AY10" s="6">
        <v>0</v>
      </c>
      <c r="AZ10" s="6">
        <v>0</v>
      </c>
      <c r="BA10" s="67">
        <f t="shared" si="9"/>
        <v>5</v>
      </c>
      <c r="BB10" s="68">
        <f t="shared" si="10"/>
        <v>3</v>
      </c>
      <c r="BC10" s="68">
        <f t="shared" si="11"/>
        <v>2.6</v>
      </c>
      <c r="BD10" s="68">
        <f t="shared" si="12"/>
        <v>0.77777777777777779</v>
      </c>
      <c r="BE10" s="68">
        <f t="shared" si="13"/>
        <v>11.377777777777778</v>
      </c>
      <c r="BF10" s="71">
        <f t="shared" si="14"/>
        <v>18.60329917883875</v>
      </c>
    </row>
    <row r="11" spans="1:58">
      <c r="A11" s="24">
        <v>9</v>
      </c>
      <c r="B11" s="24" t="str">
        <v xml:space="preserve">Claudia Marithza Rincon </v>
      </c>
      <c r="C11" s="24">
        <v>1003827815</v>
      </c>
      <c r="D11" s="24" t="str">
        <v>f</v>
      </c>
      <c r="E11" s="24">
        <v>1988</v>
      </c>
      <c r="F11" s="24" t="str">
        <v>Soltero (a)</v>
      </c>
      <c r="G11" s="24" t="str">
        <v xml:space="preserve">BACHILLERATO COMPLETO </v>
      </c>
      <c r="H11" s="24" t="str">
        <v xml:space="preserve">EMPLEADA </v>
      </c>
      <c r="I11" s="24" t="str">
        <v>Neiva - Huila</v>
      </c>
      <c r="J11" s="24">
        <v>2</v>
      </c>
      <c r="K11" s="24" t="str">
        <v>En arriendo</v>
      </c>
      <c r="L11" s="24">
        <v>3</v>
      </c>
      <c r="M11" s="24" t="str">
        <v>Neiva - Huila</v>
      </c>
      <c r="N11" s="24" t="str">
        <v xml:space="preserve">2 años </v>
      </c>
      <c r="O11" s="24" t="str">
        <v xml:space="preserve">Auxiliar de servivios generales </v>
      </c>
      <c r="P11" s="24" t="str">
        <v xml:space="preserve">Operario Operador , ayudante, servicios generales </v>
      </c>
      <c r="Q11" s="24" t="str">
        <v xml:space="preserve">2 años </v>
      </c>
      <c r="R11" s="24" t="str">
        <v xml:space="preserve">Huila- aseo </v>
      </c>
      <c r="S11" s="24" t="str">
        <v xml:space="preserve">Temporal de 1 año o mas </v>
      </c>
      <c r="T11" s="24">
        <v>8</v>
      </c>
      <c r="U11" s="24" t="str">
        <v>Fijo</v>
      </c>
      <c r="V11" s="6">
        <v>3</v>
      </c>
      <c r="W11" s="6">
        <v>0</v>
      </c>
      <c r="X11" s="6">
        <v>0</v>
      </c>
      <c r="Y11" s="6">
        <v>2</v>
      </c>
      <c r="Z11" s="6">
        <v>0</v>
      </c>
      <c r="AA11" s="6">
        <v>0</v>
      </c>
      <c r="AB11" s="6">
        <v>1</v>
      </c>
      <c r="AC11" s="6">
        <v>0</v>
      </c>
      <c r="AD11" s="6">
        <v>3</v>
      </c>
      <c r="AE11" s="6">
        <v>0</v>
      </c>
      <c r="AF11" s="6">
        <v>0</v>
      </c>
      <c r="AG11" s="6">
        <v>1</v>
      </c>
      <c r="AH11" s="6">
        <v>0</v>
      </c>
      <c r="AI11" s="6">
        <v>0</v>
      </c>
      <c r="AJ11" s="6">
        <v>0</v>
      </c>
      <c r="AK11" s="6">
        <v>4</v>
      </c>
      <c r="AL11" s="6">
        <v>2</v>
      </c>
      <c r="AM11" s="6">
        <v>0</v>
      </c>
      <c r="AN11" s="6">
        <v>0</v>
      </c>
      <c r="AO11" s="6">
        <v>1</v>
      </c>
      <c r="AP11" s="6">
        <v>1</v>
      </c>
      <c r="AQ11" s="6">
        <v>0</v>
      </c>
      <c r="AR11" s="6">
        <v>3</v>
      </c>
      <c r="AS11" s="6">
        <v>3</v>
      </c>
      <c r="AT11" s="6">
        <v>2</v>
      </c>
      <c r="AU11" s="6">
        <v>0</v>
      </c>
      <c r="AV11" s="6">
        <v>2</v>
      </c>
      <c r="AW11" s="6">
        <v>2</v>
      </c>
      <c r="AX11" s="6">
        <v>0</v>
      </c>
      <c r="AY11" s="6">
        <v>0</v>
      </c>
      <c r="AZ11" s="6">
        <v>0</v>
      </c>
      <c r="BA11" s="67">
        <f t="shared" si="9"/>
        <v>3</v>
      </c>
      <c r="BB11" s="68">
        <f t="shared" si="10"/>
        <v>3</v>
      </c>
      <c r="BC11" s="68">
        <f t="shared" si="11"/>
        <v>1.6</v>
      </c>
      <c r="BD11" s="68">
        <f t="shared" si="12"/>
        <v>1.3333333333333333</v>
      </c>
      <c r="BE11" s="68">
        <f t="shared" si="13"/>
        <v>8.9333333333333336</v>
      </c>
      <c r="BF11" s="71">
        <f t="shared" si="14"/>
        <v>14.606496620885112</v>
      </c>
    </row>
    <row r="12" spans="1:58">
      <c r="A12" s="24">
        <v>10</v>
      </c>
      <c r="B12" s="24" t="str">
        <v xml:space="preserve">Hector Oswaldo </v>
      </c>
      <c r="C12" s="24">
        <v>12125388</v>
      </c>
      <c r="D12" s="24" t="str">
        <v>m</v>
      </c>
      <c r="E12" s="24">
        <v>1964</v>
      </c>
      <c r="F12" s="24" t="str">
        <v>Union Libre</v>
      </c>
      <c r="G12" s="24" t="str">
        <v xml:space="preserve">PROFESIONAL INCOMPLETO </v>
      </c>
      <c r="H12" s="24" t="str">
        <v xml:space="preserve">ASESOR COMERCIAL </v>
      </c>
      <c r="I12" s="24" t="str">
        <v>Neiva - Huila</v>
      </c>
      <c r="J12" s="24">
        <v>2</v>
      </c>
      <c r="K12" s="24" t="str">
        <v>En arriendo</v>
      </c>
      <c r="L12" s="24">
        <v>1</v>
      </c>
      <c r="M12" s="24" t="str">
        <v>Neiva - Huila</v>
      </c>
      <c r="N12" s="24" t="str">
        <v xml:space="preserve">Temporal de 1 año o mas </v>
      </c>
      <c r="O12" s="24" t="str">
        <v xml:space="preserve">Asesor Comercial </v>
      </c>
      <c r="P12" s="24" t="str">
        <v>Profesional, analista, tecnico, tecnologo</v>
      </c>
      <c r="Q12" s="24" t="str">
        <v xml:space="preserve">3 años </v>
      </c>
      <c r="R12" s="24" t="str">
        <v xml:space="preserve">Comercial </v>
      </c>
      <c r="S12" s="24" t="str">
        <v>Temporal de menos de 1 año</v>
      </c>
      <c r="T12" s="24">
        <v>8</v>
      </c>
      <c r="U12" s="24" t="str">
        <v>Fijo</v>
      </c>
      <c r="V12" s="6">
        <v>3</v>
      </c>
      <c r="W12" s="6">
        <v>0</v>
      </c>
      <c r="X12" s="6">
        <v>0</v>
      </c>
      <c r="Y12" s="6">
        <v>0</v>
      </c>
      <c r="Z12" s="6">
        <v>2</v>
      </c>
      <c r="AA12" s="6">
        <v>0</v>
      </c>
      <c r="AB12" s="6">
        <v>1</v>
      </c>
      <c r="AC12" s="6">
        <v>0</v>
      </c>
      <c r="AD12" s="6">
        <v>0</v>
      </c>
      <c r="AE12" s="6">
        <v>0</v>
      </c>
      <c r="AF12" s="6">
        <v>0</v>
      </c>
      <c r="AG12" s="6">
        <v>1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7">
        <f t="shared" si="9"/>
        <v>3</v>
      </c>
      <c r="BB12" s="68">
        <f t="shared" si="10"/>
        <v>0.75</v>
      </c>
      <c r="BC12" s="68">
        <f t="shared" si="11"/>
        <v>0</v>
      </c>
      <c r="BD12" s="68">
        <f t="shared" si="12"/>
        <v>0</v>
      </c>
      <c r="BE12" s="68">
        <f t="shared" si="13"/>
        <v>3.75</v>
      </c>
      <c r="BF12" s="71">
        <f t="shared" si="14"/>
        <v>6.1314584695879661</v>
      </c>
    </row>
    <row r="13" spans="1:58">
      <c r="A13" s="24">
        <v>11</v>
      </c>
      <c r="B13" s="24" t="str">
        <v>Juan Pablo Cordoba</v>
      </c>
      <c r="C13" s="24">
        <v>1075310963</v>
      </c>
      <c r="D13" s="24" t="str">
        <v>m</v>
      </c>
      <c r="E13" s="24">
        <v>1998</v>
      </c>
      <c r="F13" s="24" t="str">
        <v>Soltero (a)</v>
      </c>
      <c r="G13" s="24" t="str">
        <v xml:space="preserve">TECNICO / TECNOLOGICO COMPLETO </v>
      </c>
      <c r="H13" s="24" t="str">
        <v xml:space="preserve">AUXILIAR DE ALMACEN </v>
      </c>
      <c r="I13" s="24" t="str">
        <v>Neiva - Huila</v>
      </c>
      <c r="J13" s="24">
        <v>2</v>
      </c>
      <c r="K13" s="24" t="str">
        <v>Familiar</v>
      </c>
      <c r="L13" s="24">
        <v>1</v>
      </c>
      <c r="M13" s="24" t="str">
        <v>Neiva - Huila</v>
      </c>
      <c r="N13" s="24" t="str">
        <v xml:space="preserve">Temporal de 1 año o mas </v>
      </c>
      <c r="O13" s="24" t="str">
        <v xml:space="preserve">Auxiliar de almacen </v>
      </c>
      <c r="P13" s="24" t="str">
        <v xml:space="preserve">Auxiliar, asistente , administrativo, asistente tecnico </v>
      </c>
      <c r="Q13" s="24" t="str">
        <v>Menos de 1 año</v>
      </c>
      <c r="R13" s="24" t="str">
        <v xml:space="preserve">Almacen </v>
      </c>
      <c r="S13" s="24" t="str">
        <v xml:space="preserve">Temporal de 1 año o mas </v>
      </c>
      <c r="T13" s="24">
        <v>8</v>
      </c>
      <c r="U13" s="24" t="str">
        <v>Fijo</v>
      </c>
      <c r="V13" s="6">
        <v>0</v>
      </c>
      <c r="W13" s="6">
        <v>0</v>
      </c>
      <c r="X13" s="6">
        <v>0</v>
      </c>
      <c r="Y13" s="6">
        <v>2</v>
      </c>
      <c r="Z13" s="6">
        <v>0</v>
      </c>
      <c r="AA13" s="6">
        <v>0</v>
      </c>
      <c r="AB13" s="6">
        <v>0</v>
      </c>
      <c r="AC13" s="6">
        <v>0</v>
      </c>
      <c r="AD13" s="6">
        <v>3</v>
      </c>
      <c r="AE13" s="6">
        <v>0</v>
      </c>
      <c r="AF13" s="6">
        <v>4</v>
      </c>
      <c r="AG13" s="6">
        <v>1</v>
      </c>
      <c r="AH13" s="6">
        <v>6</v>
      </c>
      <c r="AI13" s="6">
        <v>6</v>
      </c>
      <c r="AJ13" s="6">
        <v>1</v>
      </c>
      <c r="AK13" s="6">
        <v>0</v>
      </c>
      <c r="AL13" s="6">
        <v>4</v>
      </c>
      <c r="AM13" s="6">
        <v>4</v>
      </c>
      <c r="AN13" s="6">
        <v>4</v>
      </c>
      <c r="AO13" s="6">
        <v>0</v>
      </c>
      <c r="AP13" s="6">
        <v>0</v>
      </c>
      <c r="AQ13" s="6">
        <v>1</v>
      </c>
      <c r="AR13" s="6">
        <v>0</v>
      </c>
      <c r="AS13" s="6">
        <v>2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</v>
      </c>
      <c r="BA13" s="67">
        <f t="shared" si="9"/>
        <v>1</v>
      </c>
      <c r="BB13" s="68">
        <f t="shared" si="10"/>
        <v>6</v>
      </c>
      <c r="BC13" s="68">
        <f t="shared" si="11"/>
        <v>5.2</v>
      </c>
      <c r="BD13" s="68">
        <f t="shared" si="12"/>
        <v>0.33333333333333331</v>
      </c>
      <c r="BE13" s="68">
        <f t="shared" si="13"/>
        <v>12.533333333333333</v>
      </c>
      <c r="BF13" s="71">
        <f t="shared" si="14"/>
        <v>20.492696751689561</v>
      </c>
    </row>
    <row r="14" spans="1:58">
      <c r="A14" s="24">
        <v>12</v>
      </c>
      <c r="B14" s="24" t="str">
        <v xml:space="preserve">Daniela Castro  Hernandez </v>
      </c>
      <c r="C14" s="24">
        <v>1007717112</v>
      </c>
      <c r="D14" s="24" t="str">
        <v>f</v>
      </c>
      <c r="E14" s="24">
        <v>2000</v>
      </c>
      <c r="F14" s="24" t="str">
        <v>Union Libre</v>
      </c>
      <c r="G14" s="24" t="str">
        <v xml:space="preserve">PROFESIONAL INCOMPLETO </v>
      </c>
      <c r="H14" s="24" t="str">
        <v xml:space="preserve">TECNICO ADMINISTRATIVA </v>
      </c>
      <c r="I14" s="24" t="str">
        <v>Neiva - Huila</v>
      </c>
      <c r="J14" s="24">
        <v>3</v>
      </c>
      <c r="K14" s="24" t="str">
        <v>En arriendo</v>
      </c>
      <c r="L14" s="24">
        <v>0</v>
      </c>
      <c r="M14" s="24" t="str">
        <v>Neiva - Huila</v>
      </c>
      <c r="N14" s="24" t="str">
        <v xml:space="preserve">Temporal de 1 año o mas </v>
      </c>
      <c r="O14" s="24" t="str">
        <v xml:space="preserve">Asistente Administrativa y Comercial </v>
      </c>
      <c r="P14" s="24" t="str">
        <v xml:space="preserve">Auxiliar, asistente , administrativo, asistente tecnico </v>
      </c>
      <c r="Q14" s="24" t="str">
        <v xml:space="preserve">1 año </v>
      </c>
      <c r="R14" s="24" t="str">
        <v xml:space="preserve">Comercial </v>
      </c>
      <c r="S14" s="24" t="str">
        <v xml:space="preserve">Temporal de 1 año o mas </v>
      </c>
      <c r="T14" s="24">
        <v>8</v>
      </c>
      <c r="U14" s="24" t="str">
        <v>Fijo</v>
      </c>
      <c r="V14" s="6">
        <v>3</v>
      </c>
      <c r="W14" s="6">
        <v>0</v>
      </c>
      <c r="X14" s="6">
        <v>0</v>
      </c>
      <c r="Y14" s="6">
        <v>0</v>
      </c>
      <c r="Z14" s="6">
        <v>2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7">
        <f t="shared" si="9"/>
        <v>2.5</v>
      </c>
      <c r="BB14" s="68">
        <f t="shared" si="10"/>
        <v>0</v>
      </c>
      <c r="BC14" s="68">
        <f t="shared" si="11"/>
        <v>0</v>
      </c>
      <c r="BD14" s="68">
        <f t="shared" si="12"/>
        <v>0</v>
      </c>
      <c r="BE14" s="68">
        <f t="shared" si="13"/>
        <v>2.5</v>
      </c>
      <c r="BF14" s="71">
        <f t="shared" si="14"/>
        <v>4.0876389797253108</v>
      </c>
    </row>
    <row r="15" spans="1:58">
      <c r="A15" s="24">
        <v>13</v>
      </c>
      <c r="B15" s="24" t="str">
        <v xml:space="preserve">Diva Cristina Suarez </v>
      </c>
      <c r="C15" s="24">
        <v>1075222642</v>
      </c>
      <c r="D15" s="24" t="str">
        <v>f</v>
      </c>
      <c r="E15" s="24">
        <v>1987</v>
      </c>
      <c r="F15" s="24" t="str">
        <v>Divorciado (a)</v>
      </c>
      <c r="G15" s="24" t="str">
        <v xml:space="preserve">TECNICO / TECNOLOGICO COMPLETO </v>
      </c>
      <c r="H15" s="24" t="str">
        <v xml:space="preserve">TECNICO ADMINISTRATIVA </v>
      </c>
      <c r="I15" s="24" t="str">
        <v>Neiva - Huila</v>
      </c>
      <c r="J15" s="24">
        <v>2</v>
      </c>
      <c r="K15" s="24" t="str">
        <v>Propia</v>
      </c>
      <c r="L15" s="24">
        <v>2</v>
      </c>
      <c r="M15" s="24" t="str">
        <v>Neiva - Huila</v>
      </c>
      <c r="N15" s="24" t="str">
        <v xml:space="preserve">Temporal de 1 año o mas </v>
      </c>
      <c r="O15" s="24" t="str">
        <v xml:space="preserve">Ventas- comercial </v>
      </c>
      <c r="P15" s="24" t="str">
        <v xml:space="preserve">Auxiliar, asistente , administrativo, asistente tecnico </v>
      </c>
      <c r="Q15" s="24" t="str">
        <v xml:space="preserve">1 año </v>
      </c>
      <c r="R15" s="24" t="str">
        <v xml:space="preserve">Comercial </v>
      </c>
      <c r="S15" s="24" t="str">
        <v xml:space="preserve">Temporal de 1 año o mas </v>
      </c>
      <c r="T15" s="24">
        <v>8</v>
      </c>
      <c r="U15" s="24" t="str">
        <v>Fijo</v>
      </c>
      <c r="V15" s="6">
        <v>3</v>
      </c>
      <c r="W15" s="6">
        <v>3</v>
      </c>
      <c r="X15" s="6">
        <v>0</v>
      </c>
      <c r="Y15" s="6">
        <v>2</v>
      </c>
      <c r="Z15" s="6">
        <v>2</v>
      </c>
      <c r="AA15" s="6">
        <v>0</v>
      </c>
      <c r="AB15" s="6">
        <v>1</v>
      </c>
      <c r="AC15" s="6">
        <v>0</v>
      </c>
      <c r="AD15" s="6">
        <v>0</v>
      </c>
      <c r="AE15" s="6">
        <v>0</v>
      </c>
      <c r="AF15" s="6">
        <v>2</v>
      </c>
      <c r="AG15" s="6">
        <v>0</v>
      </c>
      <c r="AH15" s="6">
        <v>0</v>
      </c>
      <c r="AI15" s="6">
        <v>3</v>
      </c>
      <c r="AJ15" s="6">
        <v>0</v>
      </c>
      <c r="AK15" s="6">
        <v>0</v>
      </c>
      <c r="AL15" s="6">
        <v>2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3</v>
      </c>
      <c r="AS15" s="6">
        <v>3</v>
      </c>
      <c r="AT15" s="6">
        <v>2</v>
      </c>
      <c r="AU15" s="6">
        <v>0</v>
      </c>
      <c r="AV15" s="6">
        <v>0</v>
      </c>
      <c r="AW15" s="6">
        <v>0</v>
      </c>
      <c r="AX15" s="6">
        <v>0</v>
      </c>
      <c r="AY15" s="6">
        <v>1</v>
      </c>
      <c r="AZ15" s="6">
        <v>1</v>
      </c>
      <c r="BA15" s="67">
        <f t="shared" si="9"/>
        <v>5.5</v>
      </c>
      <c r="BB15" s="68">
        <f t="shared" si="10"/>
        <v>1.5</v>
      </c>
      <c r="BC15" s="68">
        <f t="shared" si="11"/>
        <v>1</v>
      </c>
      <c r="BD15" s="68">
        <f t="shared" si="12"/>
        <v>1.1111111111111112</v>
      </c>
      <c r="BE15" s="68">
        <f t="shared" si="13"/>
        <v>9.1111111111111107</v>
      </c>
      <c r="BF15" s="71">
        <f t="shared" si="14"/>
        <v>14.897173170554465</v>
      </c>
    </row>
    <row r="16" spans="1:58">
      <c r="A16" s="24">
        <v>14</v>
      </c>
      <c r="B16" s="24" t="str">
        <v xml:space="preserve">Jesus Andres Sanchez </v>
      </c>
      <c r="C16" s="24">
        <v>88031940</v>
      </c>
      <c r="D16" s="24" t="str">
        <v>m</v>
      </c>
      <c r="E16" s="24">
        <v>1982</v>
      </c>
      <c r="F16" s="24" t="str">
        <v>Casado (a)</v>
      </c>
      <c r="G16" s="24" t="str">
        <v xml:space="preserve">POSGRADO COMPLETO </v>
      </c>
      <c r="H16" s="24" t="str">
        <v xml:space="preserve">BACTERIOLOGO </v>
      </c>
      <c r="I16" s="24" t="str">
        <v>Neiva - Huila</v>
      </c>
      <c r="J16" s="24">
        <v>3</v>
      </c>
      <c r="K16" s="24" t="str">
        <v>Familiar</v>
      </c>
      <c r="L16" s="24">
        <v>1</v>
      </c>
      <c r="M16" s="24" t="str">
        <v>Neiva - Huila</v>
      </c>
      <c r="N16" s="24" t="str">
        <v xml:space="preserve">8 años </v>
      </c>
      <c r="O16" s="24" t="str">
        <v xml:space="preserve">Asesor comercial - Técnico Cientifico </v>
      </c>
      <c r="P16" s="24" t="str">
        <v>Profesional, analista, técnico, tecnólogo</v>
      </c>
      <c r="Q16" s="24" t="str">
        <v>8 años</v>
      </c>
      <c r="R16" s="24" t="str">
        <v xml:space="preserve">Comercial </v>
      </c>
      <c r="S16" s="24" t="str">
        <v>Termino Indefinido</v>
      </c>
      <c r="T16" s="24">
        <v>8</v>
      </c>
      <c r="U16" s="24" t="str">
        <v>Fijo</v>
      </c>
      <c r="V16" s="6">
        <v>3</v>
      </c>
      <c r="W16" s="6">
        <v>3</v>
      </c>
      <c r="X16" s="6">
        <v>0</v>
      </c>
      <c r="Y16" s="6">
        <v>2</v>
      </c>
      <c r="Z16" s="6">
        <v>0</v>
      </c>
      <c r="AA16" s="6">
        <v>2</v>
      </c>
      <c r="AB16" s="6">
        <v>0</v>
      </c>
      <c r="AC16" s="6">
        <v>0</v>
      </c>
      <c r="AD16" s="6">
        <v>3</v>
      </c>
      <c r="AE16" s="6">
        <v>0</v>
      </c>
      <c r="AF16" s="6">
        <v>0</v>
      </c>
      <c r="AG16" s="6">
        <v>0</v>
      </c>
      <c r="AH16" s="6">
        <v>3</v>
      </c>
      <c r="AI16" s="6">
        <v>3</v>
      </c>
      <c r="AJ16" s="6">
        <v>0</v>
      </c>
      <c r="AK16" s="6">
        <v>0</v>
      </c>
      <c r="AL16" s="6">
        <v>2</v>
      </c>
      <c r="AM16" s="6">
        <v>0</v>
      </c>
      <c r="AN16" s="6">
        <v>0</v>
      </c>
      <c r="AO16" s="6">
        <v>0</v>
      </c>
      <c r="AP16" s="6">
        <v>0</v>
      </c>
      <c r="AQ16" s="6">
        <v>1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2</v>
      </c>
      <c r="AX16" s="6">
        <v>0</v>
      </c>
      <c r="AY16" s="6">
        <v>0</v>
      </c>
      <c r="AZ16" s="6">
        <v>0</v>
      </c>
      <c r="BA16" s="67">
        <f t="shared" si="9"/>
        <v>5</v>
      </c>
      <c r="BB16" s="68">
        <f t="shared" si="10"/>
        <v>2.25</v>
      </c>
      <c r="BC16" s="68">
        <f t="shared" si="11"/>
        <v>1.8</v>
      </c>
      <c r="BD16" s="68">
        <f t="shared" si="12"/>
        <v>0.22222222222222221</v>
      </c>
      <c r="BE16" s="68">
        <f t="shared" si="13"/>
        <v>9.2722222222222221</v>
      </c>
      <c r="BF16" s="71">
        <f t="shared" si="14"/>
        <v>15.160598793692321</v>
      </c>
    </row>
    <row r="17" spans="1:58">
      <c r="A17" s="24">
        <v>15</v>
      </c>
      <c r="B17" s="24" t="str">
        <v xml:space="preserve">Leonardo Penagos Cardozo </v>
      </c>
      <c r="C17" s="24">
        <v>1075233459</v>
      </c>
      <c r="D17" s="24" t="str">
        <v>m</v>
      </c>
      <c r="E17" s="24">
        <v>1988</v>
      </c>
      <c r="F17" s="24" t="str">
        <v>Union Libre</v>
      </c>
      <c r="G17" s="24" t="str">
        <v xml:space="preserve">PROFESIONAL COMPLETO </v>
      </c>
      <c r="H17" s="24" t="str">
        <v xml:space="preserve">INGENIERO ELECTRONICO </v>
      </c>
      <c r="I17" s="24" t="str">
        <v>Neiva - Huila</v>
      </c>
      <c r="J17" s="24">
        <v>2</v>
      </c>
      <c r="K17" s="24" t="str">
        <v>Familiar</v>
      </c>
      <c r="L17" s="24">
        <v>3</v>
      </c>
      <c r="M17" s="24" t="str">
        <v>Neiva - Huila</v>
      </c>
      <c r="N17" s="24" t="str">
        <v xml:space="preserve">2 años </v>
      </c>
      <c r="O17" s="24" t="str">
        <v xml:space="preserve">ingeniero de mantenimiento  biomedico </v>
      </c>
      <c r="P17" s="24" t="str">
        <v>Profesional, analista, técnico, tecnólogo</v>
      </c>
      <c r="Q17" s="24" t="str">
        <v xml:space="preserve">2 años </v>
      </c>
      <c r="R17" s="24" t="str">
        <v xml:space="preserve">ingenieria </v>
      </c>
      <c r="S17" s="24" t="str">
        <v xml:space="preserve">Temporal de 1 año o mas </v>
      </c>
      <c r="T17" s="24">
        <v>8</v>
      </c>
      <c r="U17" s="24" t="str">
        <v>Fijo</v>
      </c>
      <c r="V17" s="6">
        <v>6</v>
      </c>
      <c r="W17" s="6">
        <v>3</v>
      </c>
      <c r="X17" s="6">
        <v>3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3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7">
        <f t="shared" si="9"/>
        <v>6</v>
      </c>
      <c r="BB17" s="68">
        <f t="shared" si="10"/>
        <v>2.25</v>
      </c>
      <c r="BC17" s="68">
        <f t="shared" si="11"/>
        <v>0</v>
      </c>
      <c r="BD17" s="68">
        <f t="shared" si="12"/>
        <v>0</v>
      </c>
      <c r="BE17" s="68">
        <f t="shared" si="13"/>
        <v>8.25</v>
      </c>
      <c r="BF17" s="71">
        <f t="shared" si="14"/>
        <v>13.489208633093524</v>
      </c>
    </row>
    <row r="18" spans="1:58">
      <c r="A18" s="24">
        <v>16</v>
      </c>
      <c r="B18" s="24">
        <v>0</v>
      </c>
      <c r="C18" s="24">
        <v>0</v>
      </c>
      <c r="D18" s="24" t="str">
        <v>m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96">
        <v>0</v>
      </c>
      <c r="V18" s="6">
        <v>6</v>
      </c>
      <c r="W18" s="6">
        <v>3</v>
      </c>
      <c r="X18" s="6">
        <v>0</v>
      </c>
      <c r="Y18" s="6">
        <v>2</v>
      </c>
      <c r="Z18" s="6">
        <v>2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3</v>
      </c>
      <c r="AS18" s="6">
        <v>0</v>
      </c>
      <c r="AT18" s="6">
        <v>2</v>
      </c>
      <c r="AU18" s="6">
        <v>0</v>
      </c>
      <c r="AV18" s="6">
        <v>0</v>
      </c>
      <c r="AW18" s="6">
        <v>2</v>
      </c>
      <c r="AX18" s="6">
        <v>0</v>
      </c>
      <c r="AY18" s="6">
        <v>0</v>
      </c>
      <c r="AZ18" s="6">
        <v>0</v>
      </c>
      <c r="BA18" s="67">
        <f t="shared" si="9"/>
        <v>6.5</v>
      </c>
      <c r="BB18" s="68">
        <f t="shared" si="10"/>
        <v>0</v>
      </c>
      <c r="BC18" s="68">
        <f t="shared" si="11"/>
        <v>0.6</v>
      </c>
      <c r="BD18" s="68">
        <f t="shared" si="12"/>
        <v>0.77777777777777779</v>
      </c>
      <c r="BE18" s="68">
        <f t="shared" si="13"/>
        <v>7.8777777777777773</v>
      </c>
      <c r="BF18" s="71">
        <f t="shared" si="14"/>
        <v>12.880604607223312</v>
      </c>
    </row>
    <row r="19" spans="1:58">
      <c r="A19" s="96">
        <v>17</v>
      </c>
      <c r="B19" s="24">
        <v>0</v>
      </c>
      <c r="C19" s="24">
        <v>0</v>
      </c>
      <c r="D19" s="24" t="str">
        <v>f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6">
        <v>0</v>
      </c>
      <c r="W19" s="6">
        <v>0</v>
      </c>
      <c r="X19" s="6">
        <v>0</v>
      </c>
      <c r="Y19" s="6">
        <v>2</v>
      </c>
      <c r="Z19" s="6">
        <v>0</v>
      </c>
      <c r="AA19" s="6">
        <v>0</v>
      </c>
      <c r="AB19" s="6">
        <v>1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2</v>
      </c>
      <c r="AX19" s="6">
        <v>0</v>
      </c>
      <c r="AY19" s="6">
        <v>0</v>
      </c>
      <c r="AZ19" s="6">
        <v>0</v>
      </c>
      <c r="BA19" s="67">
        <f t="shared" si="9"/>
        <v>1.5</v>
      </c>
      <c r="BB19" s="68">
        <f t="shared" si="10"/>
        <v>0</v>
      </c>
      <c r="BC19" s="68">
        <f t="shared" si="11"/>
        <v>0</v>
      </c>
      <c r="BD19" s="68">
        <f t="shared" si="12"/>
        <v>0.22222222222222221</v>
      </c>
      <c r="BE19" s="68">
        <f t="shared" si="13"/>
        <v>1.7222222222222223</v>
      </c>
      <c r="BF19" s="71">
        <f t="shared" si="14"/>
        <v>2.8159290749218808</v>
      </c>
    </row>
    <row r="20" spans="1:58">
      <c r="A20" s="24">
        <v>18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7" t="e">
        <f t="shared" si="9"/>
        <v>#DIV/0!</v>
      </c>
      <c r="BB20" s="68" t="e">
        <f t="shared" si="10"/>
        <v>#DIV/0!</v>
      </c>
      <c r="BC20" s="68" t="e">
        <f t="shared" si="11"/>
        <v>#DIV/0!</v>
      </c>
      <c r="BD20" s="68" t="e">
        <f t="shared" si="12"/>
        <v>#DIV/0!</v>
      </c>
      <c r="BE20" s="68" t="e">
        <f t="shared" si="13"/>
        <v>#DIV/0!</v>
      </c>
      <c r="BF20" s="71" t="e">
        <f t="shared" si="14"/>
        <v>#DIV/0!</v>
      </c>
    </row>
    <row r="21" spans="1:58">
      <c r="A21" s="24">
        <v>19</v>
      </c>
      <c r="B21" s="24">
        <v>0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7" t="e">
        <f t="shared" si="9"/>
        <v>#DIV/0!</v>
      </c>
      <c r="BB21" s="68" t="e">
        <f t="shared" si="10"/>
        <v>#DIV/0!</v>
      </c>
      <c r="BC21" s="68" t="e">
        <f t="shared" si="11"/>
        <v>#DIV/0!</v>
      </c>
      <c r="BD21" s="68" t="e">
        <f t="shared" si="12"/>
        <v>#DIV/0!</v>
      </c>
      <c r="BE21" s="68" t="e">
        <f t="shared" si="13"/>
        <v>#DIV/0!</v>
      </c>
      <c r="BF21" s="71" t="e">
        <f t="shared" si="14"/>
        <v>#DIV/0!</v>
      </c>
    </row>
    <row r="22" spans="1:58">
      <c r="A22" s="24">
        <v>20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7" t="e">
        <f t="shared" si="9"/>
        <v>#DIV/0!</v>
      </c>
      <c r="BB22" s="68" t="e">
        <f t="shared" si="10"/>
        <v>#DIV/0!</v>
      </c>
      <c r="BC22" s="68" t="e">
        <f t="shared" si="11"/>
        <v>#DIV/0!</v>
      </c>
      <c r="BD22" s="68" t="e">
        <f t="shared" si="12"/>
        <v>#DIV/0!</v>
      </c>
      <c r="BE22" s="68" t="e">
        <f t="shared" si="13"/>
        <v>#DIV/0!</v>
      </c>
      <c r="BF22" s="71" t="e">
        <f t="shared" si="14"/>
        <v>#DIV/0!</v>
      </c>
    </row>
    <row r="23" spans="1:58">
      <c r="A23" s="24">
        <v>21</v>
      </c>
      <c r="B23" s="24">
        <v>0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7" t="e">
        <f t="shared" si="9"/>
        <v>#DIV/0!</v>
      </c>
      <c r="BB23" s="68" t="e">
        <f t="shared" si="10"/>
        <v>#DIV/0!</v>
      </c>
      <c r="BC23" s="68" t="e">
        <f t="shared" si="11"/>
        <v>#DIV/0!</v>
      </c>
      <c r="BD23" s="68" t="e">
        <f t="shared" si="12"/>
        <v>#DIV/0!</v>
      </c>
      <c r="BE23" s="68" t="e">
        <f t="shared" si="13"/>
        <v>#DIV/0!</v>
      </c>
      <c r="BF23" s="71" t="e">
        <f t="shared" si="14"/>
        <v>#DIV/0!</v>
      </c>
    </row>
    <row r="24" spans="1:58">
      <c r="A24" s="24">
        <v>22</v>
      </c>
      <c r="B24" s="24">
        <v>0</v>
      </c>
      <c r="C24" s="24">
        <v>0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7" t="e">
        <f t="shared" si="9"/>
        <v>#DIV/0!</v>
      </c>
      <c r="BB24" s="68" t="e">
        <f t="shared" si="10"/>
        <v>#DIV/0!</v>
      </c>
      <c r="BC24" s="68" t="e">
        <f t="shared" si="11"/>
        <v>#DIV/0!</v>
      </c>
      <c r="BD24" s="68" t="e">
        <f t="shared" si="12"/>
        <v>#DIV/0!</v>
      </c>
      <c r="BE24" s="68" t="e">
        <f t="shared" si="13"/>
        <v>#DIV/0!</v>
      </c>
      <c r="BF24" s="71" t="e">
        <f t="shared" si="14"/>
        <v>#DIV/0!</v>
      </c>
    </row>
    <row r="25" spans="1:58">
      <c r="A25" s="24">
        <v>23</v>
      </c>
      <c r="B25" s="24">
        <v>0</v>
      </c>
      <c r="C25" s="24">
        <v>0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7" t="e">
        <f t="shared" si="9"/>
        <v>#DIV/0!</v>
      </c>
      <c r="BB25" s="68" t="e">
        <f t="shared" si="10"/>
        <v>#DIV/0!</v>
      </c>
      <c r="BC25" s="68" t="e">
        <f t="shared" si="11"/>
        <v>#DIV/0!</v>
      </c>
      <c r="BD25" s="68" t="e">
        <f t="shared" si="12"/>
        <v>#DIV/0!</v>
      </c>
      <c r="BE25" s="68" t="e">
        <f t="shared" si="13"/>
        <v>#DIV/0!</v>
      </c>
      <c r="BF25" s="71" t="e">
        <f t="shared" si="14"/>
        <v>#DIV/0!</v>
      </c>
    </row>
    <row r="26" spans="1:58">
      <c r="A26" s="24">
        <v>24</v>
      </c>
      <c r="B26" s="24">
        <v>0</v>
      </c>
      <c r="C26" s="24">
        <v>0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7" t="e">
        <f t="shared" si="9"/>
        <v>#DIV/0!</v>
      </c>
      <c r="BB26" s="68" t="e">
        <f t="shared" si="10"/>
        <v>#DIV/0!</v>
      </c>
      <c r="BC26" s="68" t="e">
        <f t="shared" si="11"/>
        <v>#DIV/0!</v>
      </c>
      <c r="BD26" s="68" t="e">
        <f t="shared" si="12"/>
        <v>#DIV/0!</v>
      </c>
      <c r="BE26" s="68" t="e">
        <f t="shared" si="13"/>
        <v>#DIV/0!</v>
      </c>
      <c r="BF26" s="71" t="e">
        <f t="shared" si="14"/>
        <v>#DIV/0!</v>
      </c>
    </row>
    <row r="27" spans="1:58">
      <c r="A27" s="24">
        <v>25</v>
      </c>
      <c r="B27" s="24">
        <v>0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7" t="e">
        <f t="shared" si="9"/>
        <v>#DIV/0!</v>
      </c>
      <c r="BB27" s="68" t="e">
        <f t="shared" si="10"/>
        <v>#DIV/0!</v>
      </c>
      <c r="BC27" s="68" t="e">
        <f t="shared" si="11"/>
        <v>#DIV/0!</v>
      </c>
      <c r="BD27" s="68" t="e">
        <f t="shared" si="12"/>
        <v>#DIV/0!</v>
      </c>
      <c r="BE27" s="68" t="e">
        <f t="shared" si="13"/>
        <v>#DIV/0!</v>
      </c>
      <c r="BF27" s="71" t="e">
        <f t="shared" si="14"/>
        <v>#DIV/0!</v>
      </c>
    </row>
    <row r="28" spans="1:58">
      <c r="A28" s="24">
        <v>26</v>
      </c>
      <c r="B28" s="24">
        <v>0</v>
      </c>
      <c r="C28" s="24">
        <v>0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7" t="e">
        <f t="shared" si="9"/>
        <v>#DIV/0!</v>
      </c>
      <c r="BB28" s="68" t="e">
        <f t="shared" si="10"/>
        <v>#DIV/0!</v>
      </c>
      <c r="BC28" s="68" t="e">
        <f t="shared" si="11"/>
        <v>#DIV/0!</v>
      </c>
      <c r="BD28" s="68" t="e">
        <f t="shared" si="12"/>
        <v>#DIV/0!</v>
      </c>
      <c r="BE28" s="68" t="e">
        <f t="shared" si="13"/>
        <v>#DIV/0!</v>
      </c>
      <c r="BF28" s="71" t="e">
        <f t="shared" si="14"/>
        <v>#DIV/0!</v>
      </c>
    </row>
    <row r="29" spans="1:58">
      <c r="A29" s="24">
        <v>27</v>
      </c>
      <c r="B29" s="24">
        <v>0</v>
      </c>
      <c r="C29" s="24">
        <v>0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7" t="e">
        <f t="shared" si="9"/>
        <v>#DIV/0!</v>
      </c>
      <c r="BB29" s="68" t="e">
        <f t="shared" si="10"/>
        <v>#DIV/0!</v>
      </c>
      <c r="BC29" s="68" t="e">
        <f t="shared" si="11"/>
        <v>#DIV/0!</v>
      </c>
      <c r="BD29" s="68" t="e">
        <f t="shared" si="12"/>
        <v>#DIV/0!</v>
      </c>
      <c r="BE29" s="68" t="e">
        <f t="shared" si="13"/>
        <v>#DIV/0!</v>
      </c>
      <c r="BF29" s="71" t="e">
        <f t="shared" si="14"/>
        <v>#DIV/0!</v>
      </c>
    </row>
    <row r="30" spans="1:58">
      <c r="A30" s="24">
        <v>28</v>
      </c>
      <c r="B30" s="24">
        <v>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7" t="e">
        <f t="shared" si="9"/>
        <v>#DIV/0!</v>
      </c>
      <c r="BB30" s="68" t="e">
        <f t="shared" si="10"/>
        <v>#DIV/0!</v>
      </c>
      <c r="BC30" s="68" t="e">
        <f t="shared" si="11"/>
        <v>#DIV/0!</v>
      </c>
      <c r="BD30" s="68" t="e">
        <f t="shared" si="12"/>
        <v>#DIV/0!</v>
      </c>
      <c r="BE30" s="68" t="e">
        <f t="shared" si="13"/>
        <v>#DIV/0!</v>
      </c>
      <c r="BF30" s="71" t="e">
        <f t="shared" si="14"/>
        <v>#DIV/0!</v>
      </c>
    </row>
    <row r="31" spans="1:58">
      <c r="A31" s="24">
        <v>29</v>
      </c>
      <c r="B31" s="24">
        <v>0</v>
      </c>
      <c r="C31" s="24">
        <v>0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7" t="e">
        <f t="shared" si="9"/>
        <v>#DIV/0!</v>
      </c>
      <c r="BB31" s="68" t="e">
        <f t="shared" si="10"/>
        <v>#DIV/0!</v>
      </c>
      <c r="BC31" s="68" t="e">
        <f t="shared" si="11"/>
        <v>#DIV/0!</v>
      </c>
      <c r="BD31" s="68" t="e">
        <f t="shared" si="12"/>
        <v>#DIV/0!</v>
      </c>
      <c r="BE31" s="68" t="e">
        <f t="shared" si="13"/>
        <v>#DIV/0!</v>
      </c>
      <c r="BF31" s="71" t="e">
        <f t="shared" si="14"/>
        <v>#DIV/0!</v>
      </c>
    </row>
    <row r="32" spans="1:58">
      <c r="A32" s="24">
        <v>30</v>
      </c>
      <c r="B32" s="24">
        <v>0</v>
      </c>
      <c r="C32" s="24">
        <v>0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7" t="e">
        <f t="shared" si="9"/>
        <v>#DIV/0!</v>
      </c>
      <c r="BB32" s="68" t="e">
        <f t="shared" si="10"/>
        <v>#DIV/0!</v>
      </c>
      <c r="BC32" s="68" t="e">
        <f t="shared" si="11"/>
        <v>#DIV/0!</v>
      </c>
      <c r="BD32" s="68" t="e">
        <f t="shared" si="12"/>
        <v>#DIV/0!</v>
      </c>
      <c r="BE32" s="68" t="e">
        <f t="shared" si="13"/>
        <v>#DIV/0!</v>
      </c>
      <c r="BF32" s="71" t="e">
        <f t="shared" si="14"/>
        <v>#DIV/0!</v>
      </c>
    </row>
    <row r="33" spans="1:58">
      <c r="A33" s="24">
        <v>31</v>
      </c>
      <c r="B33" s="24">
        <v>0</v>
      </c>
      <c r="C33" s="24">
        <v>0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7" t="e">
        <f t="shared" si="9"/>
        <v>#DIV/0!</v>
      </c>
      <c r="BB33" s="68" t="e">
        <f t="shared" si="10"/>
        <v>#DIV/0!</v>
      </c>
      <c r="BC33" s="68" t="e">
        <f t="shared" si="11"/>
        <v>#DIV/0!</v>
      </c>
      <c r="BD33" s="68" t="e">
        <f t="shared" si="12"/>
        <v>#DIV/0!</v>
      </c>
      <c r="BE33" s="68" t="e">
        <f t="shared" si="13"/>
        <v>#DIV/0!</v>
      </c>
      <c r="BF33" s="71" t="e">
        <f t="shared" si="14"/>
        <v>#DIV/0!</v>
      </c>
    </row>
    <row r="34" spans="1:58">
      <c r="A34" s="24">
        <v>32</v>
      </c>
      <c r="B34" s="24">
        <v>0</v>
      </c>
      <c r="C34" s="24">
        <v>0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7" t="e">
        <f t="shared" si="9"/>
        <v>#DIV/0!</v>
      </c>
      <c r="BB34" s="68" t="e">
        <f t="shared" si="10"/>
        <v>#DIV/0!</v>
      </c>
      <c r="BC34" s="68" t="e">
        <f t="shared" si="11"/>
        <v>#DIV/0!</v>
      </c>
      <c r="BD34" s="68" t="e">
        <f t="shared" si="12"/>
        <v>#DIV/0!</v>
      </c>
      <c r="BE34" s="68" t="e">
        <f t="shared" si="13"/>
        <v>#DIV/0!</v>
      </c>
      <c r="BF34" s="71" t="e">
        <f t="shared" si="14"/>
        <v>#DIV/0!</v>
      </c>
    </row>
    <row r="35" spans="1:58">
      <c r="A35" s="24">
        <v>33</v>
      </c>
      <c r="B35" s="24">
        <v>0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7" t="e">
        <f t="shared" si="9"/>
        <v>#DIV/0!</v>
      </c>
      <c r="BB35" s="68" t="e">
        <f t="shared" si="10"/>
        <v>#DIV/0!</v>
      </c>
      <c r="BC35" s="68" t="e">
        <f t="shared" si="11"/>
        <v>#DIV/0!</v>
      </c>
      <c r="BD35" s="68" t="e">
        <f t="shared" si="12"/>
        <v>#DIV/0!</v>
      </c>
      <c r="BE35" s="68" t="e">
        <f t="shared" si="13"/>
        <v>#DIV/0!</v>
      </c>
      <c r="BF35" s="71" t="e">
        <f t="shared" si="14"/>
        <v>#DIV/0!</v>
      </c>
    </row>
    <row r="36" spans="1:58">
      <c r="A36" s="24">
        <v>34</v>
      </c>
      <c r="B36" s="24">
        <v>0</v>
      </c>
      <c r="C36" s="24">
        <v>0</v>
      </c>
      <c r="D36" s="24">
        <v>0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7" t="e">
        <f t="shared" si="9"/>
        <v>#DIV/0!</v>
      </c>
      <c r="BB36" s="68" t="e">
        <f t="shared" si="10"/>
        <v>#DIV/0!</v>
      </c>
      <c r="BC36" s="68" t="e">
        <f t="shared" si="11"/>
        <v>#DIV/0!</v>
      </c>
      <c r="BD36" s="68" t="e">
        <f t="shared" si="12"/>
        <v>#DIV/0!</v>
      </c>
      <c r="BE36" s="68" t="e">
        <f t="shared" si="13"/>
        <v>#DIV/0!</v>
      </c>
      <c r="BF36" s="71" t="e">
        <f t="shared" si="14"/>
        <v>#DIV/0!</v>
      </c>
    </row>
    <row r="37" spans="1:58">
      <c r="A37" s="24">
        <v>35</v>
      </c>
      <c r="B37" s="24">
        <v>0</v>
      </c>
      <c r="C37" s="24">
        <v>0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7" t="e">
        <f t="shared" si="9"/>
        <v>#DIV/0!</v>
      </c>
      <c r="BB37" s="68" t="e">
        <f t="shared" si="10"/>
        <v>#DIV/0!</v>
      </c>
      <c r="BC37" s="68" t="e">
        <f t="shared" si="11"/>
        <v>#DIV/0!</v>
      </c>
      <c r="BD37" s="68" t="e">
        <f t="shared" si="12"/>
        <v>#DIV/0!</v>
      </c>
      <c r="BE37" s="68" t="e">
        <f t="shared" si="13"/>
        <v>#DIV/0!</v>
      </c>
      <c r="BF37" s="71" t="e">
        <f t="shared" si="14"/>
        <v>#DIV/0!</v>
      </c>
    </row>
    <row r="38" spans="1:58">
      <c r="A38" s="24">
        <v>36</v>
      </c>
      <c r="B38" s="24">
        <v>0</v>
      </c>
      <c r="C38" s="24">
        <v>0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7" t="e">
        <f t="shared" si="9"/>
        <v>#DIV/0!</v>
      </c>
      <c r="BB38" s="68" t="e">
        <f t="shared" si="10"/>
        <v>#DIV/0!</v>
      </c>
      <c r="BC38" s="68" t="e">
        <f t="shared" si="11"/>
        <v>#DIV/0!</v>
      </c>
      <c r="BD38" s="68" t="e">
        <f t="shared" si="12"/>
        <v>#DIV/0!</v>
      </c>
      <c r="BE38" s="68" t="e">
        <f t="shared" si="13"/>
        <v>#DIV/0!</v>
      </c>
      <c r="BF38" s="71" t="e">
        <f t="shared" si="14"/>
        <v>#DIV/0!</v>
      </c>
    </row>
    <row r="39" spans="1:58">
      <c r="A39" s="24">
        <v>37</v>
      </c>
      <c r="B39" s="24">
        <v>0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7" t="e">
        <f t="shared" si="9"/>
        <v>#DIV/0!</v>
      </c>
      <c r="BB39" s="68" t="e">
        <f t="shared" si="10"/>
        <v>#DIV/0!</v>
      </c>
      <c r="BC39" s="68" t="e">
        <f t="shared" si="11"/>
        <v>#DIV/0!</v>
      </c>
      <c r="BD39" s="68" t="e">
        <f t="shared" si="12"/>
        <v>#DIV/0!</v>
      </c>
      <c r="BE39" s="68" t="e">
        <f t="shared" si="13"/>
        <v>#DIV/0!</v>
      </c>
      <c r="BF39" s="71" t="e">
        <f t="shared" si="14"/>
        <v>#DIV/0!</v>
      </c>
    </row>
    <row r="40" spans="1:58">
      <c r="A40" s="24">
        <v>38</v>
      </c>
      <c r="B40" s="24">
        <v>0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7" t="e">
        <f t="shared" si="9"/>
        <v>#DIV/0!</v>
      </c>
      <c r="BB40" s="68" t="e">
        <f t="shared" si="10"/>
        <v>#DIV/0!</v>
      </c>
      <c r="BC40" s="68" t="e">
        <f t="shared" si="11"/>
        <v>#DIV/0!</v>
      </c>
      <c r="BD40" s="68" t="e">
        <f t="shared" si="12"/>
        <v>#DIV/0!</v>
      </c>
      <c r="BE40" s="68" t="e">
        <f t="shared" si="13"/>
        <v>#DIV/0!</v>
      </c>
      <c r="BF40" s="71" t="e">
        <f t="shared" si="14"/>
        <v>#DIV/0!</v>
      </c>
    </row>
    <row r="41" spans="1:58">
      <c r="A41" s="24">
        <v>39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7" t="e">
        <f t="shared" si="9"/>
        <v>#DIV/0!</v>
      </c>
      <c r="BB41" s="68" t="e">
        <f t="shared" si="10"/>
        <v>#DIV/0!</v>
      </c>
      <c r="BC41" s="68" t="e">
        <f t="shared" si="11"/>
        <v>#DIV/0!</v>
      </c>
      <c r="BD41" s="68" t="e">
        <f t="shared" si="12"/>
        <v>#DIV/0!</v>
      </c>
      <c r="BE41" s="68" t="e">
        <f t="shared" si="13"/>
        <v>#DIV/0!</v>
      </c>
      <c r="BF41" s="71" t="e">
        <f t="shared" si="14"/>
        <v>#DIV/0!</v>
      </c>
    </row>
    <row r="42" spans="1:58">
      <c r="A42" s="24">
        <v>40</v>
      </c>
      <c r="B42" s="24">
        <v>0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7" t="e">
        <f t="shared" si="9"/>
        <v>#DIV/0!</v>
      </c>
      <c r="BB42" s="68" t="e">
        <f t="shared" si="10"/>
        <v>#DIV/0!</v>
      </c>
      <c r="BC42" s="68" t="e">
        <f t="shared" si="11"/>
        <v>#DIV/0!</v>
      </c>
      <c r="BD42" s="68" t="e">
        <f t="shared" si="12"/>
        <v>#DIV/0!</v>
      </c>
      <c r="BE42" s="68" t="e">
        <f t="shared" si="13"/>
        <v>#DIV/0!</v>
      </c>
      <c r="BF42" s="71" t="e">
        <f t="shared" si="14"/>
        <v>#DIV/0!</v>
      </c>
    </row>
    <row r="43" spans="1:58">
      <c r="A43" s="24">
        <v>41</v>
      </c>
      <c r="B43" s="24">
        <v>0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7" t="e">
        <f t="shared" si="9"/>
        <v>#DIV/0!</v>
      </c>
      <c r="BB43" s="68" t="e">
        <f t="shared" si="10"/>
        <v>#DIV/0!</v>
      </c>
      <c r="BC43" s="68" t="e">
        <f t="shared" si="11"/>
        <v>#DIV/0!</v>
      </c>
      <c r="BD43" s="68" t="e">
        <f t="shared" si="12"/>
        <v>#DIV/0!</v>
      </c>
      <c r="BE43" s="68" t="e">
        <f t="shared" si="13"/>
        <v>#DIV/0!</v>
      </c>
      <c r="BF43" s="71" t="e">
        <f t="shared" si="14"/>
        <v>#DIV/0!</v>
      </c>
    </row>
    <row r="44" spans="1:58">
      <c r="A44" s="24">
        <v>42</v>
      </c>
      <c r="B44" s="24">
        <v>0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7" t="e">
        <f t="shared" si="9"/>
        <v>#DIV/0!</v>
      </c>
      <c r="BB44" s="68" t="e">
        <f t="shared" si="10"/>
        <v>#DIV/0!</v>
      </c>
      <c r="BC44" s="68" t="e">
        <f t="shared" si="11"/>
        <v>#DIV/0!</v>
      </c>
      <c r="BD44" s="68" t="e">
        <f t="shared" si="12"/>
        <v>#DIV/0!</v>
      </c>
      <c r="BE44" s="68" t="e">
        <f t="shared" si="13"/>
        <v>#DIV/0!</v>
      </c>
      <c r="BF44" s="71" t="e">
        <f t="shared" si="14"/>
        <v>#DIV/0!</v>
      </c>
    </row>
    <row r="45" spans="1:58">
      <c r="A45" s="24">
        <v>43</v>
      </c>
      <c r="B45" s="24">
        <v>0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7" t="e">
        <f t="shared" si="9"/>
        <v>#DIV/0!</v>
      </c>
      <c r="BB45" s="68" t="e">
        <f t="shared" si="10"/>
        <v>#DIV/0!</v>
      </c>
      <c r="BC45" s="68" t="e">
        <f t="shared" si="11"/>
        <v>#DIV/0!</v>
      </c>
      <c r="BD45" s="68" t="e">
        <f t="shared" si="12"/>
        <v>#DIV/0!</v>
      </c>
      <c r="BE45" s="68" t="e">
        <f t="shared" si="13"/>
        <v>#DIV/0!</v>
      </c>
      <c r="BF45" s="71" t="e">
        <f t="shared" si="14"/>
        <v>#DIV/0!</v>
      </c>
    </row>
    <row r="46" spans="1:58">
      <c r="A46" s="24">
        <v>44</v>
      </c>
      <c r="B46" s="24">
        <v>0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7" t="e">
        <f t="shared" si="9"/>
        <v>#DIV/0!</v>
      </c>
      <c r="BB46" s="68" t="e">
        <f t="shared" si="10"/>
        <v>#DIV/0!</v>
      </c>
      <c r="BC46" s="68" t="e">
        <f t="shared" si="11"/>
        <v>#DIV/0!</v>
      </c>
      <c r="BD46" s="68" t="e">
        <f t="shared" si="12"/>
        <v>#DIV/0!</v>
      </c>
      <c r="BE46" s="68" t="e">
        <f t="shared" si="13"/>
        <v>#DIV/0!</v>
      </c>
      <c r="BF46" s="71" t="e">
        <f t="shared" si="14"/>
        <v>#DIV/0!</v>
      </c>
    </row>
    <row r="47" spans="1:58">
      <c r="A47" s="24">
        <v>45</v>
      </c>
      <c r="B47" s="24">
        <v>0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7" t="e">
        <f t="shared" si="9"/>
        <v>#DIV/0!</v>
      </c>
      <c r="BB47" s="68" t="e">
        <f t="shared" si="10"/>
        <v>#DIV/0!</v>
      </c>
      <c r="BC47" s="68" t="e">
        <f t="shared" si="11"/>
        <v>#DIV/0!</v>
      </c>
      <c r="BD47" s="68" t="e">
        <f t="shared" si="12"/>
        <v>#DIV/0!</v>
      </c>
      <c r="BE47" s="68" t="e">
        <f t="shared" si="13"/>
        <v>#DIV/0!</v>
      </c>
      <c r="BF47" s="71" t="e">
        <f t="shared" si="14"/>
        <v>#DIV/0!</v>
      </c>
    </row>
    <row r="48" spans="1:58">
      <c r="A48" s="24">
        <v>46</v>
      </c>
      <c r="B48" s="24">
        <v>0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7" t="e">
        <f t="shared" si="9"/>
        <v>#DIV/0!</v>
      </c>
      <c r="BB48" s="68" t="e">
        <f t="shared" si="10"/>
        <v>#DIV/0!</v>
      </c>
      <c r="BC48" s="68" t="e">
        <f t="shared" si="11"/>
        <v>#DIV/0!</v>
      </c>
      <c r="BD48" s="68" t="e">
        <f t="shared" si="12"/>
        <v>#DIV/0!</v>
      </c>
      <c r="BE48" s="68" t="e">
        <f t="shared" si="13"/>
        <v>#DIV/0!</v>
      </c>
      <c r="BF48" s="71" t="e">
        <f t="shared" si="14"/>
        <v>#DIV/0!</v>
      </c>
    </row>
    <row r="49" spans="1:58">
      <c r="A49" s="24">
        <v>47</v>
      </c>
      <c r="B49" s="24">
        <v>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7" t="e">
        <f t="shared" si="9"/>
        <v>#DIV/0!</v>
      </c>
      <c r="BB49" s="68" t="e">
        <f t="shared" si="10"/>
        <v>#DIV/0!</v>
      </c>
      <c r="BC49" s="68" t="e">
        <f t="shared" si="11"/>
        <v>#DIV/0!</v>
      </c>
      <c r="BD49" s="68" t="e">
        <f t="shared" si="12"/>
        <v>#DIV/0!</v>
      </c>
      <c r="BE49" s="68" t="e">
        <f t="shared" si="13"/>
        <v>#DIV/0!</v>
      </c>
      <c r="BF49" s="71" t="e">
        <f t="shared" si="14"/>
        <v>#DIV/0!</v>
      </c>
    </row>
    <row r="50" spans="1:58">
      <c r="A50" s="24">
        <v>48</v>
      </c>
      <c r="B50" s="24">
        <v>0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7" t="e">
        <f t="shared" si="9"/>
        <v>#DIV/0!</v>
      </c>
      <c r="BB50" s="68" t="e">
        <f t="shared" si="10"/>
        <v>#DIV/0!</v>
      </c>
      <c r="BC50" s="68" t="e">
        <f t="shared" si="11"/>
        <v>#DIV/0!</v>
      </c>
      <c r="BD50" s="68" t="e">
        <f t="shared" si="12"/>
        <v>#DIV/0!</v>
      </c>
      <c r="BE50" s="68" t="e">
        <f t="shared" si="13"/>
        <v>#DIV/0!</v>
      </c>
      <c r="BF50" s="71" t="e">
        <f t="shared" si="14"/>
        <v>#DIV/0!</v>
      </c>
    </row>
    <row r="51" spans="1:58">
      <c r="A51" s="24">
        <v>49</v>
      </c>
      <c r="B51" s="24">
        <v>0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7" t="e">
        <f t="shared" si="9"/>
        <v>#DIV/0!</v>
      </c>
      <c r="BB51" s="68" t="e">
        <f t="shared" si="10"/>
        <v>#DIV/0!</v>
      </c>
      <c r="BC51" s="68" t="e">
        <f t="shared" si="11"/>
        <v>#DIV/0!</v>
      </c>
      <c r="BD51" s="68" t="e">
        <f t="shared" si="12"/>
        <v>#DIV/0!</v>
      </c>
      <c r="BE51" s="68" t="e">
        <f t="shared" si="13"/>
        <v>#DIV/0!</v>
      </c>
      <c r="BF51" s="71" t="e">
        <f t="shared" si="14"/>
        <v>#DIV/0!</v>
      </c>
    </row>
    <row r="52" spans="1:58">
      <c r="A52" s="24">
        <v>50</v>
      </c>
      <c r="B52" s="24">
        <v>0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7" t="e">
        <f t="shared" si="9"/>
        <v>#DIV/0!</v>
      </c>
      <c r="BB52" s="68" t="e">
        <f t="shared" si="10"/>
        <v>#DIV/0!</v>
      </c>
      <c r="BC52" s="68" t="e">
        <f t="shared" si="11"/>
        <v>#DIV/0!</v>
      </c>
      <c r="BD52" s="68" t="e">
        <f t="shared" si="12"/>
        <v>#DIV/0!</v>
      </c>
      <c r="BE52" s="68" t="e">
        <f t="shared" si="13"/>
        <v>#DIV/0!</v>
      </c>
      <c r="BF52" s="71" t="e">
        <f t="shared" si="14"/>
        <v>#DIV/0!</v>
      </c>
    </row>
    <row r="53" spans="1:58">
      <c r="A53" s="24">
        <v>51</v>
      </c>
      <c r="B53" s="24">
        <v>0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7" t="e">
        <f t="shared" si="9"/>
        <v>#DIV/0!</v>
      </c>
      <c r="BB53" s="68" t="e">
        <f t="shared" si="10"/>
        <v>#DIV/0!</v>
      </c>
      <c r="BC53" s="68" t="e">
        <f t="shared" si="11"/>
        <v>#DIV/0!</v>
      </c>
      <c r="BD53" s="68" t="e">
        <f t="shared" si="12"/>
        <v>#DIV/0!</v>
      </c>
      <c r="BE53" s="68" t="e">
        <f t="shared" si="13"/>
        <v>#DIV/0!</v>
      </c>
      <c r="BF53" s="71" t="e">
        <f t="shared" si="14"/>
        <v>#DIV/0!</v>
      </c>
    </row>
    <row r="54" spans="1:58">
      <c r="A54" s="24">
        <v>52</v>
      </c>
      <c r="B54" s="24">
        <v>0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7" t="e">
        <f t="shared" si="9"/>
        <v>#DIV/0!</v>
      </c>
      <c r="BB54" s="68" t="e">
        <f t="shared" si="10"/>
        <v>#DIV/0!</v>
      </c>
      <c r="BC54" s="68" t="e">
        <f t="shared" si="11"/>
        <v>#DIV/0!</v>
      </c>
      <c r="BD54" s="68" t="e">
        <f t="shared" si="12"/>
        <v>#DIV/0!</v>
      </c>
      <c r="BE54" s="68" t="e">
        <f t="shared" si="13"/>
        <v>#DIV/0!</v>
      </c>
      <c r="BF54" s="71" t="e">
        <f t="shared" si="14"/>
        <v>#DIV/0!</v>
      </c>
    </row>
    <row r="55" spans="1:58">
      <c r="A55" s="24">
        <v>53</v>
      </c>
      <c r="B55" s="24">
        <v>0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7" t="e">
        <f t="shared" si="9"/>
        <v>#DIV/0!</v>
      </c>
      <c r="BB55" s="68" t="e">
        <f t="shared" si="10"/>
        <v>#DIV/0!</v>
      </c>
      <c r="BC55" s="68" t="e">
        <f t="shared" si="11"/>
        <v>#DIV/0!</v>
      </c>
      <c r="BD55" s="68" t="e">
        <f t="shared" si="12"/>
        <v>#DIV/0!</v>
      </c>
      <c r="BE55" s="68" t="e">
        <f t="shared" si="13"/>
        <v>#DIV/0!</v>
      </c>
      <c r="BF55" s="71" t="e">
        <f t="shared" si="14"/>
        <v>#DIV/0!</v>
      </c>
    </row>
    <row r="56" spans="1:58">
      <c r="A56" s="24">
        <v>54</v>
      </c>
      <c r="B56" s="24">
        <v>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7" t="e">
        <f t="shared" si="9"/>
        <v>#DIV/0!</v>
      </c>
      <c r="BB56" s="68" t="e">
        <f t="shared" si="10"/>
        <v>#DIV/0!</v>
      </c>
      <c r="BC56" s="68" t="e">
        <f t="shared" si="11"/>
        <v>#DIV/0!</v>
      </c>
      <c r="BD56" s="68" t="e">
        <f t="shared" si="12"/>
        <v>#DIV/0!</v>
      </c>
      <c r="BE56" s="68" t="e">
        <f t="shared" si="13"/>
        <v>#DIV/0!</v>
      </c>
      <c r="BF56" s="71" t="e">
        <f t="shared" si="14"/>
        <v>#DIV/0!</v>
      </c>
    </row>
    <row r="57" spans="1:58">
      <c r="A57" s="24">
        <v>55</v>
      </c>
      <c r="B57" s="24">
        <v>0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7" t="e">
        <f t="shared" si="9"/>
        <v>#DIV/0!</v>
      </c>
      <c r="BB57" s="68" t="e">
        <f t="shared" si="10"/>
        <v>#DIV/0!</v>
      </c>
      <c r="BC57" s="68" t="e">
        <f t="shared" si="11"/>
        <v>#DIV/0!</v>
      </c>
      <c r="BD57" s="68" t="e">
        <f t="shared" si="12"/>
        <v>#DIV/0!</v>
      </c>
      <c r="BE57" s="68" t="e">
        <f t="shared" si="13"/>
        <v>#DIV/0!</v>
      </c>
      <c r="BF57" s="71" t="e">
        <f t="shared" si="14"/>
        <v>#DIV/0!</v>
      </c>
    </row>
    <row r="58" spans="1:58">
      <c r="A58" s="24">
        <v>56</v>
      </c>
      <c r="B58" s="24">
        <v>0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7" t="e">
        <f t="shared" si="9"/>
        <v>#DIV/0!</v>
      </c>
      <c r="BB58" s="68" t="e">
        <f t="shared" si="10"/>
        <v>#DIV/0!</v>
      </c>
      <c r="BC58" s="68" t="e">
        <f t="shared" si="11"/>
        <v>#DIV/0!</v>
      </c>
      <c r="BD58" s="68" t="e">
        <f t="shared" si="12"/>
        <v>#DIV/0!</v>
      </c>
      <c r="BE58" s="68" t="e">
        <f t="shared" si="13"/>
        <v>#DIV/0!</v>
      </c>
      <c r="BF58" s="71" t="e">
        <f t="shared" si="14"/>
        <v>#DIV/0!</v>
      </c>
    </row>
    <row r="59" spans="1:58">
      <c r="A59" s="24">
        <v>57</v>
      </c>
      <c r="B59" s="24">
        <v>0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7" t="e">
        <f t="shared" si="9"/>
        <v>#DIV/0!</v>
      </c>
      <c r="BB59" s="68" t="e">
        <f t="shared" si="10"/>
        <v>#DIV/0!</v>
      </c>
      <c r="BC59" s="68" t="e">
        <f t="shared" si="11"/>
        <v>#DIV/0!</v>
      </c>
      <c r="BD59" s="68" t="e">
        <f t="shared" si="12"/>
        <v>#DIV/0!</v>
      </c>
      <c r="BE59" s="68" t="e">
        <f t="shared" si="13"/>
        <v>#DIV/0!</v>
      </c>
      <c r="BF59" s="71" t="e">
        <f t="shared" si="14"/>
        <v>#DIV/0!</v>
      </c>
    </row>
    <row r="60" spans="1:58">
      <c r="A60" s="24">
        <v>58</v>
      </c>
      <c r="B60" s="24">
        <v>0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7" t="e">
        <f t="shared" si="9"/>
        <v>#DIV/0!</v>
      </c>
      <c r="BB60" s="68" t="e">
        <f t="shared" si="10"/>
        <v>#DIV/0!</v>
      </c>
      <c r="BC60" s="68" t="e">
        <f t="shared" si="11"/>
        <v>#DIV/0!</v>
      </c>
      <c r="BD60" s="68" t="e">
        <f t="shared" si="12"/>
        <v>#DIV/0!</v>
      </c>
      <c r="BE60" s="68" t="e">
        <f t="shared" si="13"/>
        <v>#DIV/0!</v>
      </c>
      <c r="BF60" s="71" t="e">
        <f t="shared" si="14"/>
        <v>#DIV/0!</v>
      </c>
    </row>
    <row r="61" spans="1:58">
      <c r="A61" s="24">
        <v>59</v>
      </c>
      <c r="B61" s="24">
        <v>0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7" t="e">
        <f t="shared" si="9"/>
        <v>#DIV/0!</v>
      </c>
      <c r="BB61" s="68" t="e">
        <f t="shared" si="10"/>
        <v>#DIV/0!</v>
      </c>
      <c r="BC61" s="68" t="e">
        <f t="shared" si="11"/>
        <v>#DIV/0!</v>
      </c>
      <c r="BD61" s="68" t="e">
        <f t="shared" si="12"/>
        <v>#DIV/0!</v>
      </c>
      <c r="BE61" s="68" t="e">
        <f t="shared" si="13"/>
        <v>#DIV/0!</v>
      </c>
      <c r="BF61" s="71" t="e">
        <f t="shared" si="14"/>
        <v>#DIV/0!</v>
      </c>
    </row>
    <row r="62" spans="1:58">
      <c r="A62" s="24">
        <v>60</v>
      </c>
      <c r="B62" s="24">
        <v>0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7" t="e">
        <f t="shared" si="9"/>
        <v>#DIV/0!</v>
      </c>
      <c r="BB62" s="68" t="e">
        <f t="shared" si="10"/>
        <v>#DIV/0!</v>
      </c>
      <c r="BC62" s="68" t="e">
        <f t="shared" si="11"/>
        <v>#DIV/0!</v>
      </c>
      <c r="BD62" s="68" t="e">
        <f t="shared" si="12"/>
        <v>#DIV/0!</v>
      </c>
      <c r="BE62" s="68" t="e">
        <f t="shared" si="13"/>
        <v>#DIV/0!</v>
      </c>
      <c r="BF62" s="71" t="e">
        <f t="shared" si="14"/>
        <v>#DIV/0!</v>
      </c>
    </row>
    <row r="63" spans="1:58">
      <c r="A63" s="24">
        <v>61</v>
      </c>
      <c r="B63" s="24">
        <v>0</v>
      </c>
      <c r="C63" s="24">
        <v>0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7" t="e">
        <f t="shared" si="9"/>
        <v>#DIV/0!</v>
      </c>
      <c r="BB63" s="68" t="e">
        <f t="shared" si="10"/>
        <v>#DIV/0!</v>
      </c>
      <c r="BC63" s="68" t="e">
        <f t="shared" si="11"/>
        <v>#DIV/0!</v>
      </c>
      <c r="BD63" s="68" t="e">
        <f t="shared" si="12"/>
        <v>#DIV/0!</v>
      </c>
      <c r="BE63" s="68" t="e">
        <f t="shared" si="13"/>
        <v>#DIV/0!</v>
      </c>
      <c r="BF63" s="71" t="e">
        <f t="shared" si="14"/>
        <v>#DIV/0!</v>
      </c>
    </row>
    <row r="64" spans="1:58">
      <c r="A64" s="24">
        <v>62</v>
      </c>
      <c r="B64" s="24">
        <v>0</v>
      </c>
      <c r="C64" s="24">
        <v>0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7" t="e">
        <f t="shared" si="9"/>
        <v>#DIV/0!</v>
      </c>
      <c r="BB64" s="68" t="e">
        <f t="shared" si="10"/>
        <v>#DIV/0!</v>
      </c>
      <c r="BC64" s="68" t="e">
        <f t="shared" si="11"/>
        <v>#DIV/0!</v>
      </c>
      <c r="BD64" s="68" t="e">
        <f t="shared" si="12"/>
        <v>#DIV/0!</v>
      </c>
      <c r="BE64" s="68" t="e">
        <f t="shared" si="13"/>
        <v>#DIV/0!</v>
      </c>
      <c r="BF64" s="71" t="e">
        <f t="shared" si="14"/>
        <v>#DIV/0!</v>
      </c>
    </row>
    <row r="65" spans="1:58">
      <c r="A65" s="24">
        <v>63</v>
      </c>
      <c r="B65" s="24">
        <v>0</v>
      </c>
      <c r="C65" s="24">
        <v>0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7" t="e">
        <f t="shared" si="9"/>
        <v>#DIV/0!</v>
      </c>
      <c r="BB65" s="68" t="e">
        <f t="shared" si="10"/>
        <v>#DIV/0!</v>
      </c>
      <c r="BC65" s="68" t="e">
        <f t="shared" si="11"/>
        <v>#DIV/0!</v>
      </c>
      <c r="BD65" s="68" t="e">
        <f t="shared" si="12"/>
        <v>#DIV/0!</v>
      </c>
      <c r="BE65" s="68" t="e">
        <f t="shared" si="13"/>
        <v>#DIV/0!</v>
      </c>
      <c r="BF65" s="71" t="e">
        <f t="shared" si="14"/>
        <v>#DIV/0!</v>
      </c>
    </row>
    <row r="66" spans="1:58">
      <c r="A66" s="24">
        <v>64</v>
      </c>
      <c r="B66" s="24">
        <v>0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7" t="e">
        <f t="shared" si="9"/>
        <v>#DIV/0!</v>
      </c>
      <c r="BB66" s="68" t="e">
        <f t="shared" si="10"/>
        <v>#DIV/0!</v>
      </c>
      <c r="BC66" s="68" t="e">
        <f t="shared" si="11"/>
        <v>#DIV/0!</v>
      </c>
      <c r="BD66" s="68" t="e">
        <f t="shared" si="12"/>
        <v>#DIV/0!</v>
      </c>
      <c r="BE66" s="68" t="e">
        <f t="shared" si="13"/>
        <v>#DIV/0!</v>
      </c>
      <c r="BF66" s="71" t="e">
        <f t="shared" si="14"/>
        <v>#DIV/0!</v>
      </c>
    </row>
    <row r="67" spans="1:58">
      <c r="A67" s="24">
        <v>65</v>
      </c>
      <c r="B67" s="24">
        <v>0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7" t="e">
        <f t="shared" si="9"/>
        <v>#DIV/0!</v>
      </c>
      <c r="BB67" s="68" t="e">
        <f t="shared" si="10"/>
        <v>#DIV/0!</v>
      </c>
      <c r="BC67" s="68" t="e">
        <f t="shared" si="11"/>
        <v>#DIV/0!</v>
      </c>
      <c r="BD67" s="68" t="e">
        <f t="shared" si="12"/>
        <v>#DIV/0!</v>
      </c>
      <c r="BE67" s="68" t="e">
        <f t="shared" si="13"/>
        <v>#DIV/0!</v>
      </c>
      <c r="BF67" s="71" t="e">
        <f t="shared" si="14"/>
        <v>#DIV/0!</v>
      </c>
    </row>
    <row r="68" spans="1:58">
      <c r="A68" s="24">
        <v>66</v>
      </c>
      <c r="B68" s="24">
        <v>0</v>
      </c>
      <c r="C68" s="24">
        <v>0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7" t="e">
        <f t="shared" si="9"/>
        <v>#DIV/0!</v>
      </c>
      <c r="BB68" s="68" t="e">
        <f t="shared" si="10"/>
        <v>#DIV/0!</v>
      </c>
      <c r="BC68" s="68" t="e">
        <f t="shared" si="11"/>
        <v>#DIV/0!</v>
      </c>
      <c r="BD68" s="68" t="e">
        <f t="shared" si="12"/>
        <v>#DIV/0!</v>
      </c>
      <c r="BE68" s="68" t="e">
        <f t="shared" si="13"/>
        <v>#DIV/0!</v>
      </c>
      <c r="BF68" s="71" t="e">
        <f t="shared" si="14"/>
        <v>#DIV/0!</v>
      </c>
    </row>
    <row r="69" spans="1:58">
      <c r="A69" s="24">
        <v>67</v>
      </c>
      <c r="B69" s="24">
        <v>0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7" t="e">
        <f t="shared" si="9"/>
        <v>#DIV/0!</v>
      </c>
      <c r="BB69" s="68" t="e">
        <f t="shared" si="10"/>
        <v>#DIV/0!</v>
      </c>
      <c r="BC69" s="68" t="e">
        <f t="shared" si="11"/>
        <v>#DIV/0!</v>
      </c>
      <c r="BD69" s="68" t="e">
        <f t="shared" si="12"/>
        <v>#DIV/0!</v>
      </c>
      <c r="BE69" s="68" t="e">
        <f t="shared" si="13"/>
        <v>#DIV/0!</v>
      </c>
      <c r="BF69" s="71" t="e">
        <f t="shared" si="14"/>
        <v>#DIV/0!</v>
      </c>
    </row>
    <row r="70" spans="1:58">
      <c r="A70" s="24">
        <v>68</v>
      </c>
      <c r="B70" s="24">
        <v>0</v>
      </c>
      <c r="C70" s="24">
        <v>0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7" t="e">
        <f t="shared" ref="BA70:BA88" si="15">AVERAGE(V70:AC70)*4</f>
        <v>#DIV/0!</v>
      </c>
      <c r="BB70" s="68" t="e">
        <f t="shared" ref="BB70:BB88" si="16">AVERAGE(AD70:AG70)*3</f>
        <v>#DIV/0!</v>
      </c>
      <c r="BC70" s="68" t="e">
        <f t="shared" ref="BC70:BC88" si="17">AVERAGE(AH70:AQ70)*2</f>
        <v>#DIV/0!</v>
      </c>
      <c r="BD70" s="68" t="e">
        <f t="shared" ref="BD70:BD88" si="18">AVERAGE(AR70:AZ70)*1</f>
        <v>#DIV/0!</v>
      </c>
      <c r="BE70" s="68" t="e">
        <f t="shared" ref="BE70:BE88" si="19">SUM(BA70:BD70)</f>
        <v>#DIV/0!</v>
      </c>
      <c r="BF70" s="71" t="e">
        <f t="shared" ref="BF70:BF88" si="20">(BE70/61.16)*100</f>
        <v>#DIV/0!</v>
      </c>
    </row>
    <row r="71" spans="1:58">
      <c r="A71" s="24">
        <v>69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7" t="e">
        <f t="shared" si="15"/>
        <v>#DIV/0!</v>
      </c>
      <c r="BB71" s="68" t="e">
        <f t="shared" si="16"/>
        <v>#DIV/0!</v>
      </c>
      <c r="BC71" s="68" t="e">
        <f t="shared" si="17"/>
        <v>#DIV/0!</v>
      </c>
      <c r="BD71" s="68" t="e">
        <f t="shared" si="18"/>
        <v>#DIV/0!</v>
      </c>
      <c r="BE71" s="68" t="e">
        <f t="shared" si="19"/>
        <v>#DIV/0!</v>
      </c>
      <c r="BF71" s="71" t="e">
        <f t="shared" si="20"/>
        <v>#DIV/0!</v>
      </c>
    </row>
    <row r="72" spans="1:58">
      <c r="A72" s="24">
        <v>70</v>
      </c>
      <c r="B72" s="24">
        <v>0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7" t="e">
        <f t="shared" si="15"/>
        <v>#DIV/0!</v>
      </c>
      <c r="BB72" s="68" t="e">
        <f t="shared" si="16"/>
        <v>#DIV/0!</v>
      </c>
      <c r="BC72" s="68" t="e">
        <f t="shared" si="17"/>
        <v>#DIV/0!</v>
      </c>
      <c r="BD72" s="68" t="e">
        <f t="shared" si="18"/>
        <v>#DIV/0!</v>
      </c>
      <c r="BE72" s="68" t="e">
        <f t="shared" si="19"/>
        <v>#DIV/0!</v>
      </c>
      <c r="BF72" s="71" t="e">
        <f t="shared" si="20"/>
        <v>#DIV/0!</v>
      </c>
    </row>
    <row r="73" spans="1:58">
      <c r="A73" s="24">
        <v>71</v>
      </c>
      <c r="B73" s="24">
        <v>0</v>
      </c>
      <c r="C73" s="24">
        <v>0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7" t="e">
        <f t="shared" si="15"/>
        <v>#DIV/0!</v>
      </c>
      <c r="BB73" s="68" t="e">
        <f t="shared" si="16"/>
        <v>#DIV/0!</v>
      </c>
      <c r="BC73" s="68" t="e">
        <f t="shared" si="17"/>
        <v>#DIV/0!</v>
      </c>
      <c r="BD73" s="68" t="e">
        <f t="shared" si="18"/>
        <v>#DIV/0!</v>
      </c>
      <c r="BE73" s="68" t="e">
        <f t="shared" si="19"/>
        <v>#DIV/0!</v>
      </c>
      <c r="BF73" s="71" t="e">
        <f t="shared" si="20"/>
        <v>#DIV/0!</v>
      </c>
    </row>
    <row r="74" spans="1:58">
      <c r="A74" s="24">
        <v>72</v>
      </c>
      <c r="B74" s="24">
        <v>0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7" t="e">
        <f t="shared" si="15"/>
        <v>#DIV/0!</v>
      </c>
      <c r="BB74" s="68" t="e">
        <f t="shared" si="16"/>
        <v>#DIV/0!</v>
      </c>
      <c r="BC74" s="68" t="e">
        <f t="shared" si="17"/>
        <v>#DIV/0!</v>
      </c>
      <c r="BD74" s="68" t="e">
        <f t="shared" si="18"/>
        <v>#DIV/0!</v>
      </c>
      <c r="BE74" s="68" t="e">
        <f t="shared" si="19"/>
        <v>#DIV/0!</v>
      </c>
      <c r="BF74" s="71" t="e">
        <f t="shared" si="20"/>
        <v>#DIV/0!</v>
      </c>
    </row>
    <row r="75" spans="1:58">
      <c r="A75" s="24">
        <v>73</v>
      </c>
      <c r="B75" s="24">
        <v>0</v>
      </c>
      <c r="C75" s="24">
        <v>0</v>
      </c>
      <c r="D75" s="24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7" t="e">
        <f t="shared" si="15"/>
        <v>#DIV/0!</v>
      </c>
      <c r="BB75" s="68" t="e">
        <f t="shared" si="16"/>
        <v>#DIV/0!</v>
      </c>
      <c r="BC75" s="68" t="e">
        <f t="shared" si="17"/>
        <v>#DIV/0!</v>
      </c>
      <c r="BD75" s="68" t="e">
        <f t="shared" si="18"/>
        <v>#DIV/0!</v>
      </c>
      <c r="BE75" s="68" t="e">
        <f t="shared" si="19"/>
        <v>#DIV/0!</v>
      </c>
      <c r="BF75" s="71" t="e">
        <f t="shared" si="20"/>
        <v>#DIV/0!</v>
      </c>
    </row>
    <row r="76" spans="1:58">
      <c r="A76" s="24">
        <v>74</v>
      </c>
      <c r="B76" s="24">
        <v>0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7" t="e">
        <f t="shared" si="15"/>
        <v>#DIV/0!</v>
      </c>
      <c r="BB76" s="68" t="e">
        <f t="shared" si="16"/>
        <v>#DIV/0!</v>
      </c>
      <c r="BC76" s="68" t="e">
        <f t="shared" si="17"/>
        <v>#DIV/0!</v>
      </c>
      <c r="BD76" s="68" t="e">
        <f t="shared" si="18"/>
        <v>#DIV/0!</v>
      </c>
      <c r="BE76" s="68" t="e">
        <f t="shared" si="19"/>
        <v>#DIV/0!</v>
      </c>
      <c r="BF76" s="71" t="e">
        <f t="shared" si="20"/>
        <v>#DIV/0!</v>
      </c>
    </row>
    <row r="77" spans="1:58">
      <c r="A77" s="24">
        <v>75</v>
      </c>
      <c r="B77" s="24">
        <v>0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7" t="e">
        <f t="shared" si="15"/>
        <v>#DIV/0!</v>
      </c>
      <c r="BB77" s="68" t="e">
        <f t="shared" si="16"/>
        <v>#DIV/0!</v>
      </c>
      <c r="BC77" s="68" t="e">
        <f t="shared" si="17"/>
        <v>#DIV/0!</v>
      </c>
      <c r="BD77" s="68" t="e">
        <f t="shared" si="18"/>
        <v>#DIV/0!</v>
      </c>
      <c r="BE77" s="68" t="e">
        <f t="shared" si="19"/>
        <v>#DIV/0!</v>
      </c>
      <c r="BF77" s="71" t="e">
        <f t="shared" si="20"/>
        <v>#DIV/0!</v>
      </c>
    </row>
    <row r="78" spans="1:58">
      <c r="A78" s="24">
        <v>76</v>
      </c>
      <c r="B78" s="24">
        <v>0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7" t="e">
        <f t="shared" si="15"/>
        <v>#DIV/0!</v>
      </c>
      <c r="BB78" s="68" t="e">
        <f t="shared" si="16"/>
        <v>#DIV/0!</v>
      </c>
      <c r="BC78" s="68" t="e">
        <f t="shared" si="17"/>
        <v>#DIV/0!</v>
      </c>
      <c r="BD78" s="68" t="e">
        <f t="shared" si="18"/>
        <v>#DIV/0!</v>
      </c>
      <c r="BE78" s="68" t="e">
        <f t="shared" si="19"/>
        <v>#DIV/0!</v>
      </c>
      <c r="BF78" s="71" t="e">
        <f t="shared" si="20"/>
        <v>#DIV/0!</v>
      </c>
    </row>
    <row r="79" spans="1:58">
      <c r="A79" s="24">
        <v>77</v>
      </c>
      <c r="B79" s="24">
        <v>0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7" t="e">
        <f t="shared" si="15"/>
        <v>#DIV/0!</v>
      </c>
      <c r="BB79" s="68" t="e">
        <f t="shared" si="16"/>
        <v>#DIV/0!</v>
      </c>
      <c r="BC79" s="68" t="e">
        <f t="shared" si="17"/>
        <v>#DIV/0!</v>
      </c>
      <c r="BD79" s="68" t="e">
        <f t="shared" si="18"/>
        <v>#DIV/0!</v>
      </c>
      <c r="BE79" s="68" t="e">
        <f t="shared" si="19"/>
        <v>#DIV/0!</v>
      </c>
      <c r="BF79" s="71" t="e">
        <f t="shared" si="20"/>
        <v>#DIV/0!</v>
      </c>
    </row>
    <row r="80" spans="1:58">
      <c r="A80" s="24">
        <v>78</v>
      </c>
      <c r="B80" s="24">
        <v>0</v>
      </c>
      <c r="C80" s="24">
        <v>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7" t="e">
        <f t="shared" si="15"/>
        <v>#DIV/0!</v>
      </c>
      <c r="BB80" s="68" t="e">
        <f t="shared" si="16"/>
        <v>#DIV/0!</v>
      </c>
      <c r="BC80" s="68" t="e">
        <f t="shared" si="17"/>
        <v>#DIV/0!</v>
      </c>
      <c r="BD80" s="68" t="e">
        <f t="shared" si="18"/>
        <v>#DIV/0!</v>
      </c>
      <c r="BE80" s="68" t="e">
        <f t="shared" si="19"/>
        <v>#DIV/0!</v>
      </c>
      <c r="BF80" s="71" t="e">
        <f t="shared" si="20"/>
        <v>#DIV/0!</v>
      </c>
    </row>
    <row r="81" spans="1:58">
      <c r="A81" s="24">
        <v>79</v>
      </c>
      <c r="B81" s="24">
        <v>0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7" t="e">
        <f t="shared" si="15"/>
        <v>#DIV/0!</v>
      </c>
      <c r="BB81" s="68" t="e">
        <f t="shared" si="16"/>
        <v>#DIV/0!</v>
      </c>
      <c r="BC81" s="68" t="e">
        <f t="shared" si="17"/>
        <v>#DIV/0!</v>
      </c>
      <c r="BD81" s="68" t="e">
        <f t="shared" si="18"/>
        <v>#DIV/0!</v>
      </c>
      <c r="BE81" s="68" t="e">
        <f t="shared" si="19"/>
        <v>#DIV/0!</v>
      </c>
      <c r="BF81" s="71" t="e">
        <f t="shared" si="20"/>
        <v>#DIV/0!</v>
      </c>
    </row>
    <row r="82" spans="1:58">
      <c r="A82" s="24">
        <v>80</v>
      </c>
      <c r="B82" s="24">
        <v>0</v>
      </c>
      <c r="C82" s="24">
        <v>0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7" t="e">
        <f t="shared" si="15"/>
        <v>#DIV/0!</v>
      </c>
      <c r="BB82" s="68" t="e">
        <f t="shared" si="16"/>
        <v>#DIV/0!</v>
      </c>
      <c r="BC82" s="68" t="e">
        <f t="shared" si="17"/>
        <v>#DIV/0!</v>
      </c>
      <c r="BD82" s="68" t="e">
        <f t="shared" si="18"/>
        <v>#DIV/0!</v>
      </c>
      <c r="BE82" s="68" t="e">
        <f t="shared" si="19"/>
        <v>#DIV/0!</v>
      </c>
      <c r="BF82" s="71" t="e">
        <f t="shared" si="20"/>
        <v>#DIV/0!</v>
      </c>
    </row>
    <row r="83" spans="1:58">
      <c r="A83" s="24">
        <v>81</v>
      </c>
      <c r="B83" s="24">
        <v>0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7" t="e">
        <f t="shared" si="15"/>
        <v>#DIV/0!</v>
      </c>
      <c r="BB83" s="68" t="e">
        <f t="shared" si="16"/>
        <v>#DIV/0!</v>
      </c>
      <c r="BC83" s="68" t="e">
        <f t="shared" si="17"/>
        <v>#DIV/0!</v>
      </c>
      <c r="BD83" s="68" t="e">
        <f t="shared" si="18"/>
        <v>#DIV/0!</v>
      </c>
      <c r="BE83" s="68" t="e">
        <f t="shared" si="19"/>
        <v>#DIV/0!</v>
      </c>
      <c r="BF83" s="71" t="e">
        <f t="shared" si="20"/>
        <v>#DIV/0!</v>
      </c>
    </row>
    <row r="84" spans="1:58">
      <c r="A84" s="24">
        <v>82</v>
      </c>
      <c r="B84" s="24">
        <v>0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7" t="e">
        <f t="shared" si="15"/>
        <v>#DIV/0!</v>
      </c>
      <c r="BB84" s="68" t="e">
        <f t="shared" si="16"/>
        <v>#DIV/0!</v>
      </c>
      <c r="BC84" s="68" t="e">
        <f t="shared" si="17"/>
        <v>#DIV/0!</v>
      </c>
      <c r="BD84" s="68" t="e">
        <f t="shared" si="18"/>
        <v>#DIV/0!</v>
      </c>
      <c r="BE84" s="68" t="e">
        <f t="shared" si="19"/>
        <v>#DIV/0!</v>
      </c>
      <c r="BF84" s="71" t="e">
        <f t="shared" si="20"/>
        <v>#DIV/0!</v>
      </c>
    </row>
    <row r="85" spans="1:58">
      <c r="A85" s="24">
        <v>83</v>
      </c>
      <c r="B85" s="24">
        <v>0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7" t="e">
        <f t="shared" si="15"/>
        <v>#DIV/0!</v>
      </c>
      <c r="BB85" s="68" t="e">
        <f t="shared" si="16"/>
        <v>#DIV/0!</v>
      </c>
      <c r="BC85" s="68" t="e">
        <f t="shared" si="17"/>
        <v>#DIV/0!</v>
      </c>
      <c r="BD85" s="68" t="e">
        <f t="shared" si="18"/>
        <v>#DIV/0!</v>
      </c>
      <c r="BE85" s="68" t="e">
        <f t="shared" si="19"/>
        <v>#DIV/0!</v>
      </c>
      <c r="BF85" s="71" t="e">
        <f t="shared" si="20"/>
        <v>#DIV/0!</v>
      </c>
    </row>
    <row r="86" spans="1:58">
      <c r="A86" s="24">
        <v>84</v>
      </c>
      <c r="B86" s="24">
        <v>0</v>
      </c>
      <c r="C86" s="24">
        <v>0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7" t="e">
        <f t="shared" si="15"/>
        <v>#DIV/0!</v>
      </c>
      <c r="BB86" s="68" t="e">
        <f t="shared" si="16"/>
        <v>#DIV/0!</v>
      </c>
      <c r="BC86" s="68" t="e">
        <f t="shared" si="17"/>
        <v>#DIV/0!</v>
      </c>
      <c r="BD86" s="68" t="e">
        <f t="shared" si="18"/>
        <v>#DIV/0!</v>
      </c>
      <c r="BE86" s="68" t="e">
        <f t="shared" si="19"/>
        <v>#DIV/0!</v>
      </c>
      <c r="BF86" s="71" t="e">
        <f t="shared" si="20"/>
        <v>#DIV/0!</v>
      </c>
    </row>
    <row r="87" spans="1:58">
      <c r="A87" s="24">
        <v>85</v>
      </c>
      <c r="B87" s="24">
        <v>0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7" t="e">
        <f t="shared" si="15"/>
        <v>#DIV/0!</v>
      </c>
      <c r="BB87" s="68" t="e">
        <f t="shared" si="16"/>
        <v>#DIV/0!</v>
      </c>
      <c r="BC87" s="68" t="e">
        <f t="shared" si="17"/>
        <v>#DIV/0!</v>
      </c>
      <c r="BD87" s="68" t="e">
        <f t="shared" si="18"/>
        <v>#DIV/0!</v>
      </c>
      <c r="BE87" s="68" t="e">
        <f t="shared" si="19"/>
        <v>#DIV/0!</v>
      </c>
      <c r="BF87" s="71" t="e">
        <f t="shared" si="20"/>
        <v>#DIV/0!</v>
      </c>
    </row>
    <row r="88" spans="1:58">
      <c r="A88" s="24">
        <v>86</v>
      </c>
      <c r="B88" s="24">
        <v>0</v>
      </c>
      <c r="C88" s="24">
        <v>0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7" t="e">
        <f t="shared" si="15"/>
        <v>#DIV/0!</v>
      </c>
      <c r="BB88" s="68" t="e">
        <f t="shared" si="16"/>
        <v>#DIV/0!</v>
      </c>
      <c r="BC88" s="68" t="e">
        <f t="shared" si="17"/>
        <v>#DIV/0!</v>
      </c>
      <c r="BD88" s="68" t="e">
        <f t="shared" si="18"/>
        <v>#DIV/0!</v>
      </c>
      <c r="BE88" s="68" t="e">
        <f t="shared" si="19"/>
        <v>#DIV/0!</v>
      </c>
      <c r="BF88" s="71" t="e">
        <f t="shared" si="20"/>
        <v>#DIV/0!</v>
      </c>
    </row>
    <row r="89" spans="1:58">
      <c r="A89" s="24">
        <v>87</v>
      </c>
      <c r="B89" s="24">
        <v>0</v>
      </c>
      <c r="C89" s="24">
        <v>0</v>
      </c>
      <c r="D89" s="24">
        <v>0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7" t="e">
        <f t="shared" ref="BA89:BA114" si="21">AVERAGE(V89:AC89)*4</f>
        <v>#DIV/0!</v>
      </c>
      <c r="BB89" s="68" t="e">
        <f t="shared" ref="BB89:BB114" si="22">AVERAGE(AD89:AG89)*3</f>
        <v>#DIV/0!</v>
      </c>
      <c r="BC89" s="68" t="e">
        <f t="shared" ref="BC89:BC114" si="23">AVERAGE(AH89:AQ89)*2</f>
        <v>#DIV/0!</v>
      </c>
      <c r="BD89" s="68" t="e">
        <f t="shared" ref="BD89:BD114" si="24">AVERAGE(AR89:AZ89)*1</f>
        <v>#DIV/0!</v>
      </c>
      <c r="BE89" s="68" t="e">
        <f t="shared" ref="BE89:BE114" si="25">SUM(BA89:BD89)</f>
        <v>#DIV/0!</v>
      </c>
      <c r="BF89" s="71" t="e">
        <f t="shared" ref="BF89:BF114" si="26">(BE89/61.16)*100</f>
        <v>#DIV/0!</v>
      </c>
    </row>
    <row r="90" spans="1:58">
      <c r="A90" s="24">
        <v>88</v>
      </c>
      <c r="B90" s="24">
        <v>0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7" t="e">
        <f t="shared" si="21"/>
        <v>#DIV/0!</v>
      </c>
      <c r="BB90" s="68" t="e">
        <f t="shared" si="22"/>
        <v>#DIV/0!</v>
      </c>
      <c r="BC90" s="68" t="e">
        <f t="shared" si="23"/>
        <v>#DIV/0!</v>
      </c>
      <c r="BD90" s="68" t="e">
        <f t="shared" si="24"/>
        <v>#DIV/0!</v>
      </c>
      <c r="BE90" s="68" t="e">
        <f t="shared" si="25"/>
        <v>#DIV/0!</v>
      </c>
      <c r="BF90" s="71" t="e">
        <f t="shared" si="26"/>
        <v>#DIV/0!</v>
      </c>
    </row>
    <row r="91" spans="1:58">
      <c r="A91" s="24">
        <v>89</v>
      </c>
      <c r="B91" s="24">
        <v>0</v>
      </c>
      <c r="C91" s="24">
        <v>0</v>
      </c>
      <c r="D91" s="24">
        <v>0</v>
      </c>
      <c r="E91" s="24">
        <v>0</v>
      </c>
      <c r="F91" s="24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7" t="e">
        <f t="shared" si="21"/>
        <v>#DIV/0!</v>
      </c>
      <c r="BB91" s="68" t="e">
        <f t="shared" si="22"/>
        <v>#DIV/0!</v>
      </c>
      <c r="BC91" s="68" t="e">
        <f t="shared" si="23"/>
        <v>#DIV/0!</v>
      </c>
      <c r="BD91" s="68" t="e">
        <f t="shared" si="24"/>
        <v>#DIV/0!</v>
      </c>
      <c r="BE91" s="68" t="e">
        <f t="shared" si="25"/>
        <v>#DIV/0!</v>
      </c>
      <c r="BF91" s="71" t="e">
        <f t="shared" si="26"/>
        <v>#DIV/0!</v>
      </c>
    </row>
    <row r="92" spans="1:58">
      <c r="A92" s="24">
        <v>90</v>
      </c>
      <c r="B92" s="24">
        <v>0</v>
      </c>
      <c r="C92" s="24">
        <v>0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7" t="e">
        <f t="shared" si="21"/>
        <v>#DIV/0!</v>
      </c>
      <c r="BB92" s="68" t="e">
        <f t="shared" si="22"/>
        <v>#DIV/0!</v>
      </c>
      <c r="BC92" s="68" t="e">
        <f t="shared" si="23"/>
        <v>#DIV/0!</v>
      </c>
      <c r="BD92" s="68" t="e">
        <f t="shared" si="24"/>
        <v>#DIV/0!</v>
      </c>
      <c r="BE92" s="68" t="e">
        <f t="shared" si="25"/>
        <v>#DIV/0!</v>
      </c>
      <c r="BF92" s="71" t="e">
        <f t="shared" si="26"/>
        <v>#DIV/0!</v>
      </c>
    </row>
    <row r="93" spans="1:58">
      <c r="A93" s="24">
        <v>91</v>
      </c>
      <c r="B93" s="24">
        <v>0</v>
      </c>
      <c r="C93" s="24">
        <v>0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7" t="e">
        <f t="shared" si="21"/>
        <v>#DIV/0!</v>
      </c>
      <c r="BB93" s="68" t="e">
        <f t="shared" si="22"/>
        <v>#DIV/0!</v>
      </c>
      <c r="BC93" s="68" t="e">
        <f t="shared" si="23"/>
        <v>#DIV/0!</v>
      </c>
      <c r="BD93" s="68" t="e">
        <f t="shared" si="24"/>
        <v>#DIV/0!</v>
      </c>
      <c r="BE93" s="68" t="e">
        <f t="shared" si="25"/>
        <v>#DIV/0!</v>
      </c>
      <c r="BF93" s="71" t="e">
        <f t="shared" si="26"/>
        <v>#DIV/0!</v>
      </c>
    </row>
    <row r="94" spans="1:58">
      <c r="A94" s="24">
        <v>92</v>
      </c>
      <c r="B94" s="24">
        <v>0</v>
      </c>
      <c r="C94" s="24">
        <v>0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7" t="e">
        <f t="shared" si="21"/>
        <v>#DIV/0!</v>
      </c>
      <c r="BB94" s="68" t="e">
        <f t="shared" si="22"/>
        <v>#DIV/0!</v>
      </c>
      <c r="BC94" s="68" t="e">
        <f t="shared" si="23"/>
        <v>#DIV/0!</v>
      </c>
      <c r="BD94" s="68" t="e">
        <f t="shared" si="24"/>
        <v>#DIV/0!</v>
      </c>
      <c r="BE94" s="68" t="e">
        <f t="shared" si="25"/>
        <v>#DIV/0!</v>
      </c>
      <c r="BF94" s="71" t="e">
        <f t="shared" si="26"/>
        <v>#DIV/0!</v>
      </c>
    </row>
    <row r="95" spans="1:58">
      <c r="A95" s="24">
        <v>93</v>
      </c>
      <c r="B95" s="24">
        <v>0</v>
      </c>
      <c r="C95" s="24">
        <v>0</v>
      </c>
      <c r="D95" s="24">
        <v>0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7" t="e">
        <f t="shared" si="21"/>
        <v>#DIV/0!</v>
      </c>
      <c r="BB95" s="68" t="e">
        <f t="shared" si="22"/>
        <v>#DIV/0!</v>
      </c>
      <c r="BC95" s="68" t="e">
        <f t="shared" si="23"/>
        <v>#DIV/0!</v>
      </c>
      <c r="BD95" s="68" t="e">
        <f t="shared" si="24"/>
        <v>#DIV/0!</v>
      </c>
      <c r="BE95" s="68" t="e">
        <f t="shared" si="25"/>
        <v>#DIV/0!</v>
      </c>
      <c r="BF95" s="71" t="e">
        <f t="shared" si="26"/>
        <v>#DIV/0!</v>
      </c>
    </row>
    <row r="96" spans="1:58">
      <c r="A96" s="24">
        <v>94</v>
      </c>
      <c r="B96" s="24">
        <v>0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7" t="e">
        <f t="shared" si="21"/>
        <v>#DIV/0!</v>
      </c>
      <c r="BB96" s="68" t="e">
        <f t="shared" si="22"/>
        <v>#DIV/0!</v>
      </c>
      <c r="BC96" s="68" t="e">
        <f t="shared" si="23"/>
        <v>#DIV/0!</v>
      </c>
      <c r="BD96" s="68" t="e">
        <f t="shared" si="24"/>
        <v>#DIV/0!</v>
      </c>
      <c r="BE96" s="68" t="e">
        <f t="shared" si="25"/>
        <v>#DIV/0!</v>
      </c>
      <c r="BF96" s="71" t="e">
        <f t="shared" si="26"/>
        <v>#DIV/0!</v>
      </c>
    </row>
    <row r="97" spans="1:58">
      <c r="A97" s="24">
        <v>95</v>
      </c>
      <c r="B97" s="24">
        <v>0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7" t="e">
        <f t="shared" si="21"/>
        <v>#DIV/0!</v>
      </c>
      <c r="BB97" s="68" t="e">
        <f t="shared" si="22"/>
        <v>#DIV/0!</v>
      </c>
      <c r="BC97" s="68" t="e">
        <f t="shared" si="23"/>
        <v>#DIV/0!</v>
      </c>
      <c r="BD97" s="68" t="e">
        <f t="shared" si="24"/>
        <v>#DIV/0!</v>
      </c>
      <c r="BE97" s="68" t="e">
        <f t="shared" si="25"/>
        <v>#DIV/0!</v>
      </c>
      <c r="BF97" s="71" t="e">
        <f t="shared" si="26"/>
        <v>#DIV/0!</v>
      </c>
    </row>
    <row r="98" spans="1:58">
      <c r="A98" s="24">
        <v>96</v>
      </c>
      <c r="B98" s="24">
        <v>0</v>
      </c>
      <c r="C98" s="24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7" t="e">
        <f t="shared" si="21"/>
        <v>#DIV/0!</v>
      </c>
      <c r="BB98" s="68" t="e">
        <f t="shared" si="22"/>
        <v>#DIV/0!</v>
      </c>
      <c r="BC98" s="68" t="e">
        <f t="shared" si="23"/>
        <v>#DIV/0!</v>
      </c>
      <c r="BD98" s="68" t="e">
        <f t="shared" si="24"/>
        <v>#DIV/0!</v>
      </c>
      <c r="BE98" s="68" t="e">
        <f t="shared" si="25"/>
        <v>#DIV/0!</v>
      </c>
      <c r="BF98" s="71" t="e">
        <f t="shared" si="26"/>
        <v>#DIV/0!</v>
      </c>
    </row>
    <row r="99" spans="1:58">
      <c r="A99" s="24">
        <v>97</v>
      </c>
      <c r="B99" s="24">
        <v>0</v>
      </c>
      <c r="C99" s="24">
        <v>0</v>
      </c>
      <c r="D99" s="24">
        <v>0</v>
      </c>
      <c r="E99" s="24">
        <v>0</v>
      </c>
      <c r="F99" s="24">
        <v>0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7" t="e">
        <f t="shared" si="21"/>
        <v>#DIV/0!</v>
      </c>
      <c r="BB99" s="68" t="e">
        <f t="shared" si="22"/>
        <v>#DIV/0!</v>
      </c>
      <c r="BC99" s="68" t="e">
        <f t="shared" si="23"/>
        <v>#DIV/0!</v>
      </c>
      <c r="BD99" s="68" t="e">
        <f t="shared" si="24"/>
        <v>#DIV/0!</v>
      </c>
      <c r="BE99" s="68" t="e">
        <f t="shared" si="25"/>
        <v>#DIV/0!</v>
      </c>
      <c r="BF99" s="71" t="e">
        <f t="shared" si="26"/>
        <v>#DIV/0!</v>
      </c>
    </row>
    <row r="100" spans="1:58">
      <c r="A100" s="24">
        <v>98</v>
      </c>
      <c r="B100" s="24">
        <v>0</v>
      </c>
      <c r="C100" s="24">
        <v>0</v>
      </c>
      <c r="D100" s="24">
        <v>0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7" t="e">
        <f t="shared" si="21"/>
        <v>#DIV/0!</v>
      </c>
      <c r="BB100" s="68" t="e">
        <f t="shared" si="22"/>
        <v>#DIV/0!</v>
      </c>
      <c r="BC100" s="68" t="e">
        <f t="shared" si="23"/>
        <v>#DIV/0!</v>
      </c>
      <c r="BD100" s="68" t="e">
        <f t="shared" si="24"/>
        <v>#DIV/0!</v>
      </c>
      <c r="BE100" s="68" t="e">
        <f t="shared" si="25"/>
        <v>#DIV/0!</v>
      </c>
      <c r="BF100" s="71" t="e">
        <f t="shared" si="26"/>
        <v>#DIV/0!</v>
      </c>
    </row>
    <row r="101" spans="1:58">
      <c r="A101" s="24">
        <v>99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0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7" t="e">
        <f t="shared" si="21"/>
        <v>#DIV/0!</v>
      </c>
      <c r="BB101" s="68" t="e">
        <f t="shared" si="22"/>
        <v>#DIV/0!</v>
      </c>
      <c r="BC101" s="68" t="e">
        <f t="shared" si="23"/>
        <v>#DIV/0!</v>
      </c>
      <c r="BD101" s="68" t="e">
        <f t="shared" si="24"/>
        <v>#DIV/0!</v>
      </c>
      <c r="BE101" s="68" t="e">
        <f t="shared" si="25"/>
        <v>#DIV/0!</v>
      </c>
      <c r="BF101" s="71" t="e">
        <f t="shared" si="26"/>
        <v>#DIV/0!</v>
      </c>
    </row>
    <row r="102" spans="1:58">
      <c r="A102" s="24">
        <v>100</v>
      </c>
      <c r="B102" s="24">
        <v>0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7" t="e">
        <f t="shared" si="21"/>
        <v>#DIV/0!</v>
      </c>
      <c r="BB102" s="68" t="e">
        <f t="shared" si="22"/>
        <v>#DIV/0!</v>
      </c>
      <c r="BC102" s="68" t="e">
        <f t="shared" si="23"/>
        <v>#DIV/0!</v>
      </c>
      <c r="BD102" s="68" t="e">
        <f t="shared" si="24"/>
        <v>#DIV/0!</v>
      </c>
      <c r="BE102" s="68" t="e">
        <f t="shared" si="25"/>
        <v>#DIV/0!</v>
      </c>
      <c r="BF102" s="71" t="e">
        <f t="shared" si="26"/>
        <v>#DIV/0!</v>
      </c>
    </row>
    <row r="103" spans="1:58">
      <c r="A103" s="24">
        <v>101</v>
      </c>
      <c r="B103" s="24">
        <v>0</v>
      </c>
      <c r="C103" s="24">
        <v>0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7" t="e">
        <f t="shared" si="21"/>
        <v>#DIV/0!</v>
      </c>
      <c r="BB103" s="68" t="e">
        <f t="shared" si="22"/>
        <v>#DIV/0!</v>
      </c>
      <c r="BC103" s="68" t="e">
        <f t="shared" si="23"/>
        <v>#DIV/0!</v>
      </c>
      <c r="BD103" s="68" t="e">
        <f t="shared" si="24"/>
        <v>#DIV/0!</v>
      </c>
      <c r="BE103" s="68" t="e">
        <f t="shared" si="25"/>
        <v>#DIV/0!</v>
      </c>
      <c r="BF103" s="71" t="e">
        <f t="shared" si="26"/>
        <v>#DIV/0!</v>
      </c>
    </row>
    <row r="104" spans="1:58">
      <c r="A104" s="24">
        <v>102</v>
      </c>
      <c r="B104" s="24">
        <v>0</v>
      </c>
      <c r="C104" s="24">
        <v>0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7" t="e">
        <f t="shared" si="21"/>
        <v>#DIV/0!</v>
      </c>
      <c r="BB104" s="68" t="e">
        <f t="shared" si="22"/>
        <v>#DIV/0!</v>
      </c>
      <c r="BC104" s="68" t="e">
        <f t="shared" si="23"/>
        <v>#DIV/0!</v>
      </c>
      <c r="BD104" s="68" t="e">
        <f t="shared" si="24"/>
        <v>#DIV/0!</v>
      </c>
      <c r="BE104" s="68" t="e">
        <f t="shared" si="25"/>
        <v>#DIV/0!</v>
      </c>
      <c r="BF104" s="71" t="e">
        <f t="shared" si="26"/>
        <v>#DIV/0!</v>
      </c>
    </row>
    <row r="105" spans="1:58">
      <c r="A105" s="24">
        <v>103</v>
      </c>
      <c r="B105" s="24">
        <v>0</v>
      </c>
      <c r="C105" s="24">
        <v>0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7" t="e">
        <f t="shared" si="21"/>
        <v>#DIV/0!</v>
      </c>
      <c r="BB105" s="68" t="e">
        <f t="shared" si="22"/>
        <v>#DIV/0!</v>
      </c>
      <c r="BC105" s="68" t="e">
        <f t="shared" si="23"/>
        <v>#DIV/0!</v>
      </c>
      <c r="BD105" s="68" t="e">
        <f t="shared" si="24"/>
        <v>#DIV/0!</v>
      </c>
      <c r="BE105" s="68" t="e">
        <f t="shared" si="25"/>
        <v>#DIV/0!</v>
      </c>
      <c r="BF105" s="71" t="e">
        <f t="shared" si="26"/>
        <v>#DIV/0!</v>
      </c>
    </row>
    <row r="106" spans="1:58">
      <c r="A106" s="24">
        <v>104</v>
      </c>
      <c r="B106" s="24">
        <v>0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7" t="e">
        <f t="shared" si="21"/>
        <v>#DIV/0!</v>
      </c>
      <c r="BB106" s="68" t="e">
        <f t="shared" si="22"/>
        <v>#DIV/0!</v>
      </c>
      <c r="BC106" s="68" t="e">
        <f t="shared" si="23"/>
        <v>#DIV/0!</v>
      </c>
      <c r="BD106" s="68" t="e">
        <f t="shared" si="24"/>
        <v>#DIV/0!</v>
      </c>
      <c r="BE106" s="68" t="e">
        <f t="shared" si="25"/>
        <v>#DIV/0!</v>
      </c>
      <c r="BF106" s="71" t="e">
        <f t="shared" si="26"/>
        <v>#DIV/0!</v>
      </c>
    </row>
    <row r="107" spans="1:58">
      <c r="A107" s="24">
        <v>105</v>
      </c>
      <c r="B107" s="24">
        <v>0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7" t="e">
        <f t="shared" si="21"/>
        <v>#DIV/0!</v>
      </c>
      <c r="BB107" s="68" t="e">
        <f t="shared" si="22"/>
        <v>#DIV/0!</v>
      </c>
      <c r="BC107" s="68" t="e">
        <f t="shared" si="23"/>
        <v>#DIV/0!</v>
      </c>
      <c r="BD107" s="68" t="e">
        <f t="shared" si="24"/>
        <v>#DIV/0!</v>
      </c>
      <c r="BE107" s="68" t="e">
        <f t="shared" si="25"/>
        <v>#DIV/0!</v>
      </c>
      <c r="BF107" s="71" t="e">
        <f t="shared" si="26"/>
        <v>#DIV/0!</v>
      </c>
    </row>
    <row r="108" spans="1:58">
      <c r="A108" s="24">
        <v>106</v>
      </c>
      <c r="B108" s="24">
        <v>0</v>
      </c>
      <c r="C108" s="24">
        <v>0</v>
      </c>
      <c r="D108" s="24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7" t="e">
        <f t="shared" si="21"/>
        <v>#DIV/0!</v>
      </c>
      <c r="BB108" s="68" t="e">
        <f t="shared" si="22"/>
        <v>#DIV/0!</v>
      </c>
      <c r="BC108" s="68" t="e">
        <f t="shared" si="23"/>
        <v>#DIV/0!</v>
      </c>
      <c r="BD108" s="68" t="e">
        <f t="shared" si="24"/>
        <v>#DIV/0!</v>
      </c>
      <c r="BE108" s="68" t="e">
        <f t="shared" si="25"/>
        <v>#DIV/0!</v>
      </c>
      <c r="BF108" s="71" t="e">
        <f t="shared" si="26"/>
        <v>#DIV/0!</v>
      </c>
    </row>
    <row r="109" spans="1:58">
      <c r="A109" s="24">
        <v>107</v>
      </c>
      <c r="B109" s="24">
        <v>0</v>
      </c>
      <c r="C109" s="24">
        <v>0</v>
      </c>
      <c r="D109" s="24">
        <v>0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7" t="e">
        <f t="shared" si="21"/>
        <v>#DIV/0!</v>
      </c>
      <c r="BB109" s="68" t="e">
        <f t="shared" si="22"/>
        <v>#DIV/0!</v>
      </c>
      <c r="BC109" s="68" t="e">
        <f t="shared" si="23"/>
        <v>#DIV/0!</v>
      </c>
      <c r="BD109" s="68" t="e">
        <f t="shared" si="24"/>
        <v>#DIV/0!</v>
      </c>
      <c r="BE109" s="68" t="e">
        <f t="shared" si="25"/>
        <v>#DIV/0!</v>
      </c>
      <c r="BF109" s="71" t="e">
        <f t="shared" si="26"/>
        <v>#DIV/0!</v>
      </c>
    </row>
    <row r="110" spans="1:58">
      <c r="A110" s="24">
        <v>108</v>
      </c>
      <c r="B110" s="24">
        <v>0</v>
      </c>
      <c r="C110" s="24">
        <v>0</v>
      </c>
      <c r="D110" s="24">
        <v>0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7" t="e">
        <f t="shared" si="21"/>
        <v>#DIV/0!</v>
      </c>
      <c r="BB110" s="68" t="e">
        <f t="shared" si="22"/>
        <v>#DIV/0!</v>
      </c>
      <c r="BC110" s="68" t="e">
        <f t="shared" si="23"/>
        <v>#DIV/0!</v>
      </c>
      <c r="BD110" s="68" t="e">
        <f t="shared" si="24"/>
        <v>#DIV/0!</v>
      </c>
      <c r="BE110" s="68" t="e">
        <f t="shared" si="25"/>
        <v>#DIV/0!</v>
      </c>
      <c r="BF110" s="71" t="e">
        <f t="shared" si="26"/>
        <v>#DIV/0!</v>
      </c>
    </row>
    <row r="111" spans="1:58">
      <c r="A111" s="24">
        <v>109</v>
      </c>
      <c r="B111" s="24">
        <v>0</v>
      </c>
      <c r="C111" s="24">
        <v>0</v>
      </c>
      <c r="D111" s="24">
        <v>0</v>
      </c>
      <c r="E111" s="24">
        <v>0</v>
      </c>
      <c r="F111" s="24">
        <v>0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7" t="e">
        <f t="shared" si="21"/>
        <v>#DIV/0!</v>
      </c>
      <c r="BB111" s="68" t="e">
        <f t="shared" si="22"/>
        <v>#DIV/0!</v>
      </c>
      <c r="BC111" s="68" t="e">
        <f t="shared" si="23"/>
        <v>#DIV/0!</v>
      </c>
      <c r="BD111" s="68" t="e">
        <f t="shared" si="24"/>
        <v>#DIV/0!</v>
      </c>
      <c r="BE111" s="68" t="e">
        <f t="shared" si="25"/>
        <v>#DIV/0!</v>
      </c>
      <c r="BF111" s="71" t="e">
        <f t="shared" si="26"/>
        <v>#DIV/0!</v>
      </c>
    </row>
    <row r="112" spans="1:58">
      <c r="A112" s="24">
        <v>110</v>
      </c>
      <c r="B112" s="24">
        <v>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7" t="e">
        <f t="shared" si="21"/>
        <v>#DIV/0!</v>
      </c>
      <c r="BB112" s="68" t="e">
        <f t="shared" si="22"/>
        <v>#DIV/0!</v>
      </c>
      <c r="BC112" s="68" t="e">
        <f t="shared" si="23"/>
        <v>#DIV/0!</v>
      </c>
      <c r="BD112" s="68" t="e">
        <f t="shared" si="24"/>
        <v>#DIV/0!</v>
      </c>
      <c r="BE112" s="68" t="e">
        <f t="shared" si="25"/>
        <v>#DIV/0!</v>
      </c>
      <c r="BF112" s="71" t="e">
        <f t="shared" si="26"/>
        <v>#DIV/0!</v>
      </c>
    </row>
    <row r="113" spans="1:58">
      <c r="A113" s="24">
        <v>111</v>
      </c>
      <c r="B113" s="24">
        <v>0</v>
      </c>
      <c r="C113" s="24">
        <v>0</v>
      </c>
      <c r="D113" s="24">
        <v>0</v>
      </c>
      <c r="E113" s="24">
        <v>0</v>
      </c>
      <c r="F113" s="24">
        <v>0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7" t="e">
        <f t="shared" si="21"/>
        <v>#DIV/0!</v>
      </c>
      <c r="BB113" s="68" t="e">
        <f t="shared" si="22"/>
        <v>#DIV/0!</v>
      </c>
      <c r="BC113" s="68" t="e">
        <f t="shared" si="23"/>
        <v>#DIV/0!</v>
      </c>
      <c r="BD113" s="68" t="e">
        <f t="shared" si="24"/>
        <v>#DIV/0!</v>
      </c>
      <c r="BE113" s="68" t="e">
        <f t="shared" si="25"/>
        <v>#DIV/0!</v>
      </c>
      <c r="BF113" s="71" t="e">
        <f t="shared" si="26"/>
        <v>#DIV/0!</v>
      </c>
    </row>
    <row r="114" spans="1:58">
      <c r="A114" s="24">
        <v>112</v>
      </c>
      <c r="B114" s="24">
        <v>0</v>
      </c>
      <c r="C114" s="24">
        <v>0</v>
      </c>
      <c r="D114" s="24">
        <v>0</v>
      </c>
      <c r="E114" s="24">
        <v>0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7" t="e">
        <f t="shared" si="21"/>
        <v>#DIV/0!</v>
      </c>
      <c r="BB114" s="68" t="e">
        <f t="shared" si="22"/>
        <v>#DIV/0!</v>
      </c>
      <c r="BC114" s="68" t="e">
        <f t="shared" si="23"/>
        <v>#DIV/0!</v>
      </c>
      <c r="BD114" s="68" t="e">
        <f t="shared" si="24"/>
        <v>#DIV/0!</v>
      </c>
      <c r="BE114" s="68" t="e">
        <f t="shared" si="25"/>
        <v>#DIV/0!</v>
      </c>
      <c r="BF114" s="71" t="e">
        <f t="shared" si="26"/>
        <v>#DIV/0!</v>
      </c>
    </row>
    <row r="115" spans="1:58">
      <c r="A115" s="24">
        <v>113</v>
      </c>
      <c r="B115" s="24">
        <v>0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7" t="e">
        <f t="shared" ref="BA115:BA125" si="27">AVERAGE(V115:AC115)*4</f>
        <v>#DIV/0!</v>
      </c>
      <c r="BB115" s="68" t="e">
        <f t="shared" ref="BB115:BB125" si="28">AVERAGE(AD115:AG115)*3</f>
        <v>#DIV/0!</v>
      </c>
      <c r="BC115" s="68" t="e">
        <f t="shared" ref="BC115:BC125" si="29">AVERAGE(AH115:AQ115)*2</f>
        <v>#DIV/0!</v>
      </c>
      <c r="BD115" s="68" t="e">
        <f t="shared" ref="BD115:BD125" si="30">AVERAGE(AR115:AZ115)*1</f>
        <v>#DIV/0!</v>
      </c>
      <c r="BE115" s="68" t="e">
        <f t="shared" ref="BE115:BE125" si="31">SUM(BA115:BD115)</f>
        <v>#DIV/0!</v>
      </c>
      <c r="BF115" s="71" t="e">
        <f t="shared" ref="BF115:BF125" si="32">(BE115/61.16)*100</f>
        <v>#DIV/0!</v>
      </c>
    </row>
    <row r="116" spans="1:58">
      <c r="A116" s="24">
        <v>114</v>
      </c>
      <c r="B116" s="24">
        <v>0</v>
      </c>
      <c r="C116" s="24">
        <v>0</v>
      </c>
      <c r="D116" s="24">
        <v>0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7" t="e">
        <f t="shared" si="27"/>
        <v>#DIV/0!</v>
      </c>
      <c r="BB116" s="68" t="e">
        <f t="shared" si="28"/>
        <v>#DIV/0!</v>
      </c>
      <c r="BC116" s="68" t="e">
        <f t="shared" si="29"/>
        <v>#DIV/0!</v>
      </c>
      <c r="BD116" s="68" t="e">
        <f t="shared" si="30"/>
        <v>#DIV/0!</v>
      </c>
      <c r="BE116" s="68" t="e">
        <f t="shared" si="31"/>
        <v>#DIV/0!</v>
      </c>
      <c r="BF116" s="71" t="e">
        <f t="shared" si="32"/>
        <v>#DIV/0!</v>
      </c>
    </row>
    <row r="117" spans="1:58">
      <c r="A117" s="24">
        <v>115</v>
      </c>
      <c r="B117" s="24">
        <v>0</v>
      </c>
      <c r="C117" s="24">
        <v>0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7" t="e">
        <f t="shared" si="27"/>
        <v>#DIV/0!</v>
      </c>
      <c r="BB117" s="68" t="e">
        <f t="shared" si="28"/>
        <v>#DIV/0!</v>
      </c>
      <c r="BC117" s="68" t="e">
        <f t="shared" si="29"/>
        <v>#DIV/0!</v>
      </c>
      <c r="BD117" s="68" t="e">
        <f t="shared" si="30"/>
        <v>#DIV/0!</v>
      </c>
      <c r="BE117" s="68" t="e">
        <f t="shared" si="31"/>
        <v>#DIV/0!</v>
      </c>
      <c r="BF117" s="71" t="e">
        <f t="shared" si="32"/>
        <v>#DIV/0!</v>
      </c>
    </row>
    <row r="118" spans="1:58">
      <c r="A118" s="24">
        <v>116</v>
      </c>
      <c r="B118" s="24">
        <v>0</v>
      </c>
      <c r="C118" s="24">
        <v>0</v>
      </c>
      <c r="D118" s="24">
        <v>0</v>
      </c>
      <c r="E118" s="24">
        <v>0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7" t="e">
        <f t="shared" si="27"/>
        <v>#DIV/0!</v>
      </c>
      <c r="BB118" s="68" t="e">
        <f t="shared" si="28"/>
        <v>#DIV/0!</v>
      </c>
      <c r="BC118" s="68" t="e">
        <f t="shared" si="29"/>
        <v>#DIV/0!</v>
      </c>
      <c r="BD118" s="68" t="e">
        <f t="shared" si="30"/>
        <v>#DIV/0!</v>
      </c>
      <c r="BE118" s="68" t="e">
        <f t="shared" si="31"/>
        <v>#DIV/0!</v>
      </c>
      <c r="BF118" s="71" t="e">
        <f t="shared" si="32"/>
        <v>#DIV/0!</v>
      </c>
    </row>
    <row r="119" spans="1:58">
      <c r="A119" s="24">
        <v>117</v>
      </c>
      <c r="B119" s="24">
        <v>0</v>
      </c>
      <c r="C119" s="24">
        <v>0</v>
      </c>
      <c r="D119" s="24">
        <v>0</v>
      </c>
      <c r="E119" s="24">
        <v>0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7" t="e">
        <f t="shared" si="27"/>
        <v>#DIV/0!</v>
      </c>
      <c r="BB119" s="68" t="e">
        <f t="shared" si="28"/>
        <v>#DIV/0!</v>
      </c>
      <c r="BC119" s="68" t="e">
        <f t="shared" si="29"/>
        <v>#DIV/0!</v>
      </c>
      <c r="BD119" s="68" t="e">
        <f t="shared" si="30"/>
        <v>#DIV/0!</v>
      </c>
      <c r="BE119" s="68" t="e">
        <f t="shared" si="31"/>
        <v>#DIV/0!</v>
      </c>
      <c r="BF119" s="71" t="e">
        <f t="shared" si="32"/>
        <v>#DIV/0!</v>
      </c>
    </row>
    <row r="120" spans="1:58">
      <c r="A120" s="24">
        <v>118</v>
      </c>
      <c r="B120" s="24">
        <v>0</v>
      </c>
      <c r="C120" s="24">
        <v>0</v>
      </c>
      <c r="D120" s="24">
        <v>0</v>
      </c>
      <c r="E120" s="24">
        <v>0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7" t="e">
        <f t="shared" si="27"/>
        <v>#DIV/0!</v>
      </c>
      <c r="BB120" s="68" t="e">
        <f t="shared" si="28"/>
        <v>#DIV/0!</v>
      </c>
      <c r="BC120" s="68" t="e">
        <f t="shared" si="29"/>
        <v>#DIV/0!</v>
      </c>
      <c r="BD120" s="68" t="e">
        <f t="shared" si="30"/>
        <v>#DIV/0!</v>
      </c>
      <c r="BE120" s="68" t="e">
        <f t="shared" si="31"/>
        <v>#DIV/0!</v>
      </c>
      <c r="BF120" s="71" t="e">
        <f t="shared" si="32"/>
        <v>#DIV/0!</v>
      </c>
    </row>
    <row r="121" spans="1:58">
      <c r="A121" s="24">
        <v>119</v>
      </c>
      <c r="B121" s="24">
        <v>0</v>
      </c>
      <c r="C121" s="24">
        <v>0</v>
      </c>
      <c r="D121" s="24">
        <v>0</v>
      </c>
      <c r="E121" s="24">
        <v>0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7" t="e">
        <f t="shared" si="27"/>
        <v>#DIV/0!</v>
      </c>
      <c r="BB121" s="68" t="e">
        <f t="shared" si="28"/>
        <v>#DIV/0!</v>
      </c>
      <c r="BC121" s="68" t="e">
        <f t="shared" si="29"/>
        <v>#DIV/0!</v>
      </c>
      <c r="BD121" s="68" t="e">
        <f t="shared" si="30"/>
        <v>#DIV/0!</v>
      </c>
      <c r="BE121" s="68" t="e">
        <f t="shared" si="31"/>
        <v>#DIV/0!</v>
      </c>
      <c r="BF121" s="71" t="e">
        <f t="shared" si="32"/>
        <v>#DIV/0!</v>
      </c>
    </row>
    <row r="122" spans="1:58">
      <c r="A122" s="24">
        <v>120</v>
      </c>
      <c r="B122" s="24">
        <v>0</v>
      </c>
      <c r="C122" s="24">
        <v>0</v>
      </c>
      <c r="D122" s="24">
        <v>0</v>
      </c>
      <c r="E122" s="24">
        <v>0</v>
      </c>
      <c r="F122" s="24">
        <v>0</v>
      </c>
      <c r="G122" s="24">
        <v>0</v>
      </c>
      <c r="H122" s="24">
        <v>0</v>
      </c>
      <c r="I122" s="24">
        <v>0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7" t="e">
        <f t="shared" si="27"/>
        <v>#DIV/0!</v>
      </c>
      <c r="BB122" s="68" t="e">
        <f t="shared" si="28"/>
        <v>#DIV/0!</v>
      </c>
      <c r="BC122" s="68" t="e">
        <f t="shared" si="29"/>
        <v>#DIV/0!</v>
      </c>
      <c r="BD122" s="68" t="e">
        <f t="shared" si="30"/>
        <v>#DIV/0!</v>
      </c>
      <c r="BE122" s="68" t="e">
        <f t="shared" si="31"/>
        <v>#DIV/0!</v>
      </c>
      <c r="BF122" s="71" t="e">
        <f t="shared" si="32"/>
        <v>#DIV/0!</v>
      </c>
    </row>
    <row r="123" spans="1:58">
      <c r="A123" s="24">
        <v>121</v>
      </c>
      <c r="B123" s="24">
        <v>0</v>
      </c>
      <c r="C123" s="24">
        <v>0</v>
      </c>
      <c r="D123" s="24">
        <v>0</v>
      </c>
      <c r="E123" s="24">
        <v>0</v>
      </c>
      <c r="F123" s="24">
        <v>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7" t="e">
        <f t="shared" si="27"/>
        <v>#DIV/0!</v>
      </c>
      <c r="BB123" s="68" t="e">
        <f t="shared" si="28"/>
        <v>#DIV/0!</v>
      </c>
      <c r="BC123" s="68" t="e">
        <f t="shared" si="29"/>
        <v>#DIV/0!</v>
      </c>
      <c r="BD123" s="68" t="e">
        <f t="shared" si="30"/>
        <v>#DIV/0!</v>
      </c>
      <c r="BE123" s="68" t="e">
        <f t="shared" si="31"/>
        <v>#DIV/0!</v>
      </c>
      <c r="BF123" s="71" t="e">
        <f t="shared" si="32"/>
        <v>#DIV/0!</v>
      </c>
    </row>
    <row r="124" spans="1:58">
      <c r="A124" s="24">
        <v>122</v>
      </c>
      <c r="B124" s="24">
        <v>0</v>
      </c>
      <c r="C124" s="24">
        <v>0</v>
      </c>
      <c r="D124" s="24">
        <v>0</v>
      </c>
      <c r="E124" s="24">
        <v>0</v>
      </c>
      <c r="F124" s="24">
        <v>0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7" t="e">
        <f t="shared" si="27"/>
        <v>#DIV/0!</v>
      </c>
      <c r="BB124" s="68" t="e">
        <f t="shared" si="28"/>
        <v>#DIV/0!</v>
      </c>
      <c r="BC124" s="68" t="e">
        <f t="shared" si="29"/>
        <v>#DIV/0!</v>
      </c>
      <c r="BD124" s="68" t="e">
        <f t="shared" si="30"/>
        <v>#DIV/0!</v>
      </c>
      <c r="BE124" s="68" t="e">
        <f t="shared" si="31"/>
        <v>#DIV/0!</v>
      </c>
      <c r="BF124" s="71" t="e">
        <f t="shared" si="32"/>
        <v>#DIV/0!</v>
      </c>
    </row>
    <row r="125" spans="1:58">
      <c r="A125" s="24">
        <v>123</v>
      </c>
      <c r="B125" s="24">
        <v>0</v>
      </c>
      <c r="C125" s="24">
        <v>0</v>
      </c>
      <c r="D125" s="24">
        <v>0</v>
      </c>
      <c r="E125" s="24">
        <v>0</v>
      </c>
      <c r="F125" s="24">
        <v>0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7" t="e">
        <f t="shared" si="27"/>
        <v>#DIV/0!</v>
      </c>
      <c r="BB125" s="68" t="e">
        <f t="shared" si="28"/>
        <v>#DIV/0!</v>
      </c>
      <c r="BC125" s="68" t="e">
        <f t="shared" si="29"/>
        <v>#DIV/0!</v>
      </c>
      <c r="BD125" s="68" t="e">
        <f t="shared" si="30"/>
        <v>#DIV/0!</v>
      </c>
      <c r="BE125" s="68" t="e">
        <f t="shared" si="31"/>
        <v>#DIV/0!</v>
      </c>
      <c r="BF125" s="71" t="e">
        <f t="shared" si="32"/>
        <v>#DIV/0!</v>
      </c>
    </row>
    <row r="126" spans="1:58">
      <c r="A126" s="24">
        <v>124</v>
      </c>
      <c r="B126" s="24">
        <v>0</v>
      </c>
      <c r="C126" s="24">
        <v>0</v>
      </c>
      <c r="D126" s="24">
        <v>0</v>
      </c>
      <c r="E126" s="24">
        <v>0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7" t="e">
        <f t="shared" ref="BA126:BA145" si="33">AVERAGE(V126:AC126)*4</f>
        <v>#DIV/0!</v>
      </c>
      <c r="BB126" s="68" t="e">
        <f t="shared" ref="BB126:BB145" si="34">AVERAGE(AD126:AG126)*3</f>
        <v>#DIV/0!</v>
      </c>
      <c r="BC126" s="68" t="e">
        <f t="shared" ref="BC126:BC145" si="35">AVERAGE(AH126:AQ126)*2</f>
        <v>#DIV/0!</v>
      </c>
      <c r="BD126" s="68" t="e">
        <f t="shared" ref="BD126:BD145" si="36">AVERAGE(AR126:AZ126)*1</f>
        <v>#DIV/0!</v>
      </c>
      <c r="BE126" s="68" t="e">
        <f t="shared" ref="BE126:BE145" si="37">SUM(BA126:BD126)</f>
        <v>#DIV/0!</v>
      </c>
      <c r="BF126" s="71" t="e">
        <f t="shared" ref="BF126:BF145" si="38">(BE126/61.16)*100</f>
        <v>#DIV/0!</v>
      </c>
    </row>
    <row r="127" spans="1:58">
      <c r="A127" s="24">
        <v>125</v>
      </c>
      <c r="B127" s="24">
        <v>0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7" t="e">
        <f t="shared" si="33"/>
        <v>#DIV/0!</v>
      </c>
      <c r="BB127" s="68" t="e">
        <f t="shared" si="34"/>
        <v>#DIV/0!</v>
      </c>
      <c r="BC127" s="68" t="e">
        <f t="shared" si="35"/>
        <v>#DIV/0!</v>
      </c>
      <c r="BD127" s="68" t="e">
        <f t="shared" si="36"/>
        <v>#DIV/0!</v>
      </c>
      <c r="BE127" s="68" t="e">
        <f t="shared" si="37"/>
        <v>#DIV/0!</v>
      </c>
      <c r="BF127" s="71" t="e">
        <f t="shared" si="38"/>
        <v>#DIV/0!</v>
      </c>
    </row>
    <row r="128" spans="1:58">
      <c r="A128" s="24">
        <v>126</v>
      </c>
      <c r="B128" s="24">
        <v>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7" t="e">
        <f t="shared" si="33"/>
        <v>#DIV/0!</v>
      </c>
      <c r="BB128" s="68" t="e">
        <f t="shared" si="34"/>
        <v>#DIV/0!</v>
      </c>
      <c r="BC128" s="68" t="e">
        <f t="shared" si="35"/>
        <v>#DIV/0!</v>
      </c>
      <c r="BD128" s="68" t="e">
        <f t="shared" si="36"/>
        <v>#DIV/0!</v>
      </c>
      <c r="BE128" s="68" t="e">
        <f t="shared" si="37"/>
        <v>#DIV/0!</v>
      </c>
      <c r="BF128" s="71" t="e">
        <f t="shared" si="38"/>
        <v>#DIV/0!</v>
      </c>
    </row>
    <row r="129" spans="1:58">
      <c r="A129" s="24">
        <v>127</v>
      </c>
      <c r="B129" s="24">
        <v>0</v>
      </c>
      <c r="C129" s="24">
        <v>0</v>
      </c>
      <c r="D129" s="24">
        <v>0</v>
      </c>
      <c r="E129" s="24">
        <v>0</v>
      </c>
      <c r="F129" s="24">
        <v>0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7" t="e">
        <f t="shared" si="33"/>
        <v>#DIV/0!</v>
      </c>
      <c r="BB129" s="68" t="e">
        <f t="shared" si="34"/>
        <v>#DIV/0!</v>
      </c>
      <c r="BC129" s="68" t="e">
        <f t="shared" si="35"/>
        <v>#DIV/0!</v>
      </c>
      <c r="BD129" s="68" t="e">
        <f t="shared" si="36"/>
        <v>#DIV/0!</v>
      </c>
      <c r="BE129" s="68" t="e">
        <f t="shared" si="37"/>
        <v>#DIV/0!</v>
      </c>
      <c r="BF129" s="71" t="e">
        <f t="shared" si="38"/>
        <v>#DIV/0!</v>
      </c>
    </row>
    <row r="130" spans="1:58">
      <c r="A130" s="24">
        <v>128</v>
      </c>
      <c r="B130" s="24">
        <v>0</v>
      </c>
      <c r="C130" s="24">
        <v>0</v>
      </c>
      <c r="D130" s="24">
        <v>0</v>
      </c>
      <c r="E130" s="24">
        <v>0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7" t="e">
        <f t="shared" si="33"/>
        <v>#DIV/0!</v>
      </c>
      <c r="BB130" s="68" t="e">
        <f t="shared" si="34"/>
        <v>#DIV/0!</v>
      </c>
      <c r="BC130" s="68" t="e">
        <f t="shared" si="35"/>
        <v>#DIV/0!</v>
      </c>
      <c r="BD130" s="68" t="e">
        <f t="shared" si="36"/>
        <v>#DIV/0!</v>
      </c>
      <c r="BE130" s="68" t="e">
        <f t="shared" si="37"/>
        <v>#DIV/0!</v>
      </c>
      <c r="BF130" s="71" t="e">
        <f t="shared" si="38"/>
        <v>#DIV/0!</v>
      </c>
    </row>
    <row r="131" spans="1:58">
      <c r="A131" s="24">
        <v>129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7" t="e">
        <f t="shared" si="33"/>
        <v>#DIV/0!</v>
      </c>
      <c r="BB131" s="68" t="e">
        <f t="shared" si="34"/>
        <v>#DIV/0!</v>
      </c>
      <c r="BC131" s="68" t="e">
        <f t="shared" si="35"/>
        <v>#DIV/0!</v>
      </c>
      <c r="BD131" s="68" t="e">
        <f t="shared" si="36"/>
        <v>#DIV/0!</v>
      </c>
      <c r="BE131" s="68" t="e">
        <f t="shared" si="37"/>
        <v>#DIV/0!</v>
      </c>
      <c r="BF131" s="71" t="e">
        <f t="shared" si="38"/>
        <v>#DIV/0!</v>
      </c>
    </row>
    <row r="132" spans="1:58">
      <c r="A132" s="24">
        <v>130</v>
      </c>
      <c r="B132" s="24">
        <v>0</v>
      </c>
      <c r="C132" s="24">
        <v>0</v>
      </c>
      <c r="D132" s="24">
        <v>0</v>
      </c>
      <c r="E132" s="24">
        <v>0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7" t="e">
        <f t="shared" si="33"/>
        <v>#DIV/0!</v>
      </c>
      <c r="BB132" s="68" t="e">
        <f t="shared" si="34"/>
        <v>#DIV/0!</v>
      </c>
      <c r="BC132" s="68" t="e">
        <f t="shared" si="35"/>
        <v>#DIV/0!</v>
      </c>
      <c r="BD132" s="68" t="e">
        <f t="shared" si="36"/>
        <v>#DIV/0!</v>
      </c>
      <c r="BE132" s="68" t="e">
        <f t="shared" si="37"/>
        <v>#DIV/0!</v>
      </c>
      <c r="BF132" s="71" t="e">
        <f t="shared" si="38"/>
        <v>#DIV/0!</v>
      </c>
    </row>
    <row r="133" spans="1:58">
      <c r="A133" s="24">
        <v>131</v>
      </c>
      <c r="B133" s="24">
        <v>0</v>
      </c>
      <c r="C133" s="24">
        <v>0</v>
      </c>
      <c r="D133" s="24">
        <v>0</v>
      </c>
      <c r="E133" s="24">
        <v>0</v>
      </c>
      <c r="F133" s="24">
        <v>0</v>
      </c>
      <c r="G133" s="24">
        <v>0</v>
      </c>
      <c r="H133" s="24">
        <v>0</v>
      </c>
      <c r="I133" s="24">
        <v>0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7" t="e">
        <f t="shared" si="33"/>
        <v>#DIV/0!</v>
      </c>
      <c r="BB133" s="68" t="e">
        <f t="shared" si="34"/>
        <v>#DIV/0!</v>
      </c>
      <c r="BC133" s="68" t="e">
        <f t="shared" si="35"/>
        <v>#DIV/0!</v>
      </c>
      <c r="BD133" s="68" t="e">
        <f t="shared" si="36"/>
        <v>#DIV/0!</v>
      </c>
      <c r="BE133" s="68" t="e">
        <f t="shared" si="37"/>
        <v>#DIV/0!</v>
      </c>
      <c r="BF133" s="71" t="e">
        <f t="shared" si="38"/>
        <v>#DIV/0!</v>
      </c>
    </row>
    <row r="134" spans="1:58">
      <c r="A134" s="24">
        <v>132</v>
      </c>
      <c r="B134" s="24">
        <v>0</v>
      </c>
      <c r="C134" s="24">
        <v>0</v>
      </c>
      <c r="D134" s="24">
        <v>0</v>
      </c>
      <c r="E134" s="24">
        <v>0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7" t="e">
        <f t="shared" si="33"/>
        <v>#DIV/0!</v>
      </c>
      <c r="BB134" s="68" t="e">
        <f t="shared" si="34"/>
        <v>#DIV/0!</v>
      </c>
      <c r="BC134" s="68" t="e">
        <f t="shared" si="35"/>
        <v>#DIV/0!</v>
      </c>
      <c r="BD134" s="68" t="e">
        <f t="shared" si="36"/>
        <v>#DIV/0!</v>
      </c>
      <c r="BE134" s="68" t="e">
        <f t="shared" si="37"/>
        <v>#DIV/0!</v>
      </c>
      <c r="BF134" s="71" t="e">
        <f t="shared" si="38"/>
        <v>#DIV/0!</v>
      </c>
    </row>
    <row r="135" spans="1:58">
      <c r="A135" s="24">
        <v>133</v>
      </c>
      <c r="B135" s="24">
        <v>0</v>
      </c>
      <c r="C135" s="24">
        <v>0</v>
      </c>
      <c r="D135" s="24">
        <v>0</v>
      </c>
      <c r="E135" s="24">
        <v>0</v>
      </c>
      <c r="F135" s="24">
        <v>0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7" t="e">
        <f t="shared" si="33"/>
        <v>#DIV/0!</v>
      </c>
      <c r="BB135" s="68" t="e">
        <f t="shared" si="34"/>
        <v>#DIV/0!</v>
      </c>
      <c r="BC135" s="68" t="e">
        <f t="shared" si="35"/>
        <v>#DIV/0!</v>
      </c>
      <c r="BD135" s="68" t="e">
        <f t="shared" si="36"/>
        <v>#DIV/0!</v>
      </c>
      <c r="BE135" s="68" t="e">
        <f t="shared" si="37"/>
        <v>#DIV/0!</v>
      </c>
      <c r="BF135" s="71" t="e">
        <f t="shared" si="38"/>
        <v>#DIV/0!</v>
      </c>
    </row>
    <row r="136" spans="1:58">
      <c r="A136" s="24">
        <v>134</v>
      </c>
      <c r="B136" s="24">
        <v>0</v>
      </c>
      <c r="C136" s="24">
        <v>0</v>
      </c>
      <c r="D136" s="24">
        <v>0</v>
      </c>
      <c r="E136" s="24">
        <v>0</v>
      </c>
      <c r="F136" s="24">
        <v>0</v>
      </c>
      <c r="G136" s="24">
        <v>0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7" t="e">
        <f t="shared" si="33"/>
        <v>#DIV/0!</v>
      </c>
      <c r="BB136" s="68" t="e">
        <f t="shared" si="34"/>
        <v>#DIV/0!</v>
      </c>
      <c r="BC136" s="68" t="e">
        <f t="shared" si="35"/>
        <v>#DIV/0!</v>
      </c>
      <c r="BD136" s="68" t="e">
        <f t="shared" si="36"/>
        <v>#DIV/0!</v>
      </c>
      <c r="BE136" s="68" t="e">
        <f t="shared" si="37"/>
        <v>#DIV/0!</v>
      </c>
      <c r="BF136" s="71" t="e">
        <f t="shared" si="38"/>
        <v>#DIV/0!</v>
      </c>
    </row>
    <row r="137" spans="1:58">
      <c r="A137" s="24">
        <v>135</v>
      </c>
      <c r="B137" s="24">
        <v>0</v>
      </c>
      <c r="C137" s="24">
        <v>0</v>
      </c>
      <c r="D137" s="24">
        <v>0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7" t="e">
        <f t="shared" si="33"/>
        <v>#DIV/0!</v>
      </c>
      <c r="BB137" s="68" t="e">
        <f t="shared" si="34"/>
        <v>#DIV/0!</v>
      </c>
      <c r="BC137" s="68" t="e">
        <f t="shared" si="35"/>
        <v>#DIV/0!</v>
      </c>
      <c r="BD137" s="68" t="e">
        <f t="shared" si="36"/>
        <v>#DIV/0!</v>
      </c>
      <c r="BE137" s="68" t="e">
        <f t="shared" si="37"/>
        <v>#DIV/0!</v>
      </c>
      <c r="BF137" s="71" t="e">
        <f t="shared" si="38"/>
        <v>#DIV/0!</v>
      </c>
    </row>
    <row r="138" spans="1:58">
      <c r="A138" s="24">
        <v>136</v>
      </c>
      <c r="B138" s="24">
        <v>0</v>
      </c>
      <c r="C138" s="24">
        <v>0</v>
      </c>
      <c r="D138" s="24">
        <v>0</v>
      </c>
      <c r="E138" s="24">
        <v>0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7" t="e">
        <f t="shared" si="33"/>
        <v>#DIV/0!</v>
      </c>
      <c r="BB138" s="68" t="e">
        <f t="shared" si="34"/>
        <v>#DIV/0!</v>
      </c>
      <c r="BC138" s="68" t="e">
        <f t="shared" si="35"/>
        <v>#DIV/0!</v>
      </c>
      <c r="BD138" s="68" t="e">
        <f t="shared" si="36"/>
        <v>#DIV/0!</v>
      </c>
      <c r="BE138" s="68" t="e">
        <f t="shared" si="37"/>
        <v>#DIV/0!</v>
      </c>
      <c r="BF138" s="71" t="e">
        <f t="shared" si="38"/>
        <v>#DIV/0!</v>
      </c>
    </row>
    <row r="139" spans="1:58">
      <c r="A139" s="24">
        <v>137</v>
      </c>
      <c r="B139" s="24">
        <v>0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7" t="e">
        <f t="shared" si="33"/>
        <v>#DIV/0!</v>
      </c>
      <c r="BB139" s="68" t="e">
        <f t="shared" si="34"/>
        <v>#DIV/0!</v>
      </c>
      <c r="BC139" s="68" t="e">
        <f t="shared" si="35"/>
        <v>#DIV/0!</v>
      </c>
      <c r="BD139" s="68" t="e">
        <f t="shared" si="36"/>
        <v>#DIV/0!</v>
      </c>
      <c r="BE139" s="68" t="e">
        <f t="shared" si="37"/>
        <v>#DIV/0!</v>
      </c>
      <c r="BF139" s="71" t="e">
        <f t="shared" si="38"/>
        <v>#DIV/0!</v>
      </c>
    </row>
    <row r="140" spans="1:58">
      <c r="A140" s="24">
        <v>138</v>
      </c>
      <c r="B140" s="24">
        <v>0</v>
      </c>
      <c r="C140" s="24">
        <v>0</v>
      </c>
      <c r="D140" s="24">
        <v>0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7" t="e">
        <f t="shared" si="33"/>
        <v>#DIV/0!</v>
      </c>
      <c r="BB140" s="68" t="e">
        <f t="shared" si="34"/>
        <v>#DIV/0!</v>
      </c>
      <c r="BC140" s="68" t="e">
        <f t="shared" si="35"/>
        <v>#DIV/0!</v>
      </c>
      <c r="BD140" s="68" t="e">
        <f t="shared" si="36"/>
        <v>#DIV/0!</v>
      </c>
      <c r="BE140" s="68" t="e">
        <f t="shared" si="37"/>
        <v>#DIV/0!</v>
      </c>
      <c r="BF140" s="71" t="e">
        <f t="shared" si="38"/>
        <v>#DIV/0!</v>
      </c>
    </row>
    <row r="141" spans="1:58">
      <c r="A141" s="24">
        <v>139</v>
      </c>
      <c r="B141" s="24">
        <v>0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7" t="e">
        <f t="shared" si="33"/>
        <v>#DIV/0!</v>
      </c>
      <c r="BB141" s="68" t="e">
        <f t="shared" si="34"/>
        <v>#DIV/0!</v>
      </c>
      <c r="BC141" s="68" t="e">
        <f t="shared" si="35"/>
        <v>#DIV/0!</v>
      </c>
      <c r="BD141" s="68" t="e">
        <f t="shared" si="36"/>
        <v>#DIV/0!</v>
      </c>
      <c r="BE141" s="68" t="e">
        <f t="shared" si="37"/>
        <v>#DIV/0!</v>
      </c>
      <c r="BF141" s="71" t="e">
        <f t="shared" si="38"/>
        <v>#DIV/0!</v>
      </c>
    </row>
    <row r="142" spans="1:58">
      <c r="A142" s="24">
        <v>140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7" t="e">
        <f t="shared" si="33"/>
        <v>#DIV/0!</v>
      </c>
      <c r="BB142" s="68" t="e">
        <f t="shared" si="34"/>
        <v>#DIV/0!</v>
      </c>
      <c r="BC142" s="68" t="e">
        <f t="shared" si="35"/>
        <v>#DIV/0!</v>
      </c>
      <c r="BD142" s="68" t="e">
        <f t="shared" si="36"/>
        <v>#DIV/0!</v>
      </c>
      <c r="BE142" s="68" t="e">
        <f t="shared" si="37"/>
        <v>#DIV/0!</v>
      </c>
      <c r="BF142" s="71" t="e">
        <f t="shared" si="38"/>
        <v>#DIV/0!</v>
      </c>
    </row>
    <row r="143" spans="1:58">
      <c r="A143" s="24">
        <v>141</v>
      </c>
      <c r="B143" s="24">
        <v>0</v>
      </c>
      <c r="C143" s="24">
        <v>0</v>
      </c>
      <c r="D143" s="24">
        <v>0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7" t="e">
        <f t="shared" si="33"/>
        <v>#DIV/0!</v>
      </c>
      <c r="BB143" s="68" t="e">
        <f t="shared" si="34"/>
        <v>#DIV/0!</v>
      </c>
      <c r="BC143" s="68" t="e">
        <f t="shared" si="35"/>
        <v>#DIV/0!</v>
      </c>
      <c r="BD143" s="68" t="e">
        <f t="shared" si="36"/>
        <v>#DIV/0!</v>
      </c>
      <c r="BE143" s="68" t="e">
        <f t="shared" si="37"/>
        <v>#DIV/0!</v>
      </c>
      <c r="BF143" s="71" t="e">
        <f t="shared" si="38"/>
        <v>#DIV/0!</v>
      </c>
    </row>
    <row r="144" spans="1:58">
      <c r="A144" s="24">
        <v>142</v>
      </c>
      <c r="B144" s="24">
        <v>0</v>
      </c>
      <c r="C144" s="24">
        <v>0</v>
      </c>
      <c r="D144" s="24">
        <v>0</v>
      </c>
      <c r="E144" s="24">
        <v>0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7" t="e">
        <f t="shared" si="33"/>
        <v>#DIV/0!</v>
      </c>
      <c r="BB144" s="68" t="e">
        <f t="shared" si="34"/>
        <v>#DIV/0!</v>
      </c>
      <c r="BC144" s="68" t="e">
        <f t="shared" si="35"/>
        <v>#DIV/0!</v>
      </c>
      <c r="BD144" s="68" t="e">
        <f t="shared" si="36"/>
        <v>#DIV/0!</v>
      </c>
      <c r="BE144" s="68" t="e">
        <f t="shared" si="37"/>
        <v>#DIV/0!</v>
      </c>
      <c r="BF144" s="71" t="e">
        <f t="shared" si="38"/>
        <v>#DIV/0!</v>
      </c>
    </row>
    <row r="145" spans="1:58">
      <c r="A145" s="24">
        <v>143</v>
      </c>
      <c r="B145" s="24">
        <v>0</v>
      </c>
      <c r="C145" s="24">
        <v>0</v>
      </c>
      <c r="D145" s="24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7" t="e">
        <f t="shared" si="33"/>
        <v>#DIV/0!</v>
      </c>
      <c r="BB145" s="68" t="e">
        <f t="shared" si="34"/>
        <v>#DIV/0!</v>
      </c>
      <c r="BC145" s="68" t="e">
        <f t="shared" si="35"/>
        <v>#DIV/0!</v>
      </c>
      <c r="BD145" s="68" t="e">
        <f t="shared" si="36"/>
        <v>#DIV/0!</v>
      </c>
      <c r="BE145" s="68" t="e">
        <f t="shared" si="37"/>
        <v>#DIV/0!</v>
      </c>
      <c r="BF145" s="71" t="e">
        <f t="shared" si="38"/>
        <v>#DIV/0!</v>
      </c>
    </row>
    <row r="146" spans="1:58">
      <c r="A146" s="24">
        <v>144</v>
      </c>
      <c r="B146" s="24">
        <v>0</v>
      </c>
      <c r="C146" s="24">
        <v>0</v>
      </c>
      <c r="D146" s="24">
        <v>0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7" t="e">
        <f t="shared" ref="BA146:BA186" si="39">AVERAGE(V146:AC146)*4</f>
        <v>#DIV/0!</v>
      </c>
      <c r="BB146" s="68" t="e">
        <f t="shared" ref="BB146:BB194" si="40">AVERAGE(AD146:AG146)*3</f>
        <v>#DIV/0!</v>
      </c>
      <c r="BC146" s="68" t="e">
        <f t="shared" ref="BC146:BC189" si="41">AVERAGE(AH146:AQ146)*2</f>
        <v>#DIV/0!</v>
      </c>
      <c r="BD146" s="68" t="e">
        <f t="shared" ref="BD146:BD189" si="42">AVERAGE(AR146:AZ146)*1</f>
        <v>#DIV/0!</v>
      </c>
      <c r="BE146" s="68" t="e">
        <f t="shared" ref="BE146:BE186" si="43">SUM(BA146:BD146)</f>
        <v>#DIV/0!</v>
      </c>
      <c r="BF146" s="71" t="e">
        <f t="shared" ref="BF146:BF186" si="44">(BE146/61.16)*100</f>
        <v>#DIV/0!</v>
      </c>
    </row>
    <row r="147" spans="1:58">
      <c r="A147" s="24">
        <v>145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7" t="e">
        <f t="shared" si="39"/>
        <v>#DIV/0!</v>
      </c>
      <c r="BB147" s="68" t="e">
        <f t="shared" si="40"/>
        <v>#DIV/0!</v>
      </c>
      <c r="BC147" s="68" t="e">
        <f t="shared" si="41"/>
        <v>#DIV/0!</v>
      </c>
      <c r="BD147" s="68" t="e">
        <f t="shared" si="42"/>
        <v>#DIV/0!</v>
      </c>
      <c r="BE147" s="68" t="e">
        <f t="shared" si="43"/>
        <v>#DIV/0!</v>
      </c>
      <c r="BF147" s="71" t="e">
        <f t="shared" si="44"/>
        <v>#DIV/0!</v>
      </c>
    </row>
    <row r="148" spans="1:58">
      <c r="A148" s="24">
        <v>146</v>
      </c>
      <c r="B148" s="24">
        <v>0</v>
      </c>
      <c r="C148" s="24">
        <v>0</v>
      </c>
      <c r="D148" s="24">
        <v>0</v>
      </c>
      <c r="E148" s="24">
        <v>0</v>
      </c>
      <c r="F148" s="24">
        <v>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7" t="e">
        <f t="shared" si="39"/>
        <v>#DIV/0!</v>
      </c>
      <c r="BB148" s="68" t="e">
        <f t="shared" si="40"/>
        <v>#DIV/0!</v>
      </c>
      <c r="BC148" s="68" t="e">
        <f t="shared" si="41"/>
        <v>#DIV/0!</v>
      </c>
      <c r="BD148" s="68" t="e">
        <f t="shared" si="42"/>
        <v>#DIV/0!</v>
      </c>
      <c r="BE148" s="68" t="e">
        <f t="shared" si="43"/>
        <v>#DIV/0!</v>
      </c>
      <c r="BF148" s="71" t="e">
        <f t="shared" si="44"/>
        <v>#DIV/0!</v>
      </c>
    </row>
    <row r="149" spans="1:58">
      <c r="A149" s="24">
        <v>147</v>
      </c>
      <c r="B149" s="24">
        <v>0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7" t="e">
        <f t="shared" si="39"/>
        <v>#DIV/0!</v>
      </c>
      <c r="BB149" s="68" t="e">
        <f t="shared" si="40"/>
        <v>#DIV/0!</v>
      </c>
      <c r="BC149" s="68" t="e">
        <f t="shared" si="41"/>
        <v>#DIV/0!</v>
      </c>
      <c r="BD149" s="68" t="e">
        <f t="shared" si="42"/>
        <v>#DIV/0!</v>
      </c>
      <c r="BE149" s="68" t="e">
        <f t="shared" si="43"/>
        <v>#DIV/0!</v>
      </c>
      <c r="BF149" s="71" t="e">
        <f t="shared" si="44"/>
        <v>#DIV/0!</v>
      </c>
    </row>
    <row r="150" spans="1:58">
      <c r="A150" s="24">
        <v>148</v>
      </c>
      <c r="B150" s="24">
        <v>0</v>
      </c>
      <c r="C150" s="24">
        <v>0</v>
      </c>
      <c r="D150" s="24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7" t="e">
        <f t="shared" si="39"/>
        <v>#DIV/0!</v>
      </c>
      <c r="BB150" s="68" t="e">
        <f t="shared" si="40"/>
        <v>#DIV/0!</v>
      </c>
      <c r="BC150" s="68" t="e">
        <f t="shared" si="41"/>
        <v>#DIV/0!</v>
      </c>
      <c r="BD150" s="68" t="e">
        <f t="shared" si="42"/>
        <v>#DIV/0!</v>
      </c>
      <c r="BE150" s="68" t="e">
        <f t="shared" si="43"/>
        <v>#DIV/0!</v>
      </c>
      <c r="BF150" s="71" t="e">
        <f t="shared" si="44"/>
        <v>#DIV/0!</v>
      </c>
    </row>
    <row r="151" spans="1:58">
      <c r="A151" s="24">
        <v>149</v>
      </c>
      <c r="B151" s="24">
        <v>0</v>
      </c>
      <c r="C151" s="24">
        <v>0</v>
      </c>
      <c r="D151" s="24">
        <v>0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7" t="e">
        <f t="shared" si="39"/>
        <v>#DIV/0!</v>
      </c>
      <c r="BB151" s="68" t="e">
        <f t="shared" si="40"/>
        <v>#DIV/0!</v>
      </c>
      <c r="BC151" s="68" t="e">
        <f t="shared" si="41"/>
        <v>#DIV/0!</v>
      </c>
      <c r="BD151" s="68" t="e">
        <f t="shared" si="42"/>
        <v>#DIV/0!</v>
      </c>
      <c r="BE151" s="68" t="e">
        <f t="shared" si="43"/>
        <v>#DIV/0!</v>
      </c>
      <c r="BF151" s="71" t="e">
        <f t="shared" si="44"/>
        <v>#DIV/0!</v>
      </c>
    </row>
    <row r="152" spans="1:58">
      <c r="A152" s="24">
        <v>150</v>
      </c>
      <c r="B152" s="24">
        <v>0</v>
      </c>
      <c r="C152" s="24">
        <v>0</v>
      </c>
      <c r="D152" s="24">
        <v>0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7" t="e">
        <f t="shared" si="39"/>
        <v>#DIV/0!</v>
      </c>
      <c r="BB152" s="68" t="e">
        <f t="shared" si="40"/>
        <v>#DIV/0!</v>
      </c>
      <c r="BC152" s="68" t="e">
        <f t="shared" si="41"/>
        <v>#DIV/0!</v>
      </c>
      <c r="BD152" s="68" t="e">
        <f t="shared" si="42"/>
        <v>#DIV/0!</v>
      </c>
      <c r="BE152" s="68" t="e">
        <f t="shared" si="43"/>
        <v>#DIV/0!</v>
      </c>
      <c r="BF152" s="71" t="e">
        <f t="shared" si="44"/>
        <v>#DIV/0!</v>
      </c>
    </row>
    <row r="153" spans="1:58">
      <c r="A153" s="24">
        <v>151</v>
      </c>
      <c r="B153" s="24">
        <v>0</v>
      </c>
      <c r="C153" s="24">
        <v>0</v>
      </c>
      <c r="D153" s="24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7" t="e">
        <f t="shared" si="39"/>
        <v>#DIV/0!</v>
      </c>
      <c r="BB153" s="68" t="e">
        <f t="shared" si="40"/>
        <v>#DIV/0!</v>
      </c>
      <c r="BC153" s="68" t="e">
        <f t="shared" si="41"/>
        <v>#DIV/0!</v>
      </c>
      <c r="BD153" s="68" t="e">
        <f t="shared" si="42"/>
        <v>#DIV/0!</v>
      </c>
      <c r="BE153" s="68" t="e">
        <f t="shared" si="43"/>
        <v>#DIV/0!</v>
      </c>
      <c r="BF153" s="71" t="e">
        <f t="shared" si="44"/>
        <v>#DIV/0!</v>
      </c>
    </row>
    <row r="154" spans="1:58">
      <c r="A154" s="24">
        <v>152</v>
      </c>
      <c r="B154" s="24">
        <v>0</v>
      </c>
      <c r="C154" s="24">
        <v>0</v>
      </c>
      <c r="D154" s="24">
        <v>0</v>
      </c>
      <c r="E154" s="24">
        <v>0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0</v>
      </c>
      <c r="N154" s="24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7" t="e">
        <f t="shared" si="39"/>
        <v>#DIV/0!</v>
      </c>
      <c r="BB154" s="68" t="e">
        <f t="shared" si="40"/>
        <v>#DIV/0!</v>
      </c>
      <c r="BC154" s="68" t="e">
        <f t="shared" si="41"/>
        <v>#DIV/0!</v>
      </c>
      <c r="BD154" s="68" t="e">
        <f t="shared" si="42"/>
        <v>#DIV/0!</v>
      </c>
      <c r="BE154" s="68" t="e">
        <f t="shared" si="43"/>
        <v>#DIV/0!</v>
      </c>
      <c r="BF154" s="71" t="e">
        <f t="shared" si="44"/>
        <v>#DIV/0!</v>
      </c>
    </row>
    <row r="155" spans="1:58">
      <c r="A155" s="24">
        <v>153</v>
      </c>
      <c r="B155" s="24">
        <v>0</v>
      </c>
      <c r="C155" s="24">
        <v>0</v>
      </c>
      <c r="D155" s="24">
        <v>0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7" t="e">
        <f t="shared" si="39"/>
        <v>#DIV/0!</v>
      </c>
      <c r="BB155" s="68" t="e">
        <f t="shared" si="40"/>
        <v>#DIV/0!</v>
      </c>
      <c r="BC155" s="68" t="e">
        <f t="shared" si="41"/>
        <v>#DIV/0!</v>
      </c>
      <c r="BD155" s="68" t="e">
        <f t="shared" si="42"/>
        <v>#DIV/0!</v>
      </c>
      <c r="BE155" s="68" t="e">
        <f t="shared" si="43"/>
        <v>#DIV/0!</v>
      </c>
      <c r="BF155" s="71" t="e">
        <f t="shared" si="44"/>
        <v>#DIV/0!</v>
      </c>
    </row>
    <row r="156" spans="1:58">
      <c r="A156" s="24">
        <v>154</v>
      </c>
      <c r="B156" s="24">
        <v>0</v>
      </c>
      <c r="C156" s="24">
        <v>0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7" t="e">
        <f t="shared" si="39"/>
        <v>#DIV/0!</v>
      </c>
      <c r="BB156" s="68" t="e">
        <f t="shared" si="40"/>
        <v>#DIV/0!</v>
      </c>
      <c r="BC156" s="68" t="e">
        <f t="shared" si="41"/>
        <v>#DIV/0!</v>
      </c>
      <c r="BD156" s="68" t="e">
        <f t="shared" si="42"/>
        <v>#DIV/0!</v>
      </c>
      <c r="BE156" s="68" t="e">
        <f t="shared" si="43"/>
        <v>#DIV/0!</v>
      </c>
      <c r="BF156" s="71" t="e">
        <f t="shared" si="44"/>
        <v>#DIV/0!</v>
      </c>
    </row>
    <row r="157" spans="1:58">
      <c r="A157" s="24">
        <v>155</v>
      </c>
      <c r="B157" s="24">
        <v>0</v>
      </c>
      <c r="C157" s="24">
        <v>0</v>
      </c>
      <c r="D157" s="24">
        <v>0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7" t="e">
        <f t="shared" si="39"/>
        <v>#DIV/0!</v>
      </c>
      <c r="BB157" s="68" t="e">
        <f t="shared" si="40"/>
        <v>#DIV/0!</v>
      </c>
      <c r="BC157" s="68" t="e">
        <f t="shared" si="41"/>
        <v>#DIV/0!</v>
      </c>
      <c r="BD157" s="68" t="e">
        <f t="shared" si="42"/>
        <v>#DIV/0!</v>
      </c>
      <c r="BE157" s="68" t="e">
        <f t="shared" si="43"/>
        <v>#DIV/0!</v>
      </c>
      <c r="BF157" s="71" t="e">
        <f t="shared" si="44"/>
        <v>#DIV/0!</v>
      </c>
    </row>
    <row r="158" spans="1:58">
      <c r="A158" s="24">
        <v>156</v>
      </c>
      <c r="B158" s="24">
        <v>0</v>
      </c>
      <c r="C158" s="24">
        <v>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7" t="e">
        <f t="shared" si="39"/>
        <v>#DIV/0!</v>
      </c>
      <c r="BB158" s="68" t="e">
        <f t="shared" si="40"/>
        <v>#DIV/0!</v>
      </c>
      <c r="BC158" s="68" t="e">
        <f t="shared" si="41"/>
        <v>#DIV/0!</v>
      </c>
      <c r="BD158" s="68" t="e">
        <f t="shared" si="42"/>
        <v>#DIV/0!</v>
      </c>
      <c r="BE158" s="68" t="e">
        <f t="shared" si="43"/>
        <v>#DIV/0!</v>
      </c>
      <c r="BF158" s="71" t="e">
        <f t="shared" si="44"/>
        <v>#DIV/0!</v>
      </c>
    </row>
    <row r="159" spans="1:58">
      <c r="A159" s="24">
        <v>157</v>
      </c>
      <c r="B159" s="24">
        <v>0</v>
      </c>
      <c r="C159" s="24">
        <v>0</v>
      </c>
      <c r="D159" s="24">
        <v>0</v>
      </c>
      <c r="E159" s="24">
        <v>0</v>
      </c>
      <c r="F159" s="24">
        <v>0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7" t="e">
        <f t="shared" si="39"/>
        <v>#DIV/0!</v>
      </c>
      <c r="BB159" s="68" t="e">
        <f t="shared" si="40"/>
        <v>#DIV/0!</v>
      </c>
      <c r="BC159" s="68" t="e">
        <f t="shared" si="41"/>
        <v>#DIV/0!</v>
      </c>
      <c r="BD159" s="68" t="e">
        <f t="shared" si="42"/>
        <v>#DIV/0!</v>
      </c>
      <c r="BE159" s="68" t="e">
        <f t="shared" si="43"/>
        <v>#DIV/0!</v>
      </c>
      <c r="BF159" s="71" t="e">
        <f t="shared" si="44"/>
        <v>#DIV/0!</v>
      </c>
    </row>
    <row r="160" spans="1:58">
      <c r="A160" s="24">
        <v>158</v>
      </c>
      <c r="B160" s="24">
        <v>0</v>
      </c>
      <c r="C160" s="24">
        <v>0</v>
      </c>
      <c r="D160" s="24">
        <v>0</v>
      </c>
      <c r="E160" s="24">
        <v>0</v>
      </c>
      <c r="F160" s="24">
        <v>0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7" t="e">
        <f t="shared" si="39"/>
        <v>#DIV/0!</v>
      </c>
      <c r="BB160" s="68" t="e">
        <f t="shared" si="40"/>
        <v>#DIV/0!</v>
      </c>
      <c r="BC160" s="68" t="e">
        <f t="shared" si="41"/>
        <v>#DIV/0!</v>
      </c>
      <c r="BD160" s="68" t="e">
        <f t="shared" si="42"/>
        <v>#DIV/0!</v>
      </c>
      <c r="BE160" s="68" t="e">
        <f t="shared" si="43"/>
        <v>#DIV/0!</v>
      </c>
      <c r="BF160" s="71" t="e">
        <f t="shared" si="44"/>
        <v>#DIV/0!</v>
      </c>
    </row>
    <row r="161" spans="1:58">
      <c r="A161" s="24">
        <v>159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7" t="e">
        <f t="shared" si="39"/>
        <v>#DIV/0!</v>
      </c>
      <c r="BB161" s="68" t="e">
        <f t="shared" si="40"/>
        <v>#DIV/0!</v>
      </c>
      <c r="BC161" s="68" t="e">
        <f t="shared" si="41"/>
        <v>#DIV/0!</v>
      </c>
      <c r="BD161" s="68" t="e">
        <f t="shared" si="42"/>
        <v>#DIV/0!</v>
      </c>
      <c r="BE161" s="68" t="e">
        <f t="shared" si="43"/>
        <v>#DIV/0!</v>
      </c>
      <c r="BF161" s="71" t="e">
        <f t="shared" si="44"/>
        <v>#DIV/0!</v>
      </c>
    </row>
    <row r="162" spans="1:58">
      <c r="A162" s="24">
        <v>160</v>
      </c>
      <c r="B162" s="24">
        <v>0</v>
      </c>
      <c r="C162" s="24">
        <v>0</v>
      </c>
      <c r="D162" s="24">
        <v>0</v>
      </c>
      <c r="E162" s="24">
        <v>0</v>
      </c>
      <c r="F162" s="24">
        <v>0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7" t="e">
        <f t="shared" si="39"/>
        <v>#DIV/0!</v>
      </c>
      <c r="BB162" s="68" t="e">
        <f t="shared" si="40"/>
        <v>#DIV/0!</v>
      </c>
      <c r="BC162" s="68" t="e">
        <f t="shared" si="41"/>
        <v>#DIV/0!</v>
      </c>
      <c r="BD162" s="68" t="e">
        <f t="shared" si="42"/>
        <v>#DIV/0!</v>
      </c>
      <c r="BE162" s="68" t="e">
        <f t="shared" si="43"/>
        <v>#DIV/0!</v>
      </c>
      <c r="BF162" s="71" t="e">
        <f t="shared" si="44"/>
        <v>#DIV/0!</v>
      </c>
    </row>
    <row r="163" spans="1:58">
      <c r="A163" s="24">
        <v>161</v>
      </c>
      <c r="B163" s="24">
        <v>0</v>
      </c>
      <c r="C163" s="24">
        <v>0</v>
      </c>
      <c r="D163" s="24">
        <v>0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7" t="e">
        <f t="shared" si="39"/>
        <v>#DIV/0!</v>
      </c>
      <c r="BB163" s="68" t="e">
        <f t="shared" si="40"/>
        <v>#DIV/0!</v>
      </c>
      <c r="BC163" s="68" t="e">
        <f t="shared" si="41"/>
        <v>#DIV/0!</v>
      </c>
      <c r="BD163" s="68" t="e">
        <f t="shared" si="42"/>
        <v>#DIV/0!</v>
      </c>
      <c r="BE163" s="68" t="e">
        <f t="shared" si="43"/>
        <v>#DIV/0!</v>
      </c>
      <c r="BF163" s="71" t="e">
        <f t="shared" si="44"/>
        <v>#DIV/0!</v>
      </c>
    </row>
    <row r="164" spans="1:58">
      <c r="A164" s="24">
        <v>162</v>
      </c>
      <c r="B164" s="24">
        <v>0</v>
      </c>
      <c r="C164" s="24">
        <v>0</v>
      </c>
      <c r="D164" s="24">
        <v>0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7" t="e">
        <f t="shared" si="39"/>
        <v>#DIV/0!</v>
      </c>
      <c r="BB164" s="68" t="e">
        <f t="shared" si="40"/>
        <v>#DIV/0!</v>
      </c>
      <c r="BC164" s="68" t="e">
        <f t="shared" si="41"/>
        <v>#DIV/0!</v>
      </c>
      <c r="BD164" s="68" t="e">
        <f t="shared" si="42"/>
        <v>#DIV/0!</v>
      </c>
      <c r="BE164" s="68" t="e">
        <f t="shared" si="43"/>
        <v>#DIV/0!</v>
      </c>
      <c r="BF164" s="71" t="e">
        <f t="shared" si="44"/>
        <v>#DIV/0!</v>
      </c>
    </row>
    <row r="165" spans="1:58">
      <c r="A165" s="24">
        <v>163</v>
      </c>
      <c r="B165" s="24">
        <v>0</v>
      </c>
      <c r="C165" s="24">
        <v>0</v>
      </c>
      <c r="D165" s="24">
        <v>0</v>
      </c>
      <c r="E165" s="24">
        <v>0</v>
      </c>
      <c r="F165" s="24">
        <v>0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7" t="e">
        <f t="shared" si="39"/>
        <v>#DIV/0!</v>
      </c>
      <c r="BB165" s="68" t="e">
        <f t="shared" si="40"/>
        <v>#DIV/0!</v>
      </c>
      <c r="BC165" s="68" t="e">
        <f t="shared" si="41"/>
        <v>#DIV/0!</v>
      </c>
      <c r="BD165" s="68" t="e">
        <f t="shared" si="42"/>
        <v>#DIV/0!</v>
      </c>
      <c r="BE165" s="68" t="e">
        <f t="shared" si="43"/>
        <v>#DIV/0!</v>
      </c>
      <c r="BF165" s="71" t="e">
        <f t="shared" si="44"/>
        <v>#DIV/0!</v>
      </c>
    </row>
    <row r="166" spans="1:58">
      <c r="A166" s="24">
        <v>164</v>
      </c>
      <c r="B166" s="24">
        <v>0</v>
      </c>
      <c r="C166" s="24">
        <v>0</v>
      </c>
      <c r="D166" s="24">
        <v>0</v>
      </c>
      <c r="E166" s="24">
        <v>0</v>
      </c>
      <c r="F166" s="24">
        <v>0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7" t="e">
        <f t="shared" si="39"/>
        <v>#DIV/0!</v>
      </c>
      <c r="BB166" s="68" t="e">
        <f t="shared" si="40"/>
        <v>#DIV/0!</v>
      </c>
      <c r="BC166" s="68" t="e">
        <f t="shared" si="41"/>
        <v>#DIV/0!</v>
      </c>
      <c r="BD166" s="68" t="e">
        <f t="shared" si="42"/>
        <v>#DIV/0!</v>
      </c>
      <c r="BE166" s="68" t="e">
        <f t="shared" si="43"/>
        <v>#DIV/0!</v>
      </c>
      <c r="BF166" s="71" t="e">
        <f t="shared" si="44"/>
        <v>#DIV/0!</v>
      </c>
    </row>
    <row r="167" spans="1:58">
      <c r="A167" s="24">
        <v>165</v>
      </c>
      <c r="B167" s="24">
        <v>0</v>
      </c>
      <c r="C167" s="24">
        <v>0</v>
      </c>
      <c r="D167" s="24">
        <v>0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7" t="e">
        <f t="shared" si="39"/>
        <v>#DIV/0!</v>
      </c>
      <c r="BB167" s="68" t="e">
        <f t="shared" si="40"/>
        <v>#DIV/0!</v>
      </c>
      <c r="BC167" s="68" t="e">
        <f t="shared" si="41"/>
        <v>#DIV/0!</v>
      </c>
      <c r="BD167" s="68" t="e">
        <f t="shared" si="42"/>
        <v>#DIV/0!</v>
      </c>
      <c r="BE167" s="68" t="e">
        <f t="shared" si="43"/>
        <v>#DIV/0!</v>
      </c>
      <c r="BF167" s="71" t="e">
        <f t="shared" si="44"/>
        <v>#DIV/0!</v>
      </c>
    </row>
    <row r="168" spans="1:58">
      <c r="A168" s="24">
        <v>166</v>
      </c>
      <c r="B168" s="24">
        <v>0</v>
      </c>
      <c r="C168" s="24">
        <v>0</v>
      </c>
      <c r="D168" s="24">
        <v>0</v>
      </c>
      <c r="E168" s="24">
        <v>0</v>
      </c>
      <c r="F168" s="24">
        <v>0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7" t="e">
        <f t="shared" si="39"/>
        <v>#DIV/0!</v>
      </c>
      <c r="BB168" s="68" t="e">
        <f t="shared" si="40"/>
        <v>#DIV/0!</v>
      </c>
      <c r="BC168" s="68" t="e">
        <f t="shared" si="41"/>
        <v>#DIV/0!</v>
      </c>
      <c r="BD168" s="68" t="e">
        <f t="shared" si="42"/>
        <v>#DIV/0!</v>
      </c>
      <c r="BE168" s="68" t="e">
        <f t="shared" si="43"/>
        <v>#DIV/0!</v>
      </c>
      <c r="BF168" s="71" t="e">
        <f t="shared" si="44"/>
        <v>#DIV/0!</v>
      </c>
    </row>
    <row r="169" spans="1:58">
      <c r="A169" s="24">
        <v>167</v>
      </c>
      <c r="B169" s="24">
        <v>0</v>
      </c>
      <c r="C169" s="24">
        <v>0</v>
      </c>
      <c r="D169" s="24">
        <v>0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7" t="e">
        <f t="shared" si="39"/>
        <v>#DIV/0!</v>
      </c>
      <c r="BB169" s="68" t="e">
        <f t="shared" si="40"/>
        <v>#DIV/0!</v>
      </c>
      <c r="BC169" s="68" t="e">
        <f t="shared" si="41"/>
        <v>#DIV/0!</v>
      </c>
      <c r="BD169" s="68" t="e">
        <f t="shared" si="42"/>
        <v>#DIV/0!</v>
      </c>
      <c r="BE169" s="68" t="e">
        <f t="shared" si="43"/>
        <v>#DIV/0!</v>
      </c>
      <c r="BF169" s="71" t="e">
        <f t="shared" si="44"/>
        <v>#DIV/0!</v>
      </c>
    </row>
    <row r="170" spans="1:58">
      <c r="A170" s="24">
        <v>168</v>
      </c>
      <c r="B170" s="24">
        <v>0</v>
      </c>
      <c r="C170" s="24">
        <v>0</v>
      </c>
      <c r="D170" s="24">
        <v>0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7" t="e">
        <f t="shared" si="39"/>
        <v>#DIV/0!</v>
      </c>
      <c r="BB170" s="68" t="e">
        <f t="shared" si="40"/>
        <v>#DIV/0!</v>
      </c>
      <c r="BC170" s="68" t="e">
        <f t="shared" si="41"/>
        <v>#DIV/0!</v>
      </c>
      <c r="BD170" s="68" t="e">
        <f t="shared" si="42"/>
        <v>#DIV/0!</v>
      </c>
      <c r="BE170" s="68" t="e">
        <f t="shared" si="43"/>
        <v>#DIV/0!</v>
      </c>
      <c r="BF170" s="71" t="e">
        <f t="shared" si="44"/>
        <v>#DIV/0!</v>
      </c>
    </row>
    <row r="171" spans="1:58">
      <c r="A171" s="24">
        <v>169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7" t="e">
        <f t="shared" si="39"/>
        <v>#DIV/0!</v>
      </c>
      <c r="BB171" s="68" t="e">
        <f t="shared" si="40"/>
        <v>#DIV/0!</v>
      </c>
      <c r="BC171" s="68" t="e">
        <f t="shared" si="41"/>
        <v>#DIV/0!</v>
      </c>
      <c r="BD171" s="68" t="e">
        <f t="shared" si="42"/>
        <v>#DIV/0!</v>
      </c>
      <c r="BE171" s="68" t="e">
        <f t="shared" si="43"/>
        <v>#DIV/0!</v>
      </c>
      <c r="BF171" s="71" t="e">
        <f t="shared" si="44"/>
        <v>#DIV/0!</v>
      </c>
    </row>
    <row r="172" spans="1:58">
      <c r="A172" s="24">
        <v>170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7" t="e">
        <f t="shared" si="39"/>
        <v>#DIV/0!</v>
      </c>
      <c r="BB172" s="68" t="e">
        <f t="shared" si="40"/>
        <v>#DIV/0!</v>
      </c>
      <c r="BC172" s="68" t="e">
        <f t="shared" si="41"/>
        <v>#DIV/0!</v>
      </c>
      <c r="BD172" s="68" t="e">
        <f t="shared" si="42"/>
        <v>#DIV/0!</v>
      </c>
      <c r="BE172" s="68" t="e">
        <f t="shared" si="43"/>
        <v>#DIV/0!</v>
      </c>
      <c r="BF172" s="71" t="e">
        <f t="shared" si="44"/>
        <v>#DIV/0!</v>
      </c>
    </row>
    <row r="173" spans="1:58">
      <c r="A173" s="24">
        <v>171</v>
      </c>
      <c r="B173" s="24">
        <v>0</v>
      </c>
      <c r="C173" s="24">
        <v>0</v>
      </c>
      <c r="D173" s="24">
        <v>0</v>
      </c>
      <c r="E173" s="24">
        <v>0</v>
      </c>
      <c r="F173" s="24">
        <v>0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7" t="e">
        <f t="shared" si="39"/>
        <v>#DIV/0!</v>
      </c>
      <c r="BB173" s="68" t="e">
        <f t="shared" si="40"/>
        <v>#DIV/0!</v>
      </c>
      <c r="BC173" s="68" t="e">
        <f t="shared" si="41"/>
        <v>#DIV/0!</v>
      </c>
      <c r="BD173" s="68" t="e">
        <f t="shared" si="42"/>
        <v>#DIV/0!</v>
      </c>
      <c r="BE173" s="68" t="e">
        <f t="shared" si="43"/>
        <v>#DIV/0!</v>
      </c>
      <c r="BF173" s="71" t="e">
        <f t="shared" si="44"/>
        <v>#DIV/0!</v>
      </c>
    </row>
    <row r="174" spans="1:58">
      <c r="A174" s="24">
        <v>172</v>
      </c>
      <c r="B174" s="24">
        <v>0</v>
      </c>
      <c r="C174" s="24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7" t="e">
        <f t="shared" si="39"/>
        <v>#DIV/0!</v>
      </c>
      <c r="BB174" s="68" t="e">
        <f t="shared" si="40"/>
        <v>#DIV/0!</v>
      </c>
      <c r="BC174" s="68" t="e">
        <f t="shared" si="41"/>
        <v>#DIV/0!</v>
      </c>
      <c r="BD174" s="68" t="e">
        <f t="shared" si="42"/>
        <v>#DIV/0!</v>
      </c>
      <c r="BE174" s="68" t="e">
        <f t="shared" si="43"/>
        <v>#DIV/0!</v>
      </c>
      <c r="BF174" s="71" t="e">
        <f t="shared" si="44"/>
        <v>#DIV/0!</v>
      </c>
    </row>
    <row r="175" spans="1:58">
      <c r="A175" s="24">
        <v>173</v>
      </c>
      <c r="B175" s="24">
        <v>0</v>
      </c>
      <c r="C175" s="24">
        <v>0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7" t="e">
        <f t="shared" si="39"/>
        <v>#DIV/0!</v>
      </c>
      <c r="BB175" s="68" t="e">
        <f t="shared" si="40"/>
        <v>#DIV/0!</v>
      </c>
      <c r="BC175" s="68" t="e">
        <f t="shared" si="41"/>
        <v>#DIV/0!</v>
      </c>
      <c r="BD175" s="68" t="e">
        <f t="shared" si="42"/>
        <v>#DIV/0!</v>
      </c>
      <c r="BE175" s="68" t="e">
        <f t="shared" si="43"/>
        <v>#DIV/0!</v>
      </c>
      <c r="BF175" s="71" t="e">
        <f t="shared" si="44"/>
        <v>#DIV/0!</v>
      </c>
    </row>
    <row r="176" spans="1:58">
      <c r="A176" s="24">
        <v>174</v>
      </c>
      <c r="B176" s="24">
        <v>0</v>
      </c>
      <c r="C176" s="24">
        <v>0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7" t="e">
        <f t="shared" si="39"/>
        <v>#DIV/0!</v>
      </c>
      <c r="BB176" s="68" t="e">
        <f t="shared" si="40"/>
        <v>#DIV/0!</v>
      </c>
      <c r="BC176" s="68" t="e">
        <f t="shared" si="41"/>
        <v>#DIV/0!</v>
      </c>
      <c r="BD176" s="68" t="e">
        <f t="shared" si="42"/>
        <v>#DIV/0!</v>
      </c>
      <c r="BE176" s="68" t="e">
        <f t="shared" si="43"/>
        <v>#DIV/0!</v>
      </c>
      <c r="BF176" s="71" t="e">
        <f t="shared" si="44"/>
        <v>#DIV/0!</v>
      </c>
    </row>
    <row r="177" spans="1:58">
      <c r="A177" s="24">
        <v>175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7" t="e">
        <f t="shared" si="39"/>
        <v>#DIV/0!</v>
      </c>
      <c r="BB177" s="68" t="e">
        <f t="shared" si="40"/>
        <v>#DIV/0!</v>
      </c>
      <c r="BC177" s="68" t="e">
        <f t="shared" si="41"/>
        <v>#DIV/0!</v>
      </c>
      <c r="BD177" s="68" t="e">
        <f t="shared" si="42"/>
        <v>#DIV/0!</v>
      </c>
      <c r="BE177" s="68" t="e">
        <f t="shared" si="43"/>
        <v>#DIV/0!</v>
      </c>
      <c r="BF177" s="71" t="e">
        <f t="shared" si="44"/>
        <v>#DIV/0!</v>
      </c>
    </row>
    <row r="178" spans="1:58">
      <c r="A178" s="24">
        <v>176</v>
      </c>
      <c r="B178" s="24">
        <v>0</v>
      </c>
      <c r="C178" s="24">
        <v>0</v>
      </c>
      <c r="D178" s="24">
        <v>0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7" t="e">
        <f t="shared" si="39"/>
        <v>#DIV/0!</v>
      </c>
      <c r="BB178" s="68" t="e">
        <f t="shared" si="40"/>
        <v>#DIV/0!</v>
      </c>
      <c r="BC178" s="68" t="e">
        <f t="shared" si="41"/>
        <v>#DIV/0!</v>
      </c>
      <c r="BD178" s="68" t="e">
        <f t="shared" si="42"/>
        <v>#DIV/0!</v>
      </c>
      <c r="BE178" s="68" t="e">
        <f t="shared" si="43"/>
        <v>#DIV/0!</v>
      </c>
      <c r="BF178" s="71" t="e">
        <f t="shared" si="44"/>
        <v>#DIV/0!</v>
      </c>
    </row>
    <row r="179" spans="1:58">
      <c r="A179" s="24">
        <v>177</v>
      </c>
      <c r="B179" s="24">
        <v>0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7" t="e">
        <f t="shared" si="39"/>
        <v>#DIV/0!</v>
      </c>
      <c r="BB179" s="68" t="e">
        <f t="shared" si="40"/>
        <v>#DIV/0!</v>
      </c>
      <c r="BC179" s="68" t="e">
        <f t="shared" si="41"/>
        <v>#DIV/0!</v>
      </c>
      <c r="BD179" s="68" t="e">
        <f t="shared" si="42"/>
        <v>#DIV/0!</v>
      </c>
      <c r="BE179" s="68" t="e">
        <f t="shared" si="43"/>
        <v>#DIV/0!</v>
      </c>
      <c r="BF179" s="71" t="e">
        <f t="shared" si="44"/>
        <v>#DIV/0!</v>
      </c>
    </row>
    <row r="180" spans="1:58">
      <c r="A180" s="24">
        <v>178</v>
      </c>
      <c r="B180" s="24">
        <v>0</v>
      </c>
      <c r="C180" s="24">
        <v>0</v>
      </c>
      <c r="D180" s="24">
        <v>0</v>
      </c>
      <c r="E180" s="24">
        <v>0</v>
      </c>
      <c r="F180" s="24">
        <v>0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7" t="e">
        <f t="shared" si="39"/>
        <v>#DIV/0!</v>
      </c>
      <c r="BB180" s="68" t="e">
        <f t="shared" si="40"/>
        <v>#DIV/0!</v>
      </c>
      <c r="BC180" s="68" t="e">
        <f t="shared" si="41"/>
        <v>#DIV/0!</v>
      </c>
      <c r="BD180" s="68" t="e">
        <f t="shared" si="42"/>
        <v>#DIV/0!</v>
      </c>
      <c r="BE180" s="68" t="e">
        <f t="shared" si="43"/>
        <v>#DIV/0!</v>
      </c>
      <c r="BF180" s="71" t="e">
        <f t="shared" si="44"/>
        <v>#DIV/0!</v>
      </c>
    </row>
    <row r="181" spans="1:58">
      <c r="A181" s="24">
        <v>179</v>
      </c>
      <c r="B181" s="24">
        <v>0</v>
      </c>
      <c r="C181" s="24">
        <v>0</v>
      </c>
      <c r="D181" s="24">
        <v>0</v>
      </c>
      <c r="E181" s="24">
        <v>0</v>
      </c>
      <c r="F181" s="24">
        <v>0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7" t="e">
        <f t="shared" si="39"/>
        <v>#DIV/0!</v>
      </c>
      <c r="BB181" s="68" t="e">
        <f t="shared" si="40"/>
        <v>#DIV/0!</v>
      </c>
      <c r="BC181" s="68" t="e">
        <f t="shared" si="41"/>
        <v>#DIV/0!</v>
      </c>
      <c r="BD181" s="68" t="e">
        <f t="shared" si="42"/>
        <v>#DIV/0!</v>
      </c>
      <c r="BE181" s="68" t="e">
        <f t="shared" si="43"/>
        <v>#DIV/0!</v>
      </c>
      <c r="BF181" s="71" t="e">
        <f t="shared" si="44"/>
        <v>#DIV/0!</v>
      </c>
    </row>
    <row r="182" spans="1:58">
      <c r="A182" s="24">
        <v>180</v>
      </c>
      <c r="B182" s="24">
        <v>0</v>
      </c>
      <c r="C182" s="24">
        <v>0</v>
      </c>
      <c r="D182" s="24">
        <v>0</v>
      </c>
      <c r="E182" s="24">
        <v>0</v>
      </c>
      <c r="F182" s="24">
        <v>0</v>
      </c>
      <c r="G182" s="24">
        <v>0</v>
      </c>
      <c r="H182" s="24">
        <v>0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7" t="e">
        <f t="shared" si="39"/>
        <v>#DIV/0!</v>
      </c>
      <c r="BB182" s="68" t="e">
        <f t="shared" si="40"/>
        <v>#DIV/0!</v>
      </c>
      <c r="BC182" s="68" t="e">
        <f t="shared" si="41"/>
        <v>#DIV/0!</v>
      </c>
      <c r="BD182" s="68" t="e">
        <f t="shared" si="42"/>
        <v>#DIV/0!</v>
      </c>
      <c r="BE182" s="68" t="e">
        <f t="shared" si="43"/>
        <v>#DIV/0!</v>
      </c>
      <c r="BF182" s="71" t="e">
        <f t="shared" si="44"/>
        <v>#DIV/0!</v>
      </c>
    </row>
    <row r="183" spans="1:58">
      <c r="A183" s="24">
        <v>181</v>
      </c>
      <c r="B183" s="24">
        <v>0</v>
      </c>
      <c r="C183" s="24">
        <v>0</v>
      </c>
      <c r="D183" s="24">
        <v>0</v>
      </c>
      <c r="E183" s="24">
        <v>0</v>
      </c>
      <c r="F183" s="24">
        <v>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7" t="e">
        <f t="shared" si="39"/>
        <v>#DIV/0!</v>
      </c>
      <c r="BB183" s="68" t="e">
        <f t="shared" si="40"/>
        <v>#DIV/0!</v>
      </c>
      <c r="BC183" s="68" t="e">
        <f t="shared" si="41"/>
        <v>#DIV/0!</v>
      </c>
      <c r="BD183" s="68" t="e">
        <f t="shared" si="42"/>
        <v>#DIV/0!</v>
      </c>
      <c r="BE183" s="68" t="e">
        <f t="shared" si="43"/>
        <v>#DIV/0!</v>
      </c>
      <c r="BF183" s="71" t="e">
        <f t="shared" si="44"/>
        <v>#DIV/0!</v>
      </c>
    </row>
    <row r="184" spans="1:58">
      <c r="A184" s="24">
        <v>182</v>
      </c>
      <c r="B184" s="24">
        <v>0</v>
      </c>
      <c r="C184" s="24">
        <v>0</v>
      </c>
      <c r="D184" s="24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7" t="e">
        <f t="shared" si="39"/>
        <v>#DIV/0!</v>
      </c>
      <c r="BB184" s="68" t="e">
        <f t="shared" si="40"/>
        <v>#DIV/0!</v>
      </c>
      <c r="BC184" s="68" t="e">
        <f t="shared" si="41"/>
        <v>#DIV/0!</v>
      </c>
      <c r="BD184" s="68" t="e">
        <f t="shared" si="42"/>
        <v>#DIV/0!</v>
      </c>
      <c r="BE184" s="68" t="e">
        <f t="shared" si="43"/>
        <v>#DIV/0!</v>
      </c>
      <c r="BF184" s="71" t="e">
        <f t="shared" si="44"/>
        <v>#DIV/0!</v>
      </c>
    </row>
    <row r="185" spans="1:58">
      <c r="A185" s="24">
        <v>183</v>
      </c>
      <c r="B185" s="24">
        <v>0</v>
      </c>
      <c r="C185" s="24">
        <v>0</v>
      </c>
      <c r="D185" s="24">
        <v>0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7" t="e">
        <f t="shared" si="39"/>
        <v>#DIV/0!</v>
      </c>
      <c r="BB185" s="68" t="e">
        <f t="shared" si="40"/>
        <v>#DIV/0!</v>
      </c>
      <c r="BC185" s="68" t="e">
        <f t="shared" si="41"/>
        <v>#DIV/0!</v>
      </c>
      <c r="BD185" s="68" t="e">
        <f t="shared" si="42"/>
        <v>#DIV/0!</v>
      </c>
      <c r="BE185" s="68" t="e">
        <f t="shared" si="43"/>
        <v>#DIV/0!</v>
      </c>
      <c r="BF185" s="71" t="e">
        <f t="shared" si="44"/>
        <v>#DIV/0!</v>
      </c>
    </row>
    <row r="186" spans="1:58">
      <c r="A186" s="24">
        <v>184</v>
      </c>
      <c r="B186" s="24">
        <v>0</v>
      </c>
      <c r="C186" s="24">
        <v>0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7" t="e">
        <f t="shared" si="39"/>
        <v>#DIV/0!</v>
      </c>
      <c r="BB186" s="68" t="e">
        <f t="shared" si="40"/>
        <v>#DIV/0!</v>
      </c>
      <c r="BC186" s="68" t="e">
        <f t="shared" si="41"/>
        <v>#DIV/0!</v>
      </c>
      <c r="BD186" s="68" t="e">
        <f t="shared" si="42"/>
        <v>#DIV/0!</v>
      </c>
      <c r="BE186" s="68" t="e">
        <f t="shared" si="43"/>
        <v>#DIV/0!</v>
      </c>
      <c r="BF186" s="71" t="e">
        <f t="shared" si="44"/>
        <v>#DIV/0!</v>
      </c>
    </row>
    <row r="187" spans="1:58">
      <c r="A187" s="24">
        <v>185</v>
      </c>
      <c r="B187" s="24">
        <v>0</v>
      </c>
      <c r="C187" s="24">
        <v>0</v>
      </c>
      <c r="D187" s="24">
        <v>0</v>
      </c>
      <c r="E187" s="24">
        <v>0</v>
      </c>
      <c r="F187" s="24">
        <v>0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7"/>
      <c r="BB187" s="68" t="e">
        <f t="shared" si="40"/>
        <v>#DIV/0!</v>
      </c>
      <c r="BC187" s="68" t="e">
        <f t="shared" si="41"/>
        <v>#DIV/0!</v>
      </c>
      <c r="BD187" s="68" t="e">
        <f t="shared" si="42"/>
        <v>#DIV/0!</v>
      </c>
      <c r="BE187" s="68"/>
      <c r="BF187" s="71"/>
    </row>
    <row r="188" spans="1:58">
      <c r="A188" s="24">
        <v>186</v>
      </c>
      <c r="B188" s="24">
        <v>0</v>
      </c>
      <c r="C188" s="24">
        <v>0</v>
      </c>
      <c r="D188" s="24">
        <v>0</v>
      </c>
      <c r="E188" s="24">
        <v>0</v>
      </c>
      <c r="F188" s="24">
        <v>0</v>
      </c>
      <c r="G188" s="24">
        <v>0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7"/>
      <c r="BB188" s="68" t="e">
        <f t="shared" si="40"/>
        <v>#DIV/0!</v>
      </c>
      <c r="BC188" s="68" t="e">
        <f t="shared" si="41"/>
        <v>#DIV/0!</v>
      </c>
      <c r="BD188" s="68" t="e">
        <f t="shared" si="42"/>
        <v>#DIV/0!</v>
      </c>
      <c r="BE188" s="68"/>
      <c r="BF188" s="71"/>
    </row>
    <row r="189" spans="1:58">
      <c r="A189" s="24">
        <v>187</v>
      </c>
      <c r="B189" s="24">
        <v>0</v>
      </c>
      <c r="C189" s="24">
        <v>0</v>
      </c>
      <c r="D189" s="24">
        <v>0</v>
      </c>
      <c r="E189" s="24">
        <v>0</v>
      </c>
      <c r="F189" s="24">
        <v>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7"/>
      <c r="BB189" s="68" t="e">
        <f t="shared" si="40"/>
        <v>#DIV/0!</v>
      </c>
      <c r="BC189" s="68" t="e">
        <f t="shared" si="41"/>
        <v>#DIV/0!</v>
      </c>
      <c r="BD189" s="68" t="e">
        <f t="shared" si="42"/>
        <v>#DIV/0!</v>
      </c>
      <c r="BE189" s="68"/>
      <c r="BF189" s="71"/>
    </row>
    <row r="190" spans="1:58">
      <c r="A190" s="24">
        <v>188</v>
      </c>
      <c r="B190" s="24">
        <v>0</v>
      </c>
      <c r="C190" s="24">
        <v>0</v>
      </c>
      <c r="D190" s="24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7"/>
      <c r="BB190" s="68" t="e">
        <f t="shared" si="40"/>
        <v>#DIV/0!</v>
      </c>
      <c r="BC190" s="68"/>
      <c r="BD190" s="68"/>
      <c r="BE190" s="68"/>
      <c r="BF190" s="71"/>
    </row>
    <row r="191" spans="1:58">
      <c r="A191" s="24">
        <v>189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7"/>
      <c r="BB191" s="68" t="e">
        <f t="shared" si="40"/>
        <v>#DIV/0!</v>
      </c>
      <c r="BC191" s="68"/>
      <c r="BD191" s="68"/>
      <c r="BE191" s="68"/>
      <c r="BF191" s="71"/>
    </row>
    <row r="192" spans="1:58">
      <c r="A192" s="24">
        <v>190</v>
      </c>
      <c r="B192" s="24">
        <v>0</v>
      </c>
      <c r="C192" s="24">
        <v>0</v>
      </c>
      <c r="D192" s="24">
        <v>0</v>
      </c>
      <c r="E192" s="24">
        <v>0</v>
      </c>
      <c r="F192" s="24">
        <v>0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7"/>
      <c r="BB192" s="68" t="e">
        <f t="shared" si="40"/>
        <v>#DIV/0!</v>
      </c>
      <c r="BC192" s="68"/>
      <c r="BD192" s="68"/>
      <c r="BE192" s="68"/>
      <c r="BF192" s="71"/>
    </row>
    <row r="193" spans="1:58">
      <c r="A193" s="24">
        <v>191</v>
      </c>
      <c r="B193" s="24">
        <v>0</v>
      </c>
      <c r="C193" s="24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7"/>
      <c r="BB193" s="68" t="e">
        <f t="shared" si="40"/>
        <v>#DIV/0!</v>
      </c>
      <c r="BC193" s="68"/>
      <c r="BD193" s="68"/>
      <c r="BE193" s="68"/>
      <c r="BF193" s="71"/>
    </row>
    <row r="194" spans="1:58">
      <c r="A194" s="24">
        <v>192</v>
      </c>
      <c r="B194" s="24">
        <v>0</v>
      </c>
      <c r="C194" s="24">
        <v>0</v>
      </c>
      <c r="D194" s="24">
        <v>0</v>
      </c>
      <c r="E194" s="24">
        <v>0</v>
      </c>
      <c r="F194" s="24">
        <v>0</v>
      </c>
      <c r="G194" s="24">
        <v>0</v>
      </c>
      <c r="H194" s="24">
        <v>0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7"/>
      <c r="BB194" s="68" t="e">
        <f t="shared" si="40"/>
        <v>#DIV/0!</v>
      </c>
      <c r="BC194" s="68"/>
      <c r="BD194" s="68"/>
      <c r="BE194" s="68"/>
      <c r="BF194" s="71"/>
    </row>
    <row r="195" spans="1:58">
      <c r="A195" s="24">
        <v>193</v>
      </c>
      <c r="B195" s="24">
        <v>0</v>
      </c>
      <c r="C195" s="24">
        <v>0</v>
      </c>
      <c r="D195" s="24">
        <v>0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7"/>
      <c r="BB195" s="68"/>
      <c r="BC195" s="68"/>
      <c r="BD195" s="68"/>
      <c r="BE195" s="68"/>
      <c r="BF195" s="71"/>
    </row>
    <row r="196" spans="1:58">
      <c r="A196" s="24">
        <v>194</v>
      </c>
      <c r="B196" s="24">
        <v>0</v>
      </c>
      <c r="C196" s="24">
        <v>0</v>
      </c>
      <c r="D196" s="24">
        <v>0</v>
      </c>
      <c r="E196" s="24">
        <v>0</v>
      </c>
      <c r="F196" s="24">
        <v>0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7"/>
      <c r="BB196" s="68"/>
      <c r="BC196" s="68"/>
      <c r="BD196" s="68"/>
      <c r="BE196" s="68"/>
      <c r="BF196" s="71"/>
    </row>
    <row r="197" spans="1:58">
      <c r="A197" s="24">
        <v>195</v>
      </c>
      <c r="B197" s="24">
        <v>0</v>
      </c>
      <c r="C197" s="24">
        <v>0</v>
      </c>
      <c r="D197" s="24">
        <v>0</v>
      </c>
      <c r="E197" s="24">
        <v>0</v>
      </c>
      <c r="F197" s="24">
        <v>0</v>
      </c>
      <c r="G197" s="24">
        <v>0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7"/>
      <c r="BB197" s="68"/>
      <c r="BC197" s="68"/>
      <c r="BD197" s="68"/>
      <c r="BE197" s="68"/>
      <c r="BF197" s="71"/>
    </row>
    <row r="198" spans="1:58">
      <c r="A198" s="24">
        <v>196</v>
      </c>
      <c r="B198" s="24">
        <v>0</v>
      </c>
      <c r="C198" s="24">
        <v>0</v>
      </c>
      <c r="D198" s="24">
        <v>0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7"/>
      <c r="BB198" s="68"/>
      <c r="BC198" s="68"/>
      <c r="BD198" s="68"/>
      <c r="BE198" s="68"/>
      <c r="BF198" s="71"/>
    </row>
    <row r="199" spans="1:58">
      <c r="A199" s="24">
        <v>197</v>
      </c>
      <c r="B199" s="24">
        <v>0</v>
      </c>
      <c r="C199" s="24">
        <v>0</v>
      </c>
      <c r="D199" s="24">
        <v>0</v>
      </c>
      <c r="E199" s="24">
        <v>0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7"/>
      <c r="BB199" s="68"/>
      <c r="BC199" s="68"/>
      <c r="BD199" s="68"/>
      <c r="BE199" s="68"/>
      <c r="BF199" s="71"/>
    </row>
    <row r="200" spans="1:58">
      <c r="A200" s="24">
        <v>198</v>
      </c>
      <c r="B200" s="24">
        <v>0</v>
      </c>
      <c r="C200" s="24">
        <v>0</v>
      </c>
      <c r="D200" s="24">
        <v>0</v>
      </c>
      <c r="E200" s="24">
        <v>0</v>
      </c>
      <c r="F200" s="24">
        <v>0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7"/>
      <c r="BB200" s="68"/>
      <c r="BC200" s="68"/>
      <c r="BD200" s="68"/>
      <c r="BE200" s="68"/>
      <c r="BF200" s="71"/>
    </row>
    <row r="201" spans="1:58">
      <c r="A201" s="24">
        <v>199</v>
      </c>
      <c r="B201" s="24">
        <v>0</v>
      </c>
      <c r="C201" s="24">
        <v>0</v>
      </c>
      <c r="D201" s="24">
        <v>0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7"/>
      <c r="BB201" s="68"/>
      <c r="BC201" s="68"/>
      <c r="BD201" s="68"/>
      <c r="BE201" s="68"/>
      <c r="BF201" s="71"/>
    </row>
    <row r="202" spans="1:58">
      <c r="A202" s="24">
        <v>200</v>
      </c>
      <c r="B202" s="24">
        <v>0</v>
      </c>
      <c r="C202" s="24">
        <v>0</v>
      </c>
      <c r="D202" s="24">
        <v>0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7"/>
      <c r="BB202" s="68"/>
      <c r="BC202" s="68"/>
      <c r="BD202" s="68"/>
      <c r="BE202" s="68"/>
      <c r="BF202" s="71"/>
    </row>
    <row r="203" spans="1:58">
      <c r="A203" s="24">
        <v>201</v>
      </c>
      <c r="B203" s="24">
        <v>0</v>
      </c>
      <c r="C203" s="24">
        <v>0</v>
      </c>
      <c r="D203" s="24">
        <v>0</v>
      </c>
      <c r="E203" s="24">
        <v>0</v>
      </c>
      <c r="F203" s="24">
        <v>0</v>
      </c>
      <c r="G203" s="24">
        <v>0</v>
      </c>
      <c r="H203" s="24">
        <v>0</v>
      </c>
      <c r="I203" s="24">
        <v>0</v>
      </c>
      <c r="J203" s="24">
        <v>0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7"/>
      <c r="BB203" s="68"/>
      <c r="BC203" s="68"/>
      <c r="BD203" s="68"/>
      <c r="BE203" s="68"/>
      <c r="BF203" s="71"/>
    </row>
    <row r="204" spans="1:58">
      <c r="A204" s="24">
        <v>202</v>
      </c>
      <c r="B204" s="24">
        <v>0</v>
      </c>
      <c r="C204" s="24">
        <v>0</v>
      </c>
      <c r="D204" s="24">
        <v>0</v>
      </c>
      <c r="E204" s="24">
        <v>0</v>
      </c>
      <c r="F204" s="24">
        <v>0</v>
      </c>
      <c r="G204" s="24">
        <v>0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7"/>
      <c r="BB204" s="68"/>
      <c r="BC204" s="68"/>
      <c r="BD204" s="68"/>
      <c r="BE204" s="68"/>
      <c r="BF204" s="71"/>
    </row>
    <row r="205" spans="1:58">
      <c r="A205" s="24">
        <v>203</v>
      </c>
      <c r="B205" s="24">
        <v>0</v>
      </c>
      <c r="C205" s="24">
        <v>0</v>
      </c>
      <c r="D205" s="24">
        <v>0</v>
      </c>
      <c r="E205" s="24">
        <v>0</v>
      </c>
      <c r="F205" s="24">
        <v>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7"/>
      <c r="BB205" s="68"/>
      <c r="BC205" s="68"/>
      <c r="BD205" s="68"/>
      <c r="BE205" s="68"/>
      <c r="BF205" s="71"/>
    </row>
    <row r="206" spans="1:58">
      <c r="A206" s="24">
        <v>204</v>
      </c>
      <c r="B206" s="24">
        <v>0</v>
      </c>
      <c r="C206" s="24">
        <v>0</v>
      </c>
      <c r="D206" s="24">
        <v>0</v>
      </c>
      <c r="E206" s="24">
        <v>0</v>
      </c>
      <c r="F206" s="24">
        <v>0</v>
      </c>
      <c r="G206" s="24">
        <v>0</v>
      </c>
      <c r="H206" s="24">
        <v>0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7"/>
      <c r="BB206" s="68"/>
      <c r="BC206" s="68"/>
      <c r="BD206" s="68"/>
      <c r="BE206" s="68"/>
      <c r="BF206" s="71"/>
    </row>
    <row r="207" spans="1:58">
      <c r="A207" s="24">
        <v>205</v>
      </c>
      <c r="B207" s="24">
        <v>0</v>
      </c>
      <c r="C207" s="24">
        <v>0</v>
      </c>
      <c r="D207" s="24">
        <v>0</v>
      </c>
      <c r="E207" s="24">
        <v>0</v>
      </c>
      <c r="F207" s="24">
        <v>0</v>
      </c>
      <c r="G207" s="24">
        <v>0</v>
      </c>
      <c r="H207" s="24">
        <v>0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7"/>
      <c r="BB207" s="68"/>
      <c r="BC207" s="68"/>
      <c r="BD207" s="68"/>
      <c r="BE207" s="68"/>
      <c r="BF207" s="71"/>
    </row>
    <row r="208" spans="1:58">
      <c r="A208" s="24">
        <v>206</v>
      </c>
      <c r="B208" s="24">
        <v>0</v>
      </c>
      <c r="C208" s="24">
        <v>0</v>
      </c>
      <c r="D208" s="24">
        <v>0</v>
      </c>
      <c r="E208" s="24">
        <v>0</v>
      </c>
      <c r="F208" s="24">
        <v>0</v>
      </c>
      <c r="G208" s="24">
        <v>0</v>
      </c>
      <c r="H208" s="24">
        <v>0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7"/>
      <c r="BB208" s="68"/>
      <c r="BC208" s="68"/>
      <c r="BD208" s="68"/>
      <c r="BE208" s="68"/>
      <c r="BF208" s="71"/>
    </row>
    <row r="209" spans="1:58">
      <c r="A209" s="24">
        <v>207</v>
      </c>
      <c r="B209" s="24">
        <v>0</v>
      </c>
      <c r="C209" s="24">
        <v>0</v>
      </c>
      <c r="D209" s="24">
        <v>0</v>
      </c>
      <c r="E209" s="24">
        <v>0</v>
      </c>
      <c r="F209" s="24">
        <v>0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7"/>
      <c r="BB209" s="68"/>
      <c r="BC209" s="68"/>
      <c r="BD209" s="68"/>
      <c r="BE209" s="68"/>
      <c r="BF209" s="71"/>
    </row>
    <row r="210" spans="1:58">
      <c r="A210" s="24">
        <v>208</v>
      </c>
      <c r="B210" s="24">
        <v>0</v>
      </c>
      <c r="C210" s="24">
        <v>0</v>
      </c>
      <c r="D210" s="24">
        <v>0</v>
      </c>
      <c r="E210" s="24">
        <v>0</v>
      </c>
      <c r="F210" s="24">
        <v>0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7"/>
      <c r="BB210" s="68"/>
      <c r="BC210" s="68"/>
      <c r="BD210" s="68"/>
      <c r="BE210" s="68"/>
      <c r="BF210" s="71"/>
    </row>
    <row r="211" spans="1:58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7"/>
      <c r="BB211" s="68"/>
      <c r="BC211" s="68"/>
      <c r="BD211" s="68"/>
      <c r="BE211" s="68"/>
      <c r="BF211" s="71"/>
    </row>
    <row r="212" spans="1:58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7"/>
      <c r="BB212" s="68"/>
      <c r="BC212" s="68"/>
      <c r="BD212" s="68"/>
      <c r="BE212" s="68"/>
      <c r="BF212" s="71"/>
    </row>
    <row r="213" spans="1:58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7"/>
      <c r="BB213" s="68"/>
      <c r="BC213" s="68"/>
      <c r="BD213" s="68"/>
      <c r="BE213" s="68"/>
      <c r="BF213" s="71"/>
    </row>
    <row r="214" spans="1:58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7"/>
      <c r="BB214" s="68"/>
      <c r="BC214" s="68"/>
      <c r="BD214" s="68"/>
      <c r="BE214" s="68"/>
      <c r="BF214" s="71"/>
    </row>
    <row r="215" spans="1:58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7"/>
      <c r="BB215" s="68"/>
      <c r="BC215" s="68"/>
      <c r="BD215" s="68"/>
      <c r="BE215" s="68"/>
      <c r="BF215" s="71"/>
    </row>
    <row r="216" spans="1:58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7"/>
      <c r="BB216" s="68"/>
      <c r="BC216" s="68"/>
      <c r="BD216" s="68"/>
      <c r="BE216" s="68"/>
      <c r="BF216" s="71"/>
    </row>
    <row r="217" spans="1:58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7"/>
      <c r="BB217" s="68"/>
      <c r="BC217" s="68"/>
      <c r="BD217" s="68"/>
      <c r="BE217" s="68"/>
      <c r="BF217" s="71"/>
    </row>
    <row r="218" spans="1:5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7"/>
      <c r="BB218" s="68"/>
      <c r="BC218" s="68"/>
      <c r="BD218" s="68"/>
      <c r="BE218" s="68"/>
      <c r="BF218" s="71"/>
    </row>
    <row r="219" spans="1:58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7"/>
      <c r="BB219" s="68"/>
      <c r="BC219" s="68"/>
      <c r="BD219" s="68"/>
      <c r="BE219" s="68"/>
      <c r="BF219" s="71"/>
    </row>
    <row r="220" spans="1:58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7"/>
      <c r="BB220" s="68"/>
      <c r="BC220" s="68"/>
      <c r="BD220" s="68"/>
      <c r="BE220" s="68"/>
      <c r="BF220" s="71"/>
    </row>
    <row r="221" spans="1:58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7"/>
      <c r="BB221" s="68"/>
      <c r="BC221" s="68"/>
      <c r="BD221" s="68"/>
      <c r="BE221" s="68"/>
      <c r="BF221" s="71"/>
    </row>
    <row r="222" spans="1:58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7"/>
      <c r="BB222" s="68"/>
      <c r="BC222" s="68"/>
      <c r="BD222" s="68"/>
      <c r="BE222" s="68"/>
      <c r="BF222" s="71"/>
    </row>
    <row r="223" spans="1:58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7"/>
      <c r="BB223" s="68"/>
      <c r="BC223" s="68"/>
      <c r="BD223" s="68"/>
      <c r="BE223" s="68"/>
      <c r="BF223" s="71"/>
    </row>
    <row r="224" spans="1:58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7"/>
      <c r="BB224" s="68"/>
      <c r="BC224" s="68"/>
      <c r="BD224" s="68"/>
      <c r="BE224" s="68"/>
      <c r="BF224" s="71"/>
    </row>
    <row r="225" spans="1:58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7"/>
      <c r="BB225" s="68"/>
      <c r="BC225" s="68"/>
      <c r="BD225" s="68"/>
      <c r="BE225" s="68"/>
      <c r="BF225" s="71"/>
    </row>
    <row r="226" spans="1:58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7"/>
      <c r="BB226" s="68"/>
      <c r="BC226" s="68"/>
      <c r="BD226" s="68"/>
      <c r="BE226" s="68"/>
      <c r="BF226" s="71"/>
    </row>
    <row r="227" spans="1:58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7"/>
      <c r="BB227" s="68"/>
      <c r="BC227" s="68"/>
      <c r="BD227" s="68"/>
      <c r="BE227" s="68"/>
      <c r="BF227" s="71"/>
    </row>
    <row r="228" spans="1:5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7"/>
      <c r="BB228" s="68"/>
      <c r="BC228" s="68"/>
      <c r="BD228" s="68"/>
      <c r="BE228" s="68"/>
      <c r="BF228" s="71"/>
    </row>
    <row r="229" spans="1:58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7"/>
      <c r="BB229" s="68"/>
      <c r="BC229" s="68"/>
      <c r="BD229" s="68"/>
      <c r="BE229" s="68"/>
      <c r="BF229" s="71"/>
    </row>
    <row r="230" spans="1:58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7"/>
      <c r="BB230" s="68"/>
      <c r="BC230" s="68"/>
      <c r="BD230" s="68"/>
      <c r="BE230" s="68"/>
      <c r="BF230" s="71"/>
    </row>
    <row r="231" spans="1:58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7"/>
      <c r="BB231" s="68"/>
      <c r="BC231" s="68"/>
      <c r="BD231" s="68"/>
      <c r="BE231" s="68"/>
      <c r="BF231" s="71"/>
    </row>
    <row r="232" spans="1:58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7"/>
      <c r="BB232" s="68"/>
      <c r="BC232" s="68"/>
      <c r="BD232" s="68"/>
      <c r="BE232" s="68"/>
      <c r="BF232" s="71"/>
    </row>
    <row r="233" spans="1:58">
      <c r="BA233" s="71"/>
      <c r="BB233" s="71"/>
      <c r="BC233" s="71"/>
      <c r="BD233" s="71"/>
      <c r="BE233" s="71">
        <f>AVERAGE(BE3:BE17)</f>
        <v>8.7281481481481471</v>
      </c>
      <c r="BF233" s="71">
        <f>(BE233/61.16)*100</f>
        <v>14.271007436475061</v>
      </c>
    </row>
    <row r="238" spans="1:5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</sheetData>
  <mergeCells count="4">
    <mergeCell ref="A1:U1"/>
    <mergeCell ref="V1:AZ1"/>
    <mergeCell ref="BA1:BD1"/>
    <mergeCell ref="BE1:BF1"/>
  </mergeCells>
  <conditionalFormatting sqref="BF3:BF232 BE233:BF233">
    <cfRule type="cellIs" dxfId="4" priority="6" operator="between">
      <formula>23.5</formula>
      <formula>100</formula>
    </cfRule>
    <cfRule type="cellIs" dxfId="3" priority="7" operator="between">
      <formula>17.1</formula>
      <formula>23.4</formula>
    </cfRule>
    <cfRule type="cellIs" dxfId="2" priority="8" operator="between">
      <formula>11.9</formula>
      <formula>17</formula>
    </cfRule>
    <cfRule type="cellIs" dxfId="1" priority="9" operator="between">
      <formula>6.6</formula>
      <formula>11.8</formula>
    </cfRule>
    <cfRule type="cellIs" dxfId="0" priority="10" operator="between">
      <formula>0</formula>
      <formula>6.5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F9" sqref="F9"/>
    </sheetView>
  </sheetViews>
  <sheetFormatPr baseColWidth="10" defaultRowHeight="14.5"/>
  <cols>
    <col min="1" max="1" width="20.453125" customWidth="1"/>
    <col min="2" max="2" width="20.81640625" customWidth="1"/>
  </cols>
  <sheetData>
    <row r="1" spans="1:2">
      <c r="A1" s="218" t="s">
        <v>85</v>
      </c>
      <c r="B1" s="218"/>
    </row>
    <row r="2" spans="1:2">
      <c r="A2" s="3" t="s">
        <v>64</v>
      </c>
      <c r="B2" s="50"/>
    </row>
    <row r="3" spans="1:2">
      <c r="A3" s="3" t="s">
        <v>65</v>
      </c>
      <c r="B3" s="16"/>
    </row>
    <row r="4" spans="1:2">
      <c r="A4" s="3" t="s">
        <v>66</v>
      </c>
      <c r="B4" s="51"/>
    </row>
    <row r="5" spans="1:2">
      <c r="A5" s="3" t="s">
        <v>67</v>
      </c>
      <c r="B5" s="52"/>
    </row>
    <row r="6" spans="1:2">
      <c r="A6" s="3" t="s">
        <v>68</v>
      </c>
      <c r="B6" s="5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INTRA LABORAL A</vt:lpstr>
      <vt:lpstr>EXTRALABORAL A </vt:lpstr>
      <vt:lpstr>ESTRES JEFES Y PROF</vt:lpstr>
      <vt:lpstr>INTRA LABORAL B</vt:lpstr>
      <vt:lpstr>EXTRALABORAL B </vt:lpstr>
      <vt:lpstr>ESTRES AUX Y OPERARIOS</vt:lpstr>
      <vt:lpstr>CONVENCIONES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G42</dc:creator>
  <cp:lastModifiedBy>Mayerly Daza Parrada</cp:lastModifiedBy>
  <dcterms:created xsi:type="dcterms:W3CDTF">2015-10-30T12:07:08Z</dcterms:created>
  <dcterms:modified xsi:type="dcterms:W3CDTF">2026-01-13T22:45:57Z</dcterms:modified>
</cp:coreProperties>
</file>